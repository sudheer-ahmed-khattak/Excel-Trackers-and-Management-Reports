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arch" sheetId="2" state="visible" r:id="rId2"/>
    <sheet xmlns:r="http://schemas.openxmlformats.org/officeDocument/2006/relationships" name="Document Register" sheetId="3" state="visible" r:id="rId3"/>
  </sheets>
  <definedNames>
    <definedName name="_xlnm.Print_Area" localSheetId="0">'Dashboard'!$A$1:$N$36</definedName>
    <definedName name="_xlnm._FilterDatabase" localSheetId="2" hidden="1">'Document Register'!$A$4:$M$244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B6B82"/>
      <sz val="10"/>
    </font>
    <font>
      <name val="Calibri"/>
      <b val="1"/>
      <color rgb="00FFFFFF"/>
      <sz val="11"/>
    </font>
    <font>
      <name val="Calibri"/>
      <color rgb="001B2433"/>
      <sz val="10.5"/>
    </font>
    <font>
      <b val="1"/>
      <color rgb="003A2B4F"/>
      <sz val="12"/>
    </font>
    <font>
      <b val="1"/>
      <sz val="12"/>
    </font>
    <font>
      <i val="1"/>
      <color rgb="005B6B82"/>
    </font>
    <font>
      <name val="Calibri"/>
      <b val="1"/>
      <color rgb="00F3EEF6"/>
      <sz val="22"/>
    </font>
    <font>
      <name val="Calibri"/>
      <color rgb="00A898B8"/>
      <sz val="10"/>
    </font>
    <font>
      <name val="Calibri"/>
      <b val="1"/>
      <color rgb="00A898B8"/>
      <sz val="9"/>
    </font>
    <font>
      <name val="Calibri"/>
      <b val="1"/>
      <color rgb="00F3EEF6"/>
      <sz val="26"/>
    </font>
    <font>
      <name val="Calibri"/>
      <color rgb="00A898B8"/>
      <sz val="9"/>
    </font>
    <font>
      <name val="Calibri"/>
      <b val="1"/>
      <color rgb="004FBFA8"/>
      <sz val="26"/>
    </font>
    <font>
      <name val="Calibri"/>
      <b val="1"/>
      <color rgb="00E9C46A"/>
      <sz val="26"/>
    </font>
    <font>
      <name val="Calibri"/>
      <b val="1"/>
      <color rgb="00E5737A"/>
      <sz val="26"/>
    </font>
    <font>
      <name val="Calibri"/>
      <b val="1"/>
      <color rgb="00E2A98F"/>
      <sz val="10"/>
    </font>
    <font>
      <name val="Calibri"/>
      <color rgb="00F3EEF6"/>
      <sz val="10"/>
    </font>
    <font>
      <name val="Calibri"/>
      <color rgb="004FBFA8"/>
      <sz val="10"/>
    </font>
    <font>
      <name val="Calibri"/>
      <color rgb="007FA7E8"/>
      <sz val="10"/>
    </font>
    <font>
      <name val="Calibri"/>
      <color rgb="00E9C46A"/>
      <sz val="10"/>
    </font>
    <font>
      <name val="Calibri"/>
      <color rgb="00E5737A"/>
      <sz val="10"/>
    </font>
    <font>
      <name val="Calibri"/>
      <color rgb="00E2A98F"/>
      <sz val="10"/>
    </font>
    <font>
      <name val="Calibri"/>
      <b val="1"/>
      <color rgb="00F3EEF6"/>
      <sz val="10"/>
    </font>
  </fonts>
  <fills count="9">
    <fill>
      <patternFill/>
    </fill>
    <fill>
      <patternFill patternType="gray125"/>
    </fill>
    <fill>
      <patternFill patternType="solid">
        <fgColor rgb="003A2B4F"/>
      </patternFill>
    </fill>
    <fill>
      <patternFill patternType="solid">
        <fgColor rgb="00E2A98F"/>
      </patternFill>
    </fill>
    <fill>
      <patternFill patternType="solid">
        <fgColor rgb="00F7F3F8"/>
      </patternFill>
    </fill>
    <fill>
      <patternFill patternType="solid">
        <fgColor rgb="00FFF4C2"/>
      </patternFill>
    </fill>
    <fill>
      <patternFill patternType="solid">
        <fgColor rgb="00221A2C"/>
      </patternFill>
    </fill>
    <fill>
      <patternFill patternType="solid">
        <fgColor rgb="002F2440"/>
      </patternFill>
    </fill>
    <fill>
      <patternFill patternType="solid">
        <fgColor rgb="00443657"/>
      </patternFill>
    </fill>
  </fills>
  <borders count="1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left style="medium">
        <color rgb="00E2A98F"/>
      </left>
      <right style="medium">
        <color rgb="00E2A98F"/>
      </right>
      <top style="medium">
        <color rgb="00E2A98F"/>
      </top>
      <bottom style="medium">
        <color rgb="00E2A98F"/>
      </bottom>
    </border>
    <border>
      <bottom style="medium">
        <color rgb="00E2A98F"/>
      </bottom>
    </border>
    <border>
      <left style="thick">
        <color rgb="00F3EEF6"/>
      </left>
      <top style="thin">
        <color rgb="002F2440"/>
      </top>
      <bottom style="thin">
        <color rgb="002F2440"/>
      </bottom>
    </border>
    <border>
      <top style="thin">
        <color rgb="002F2440"/>
      </top>
      <bottom style="thin">
        <color rgb="002F2440"/>
      </bottom>
    </border>
    <border>
      <right style="thick">
        <color rgb="00221A2C"/>
      </right>
      <top style="thin">
        <color rgb="002F2440"/>
      </top>
      <bottom style="thin">
        <color rgb="002F2440"/>
      </bottom>
    </border>
    <border>
      <left style="thick">
        <color rgb="004FBFA8"/>
      </left>
      <top style="thin">
        <color rgb="002F2440"/>
      </top>
      <bottom style="thin">
        <color rgb="002F2440"/>
      </bottom>
    </border>
    <border>
      <left style="thick">
        <color rgb="00E9C46A"/>
      </left>
      <top style="thin">
        <color rgb="002F2440"/>
      </top>
      <bottom style="thin">
        <color rgb="002F2440"/>
      </bottom>
    </border>
    <border>
      <left style="thick">
        <color rgb="00E5737A"/>
      </left>
      <top style="thin">
        <color rgb="002F2440"/>
      </top>
      <bottom style="thin">
        <color rgb="002F2440"/>
      </bottom>
    </border>
    <border>
      <bottom style="thin">
        <color rgb="00E2A98F"/>
      </bottom>
    </border>
    <border>
      <bottom style="thin">
        <color rgb="00443657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6" borderId="0" pivotButton="0" quotePrefix="0" xfId="0"/>
    <xf numFmtId="0" fontId="8" fillId="6" borderId="0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0" fillId="6" borderId="3" pivotButton="0" quotePrefix="0" xfId="0"/>
    <xf numFmtId="0" fontId="10" fillId="7" borderId="4" applyAlignment="1" pivotButton="0" quotePrefix="0" xfId="0">
      <alignment horizontal="left" vertical="bottom" indent="1"/>
    </xf>
    <xf numFmtId="0" fontId="0" fillId="7" borderId="5" pivotButton="0" quotePrefix="0" xfId="0"/>
    <xf numFmtId="0" fontId="0" fillId="7" borderId="6" pivotButton="0" quotePrefix="0" xfId="0"/>
    <xf numFmtId="0" fontId="10" fillId="7" borderId="7" applyAlignment="1" pivotButton="0" quotePrefix="0" xfId="0">
      <alignment horizontal="left" vertical="bottom" indent="1"/>
    </xf>
    <xf numFmtId="0" fontId="10" fillId="7" borderId="8" applyAlignment="1" pivotButton="0" quotePrefix="0" xfId="0">
      <alignment horizontal="left" vertical="bottom" indent="1"/>
    </xf>
    <xf numFmtId="0" fontId="10" fillId="7" borderId="9" applyAlignment="1" pivotButton="0" quotePrefix="0" xfId="0">
      <alignment horizontal="left" vertical="bottom" indent="1"/>
    </xf>
    <xf numFmtId="0" fontId="11" fillId="7" borderId="4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left" vertical="center" indent="1"/>
    </xf>
    <xf numFmtId="0" fontId="14" fillId="7" borderId="8" applyAlignment="1" pivotButton="0" quotePrefix="0" xfId="0">
      <alignment horizontal="left" vertical="center" indent="1"/>
    </xf>
    <xf numFmtId="0" fontId="15" fillId="7" borderId="9" applyAlignment="1" pivotButton="0" quotePrefix="0" xfId="0">
      <alignment horizontal="left" vertical="center" indent="1"/>
    </xf>
    <xf numFmtId="0" fontId="12" fillId="7" borderId="4" applyAlignment="1" pivotButton="0" quotePrefix="0" xfId="0">
      <alignment horizontal="left" vertical="top" indent="1"/>
    </xf>
    <xf numFmtId="0" fontId="12" fillId="7" borderId="7" applyAlignment="1" pivotButton="0" quotePrefix="0" xfId="0">
      <alignment horizontal="left" vertical="top" indent="1"/>
    </xf>
    <xf numFmtId="0" fontId="12" fillId="7" borderId="8" applyAlignment="1" pivotButton="0" quotePrefix="0" xfId="0">
      <alignment horizontal="left" vertical="top" indent="1"/>
    </xf>
    <xf numFmtId="0" fontId="12" fillId="7" borderId="9" applyAlignment="1" pivotButton="0" quotePrefix="0" xfId="0">
      <alignment horizontal="left" vertical="top" indent="1"/>
    </xf>
    <xf numFmtId="0" fontId="16" fillId="6" borderId="0" pivotButton="0" quotePrefix="0" xfId="0"/>
    <xf numFmtId="0" fontId="16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16" fillId="7" borderId="10" applyAlignment="1" pivotButton="0" quotePrefix="0" xfId="0">
      <alignment horizontal="left" vertical="center" wrapText="1"/>
    </xf>
    <xf numFmtId="0" fontId="16" fillId="7" borderId="10" applyAlignment="1" pivotButton="0" quotePrefix="0" xfId="0">
      <alignment horizontal="center" vertical="center" wrapTex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0" fillId="6" borderId="11" applyAlignment="1" pivotButton="0" quotePrefix="0" xfId="0">
      <alignment horizontal="center" vertical="center"/>
    </xf>
    <xf numFmtId="0" fontId="21" fillId="6" borderId="11" applyAlignment="1" pivotButton="0" quotePrefix="0" xfId="0">
      <alignment horizontal="center" vertical="center"/>
    </xf>
    <xf numFmtId="0" fontId="22" fillId="6" borderId="11" applyAlignment="1" pivotButton="0" quotePrefix="0" xfId="0">
      <alignment horizontal="center" vertical="center"/>
    </xf>
    <xf numFmtId="0" fontId="23" fillId="6" borderId="11" applyAlignment="1" pivotButton="0" quotePrefix="0" xfId="0">
      <alignment horizontal="center" vertical="center"/>
    </xf>
    <xf numFmtId="0" fontId="16" fillId="8" borderId="11" applyAlignment="1" pivotButton="0" quotePrefix="0" xfId="0">
      <alignment horizontal="left" vertical="center" indent="1"/>
    </xf>
    <xf numFmtId="0" fontId="16" fillId="8" borderId="1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indent="1"/>
    </xf>
    <xf numFmtId="0" fontId="0" fillId="3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5" borderId="2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b val="1"/>
        <color rgb="002E8B78"/>
      </font>
      <fill>
        <patternFill patternType="solid">
          <fgColor rgb="00E2F3EF"/>
        </patternFill>
      </fill>
    </dxf>
    <dxf>
      <font>
        <b val="1"/>
        <color rgb="004A6FB5"/>
      </font>
      <fill>
        <patternFill patternType="solid">
          <fgColor rgb="00E9EEF9"/>
        </patternFill>
      </fill>
    </dxf>
    <dxf>
      <font>
        <b val="1"/>
        <color rgb="00B86E1F"/>
      </font>
      <fill>
        <patternFill patternType="solid">
          <fgColor rgb="00FBEFE0"/>
        </patternFill>
      </fill>
    </dxf>
    <dxf>
      <font>
        <b val="1"/>
        <color rgb="00B5455A"/>
      </font>
      <fill>
        <patternFill patternType="solid">
          <fgColor rgb="00F8E4E6"/>
        </patternFill>
      </fill>
    </dxf>
    <dxf>
      <font>
        <b val="1"/>
        <color rgb="006B4A8A"/>
      </font>
      <fill>
        <patternFill patternType="solid">
          <fgColor rgb="00F3ECF8"/>
        </patternFill>
      </fill>
    </dxf>
    <dxf>
      <font>
        <b val="1"/>
        <color rgb="00FFFFFF"/>
      </font>
      <fill>
        <patternFill patternType="solid">
          <fgColor rgb="00B5455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BFA8"/>
              </a:solidFill>
              <a:ln xmlns:a="http://schemas.openxmlformats.org/drawingml/2006/main">
                <a:solidFill>
                  <a:srgbClr val="2F244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FA7E8"/>
              </a:solidFill>
              <a:ln xmlns:a="http://schemas.openxmlformats.org/drawingml/2006/main">
                <a:solidFill>
                  <a:srgbClr val="2F244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9C46A"/>
              </a:solidFill>
              <a:ln xmlns:a="http://schemas.openxmlformats.org/drawingml/2006/main">
                <a:solidFill>
                  <a:srgbClr val="2F244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5737A"/>
              </a:solidFill>
              <a:ln xmlns:a="http://schemas.openxmlformats.org/drawingml/2006/main">
                <a:solidFill>
                  <a:srgbClr val="2F244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A98F"/>
              </a:solidFill>
              <a:ln xmlns:a="http://schemas.openxmlformats.org/drawingml/2006/main">
                <a:solidFill>
                  <a:srgbClr val="2F2440"/>
                </a:solidFill>
                <a:prstDash val="solid"/>
              </a:ln>
            </spPr>
          </dPt>
          <cat>
            <numRef>
              <f>'Dashboard'!$C$11:$G$11</f>
            </numRef>
          </cat>
          <val>
            <numRef>
              <f>'Dashboard'!$C$18:$G$18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F3EEF6"/>
                  </a:solidFill>
                </a:defRPr>
              </a:pPr>
              <a:r>
                <a:t/>
              </a:r>
              <a:endParaRPr sz="900" b="1">
                <a:solidFill>
                  <a:srgbClr val="F3EEF6"/>
                </a:solidFill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F3EEF6"/>
              </a:solidFill>
            </a:defRPr>
          </a:pPr>
          <a:r>
            <a:t/>
          </a:r>
          <a:endParaRPr sz="900" b="0">
            <a:solidFill>
              <a:srgbClr val="F3EEF6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2F2440"/>
    </a:solidFill>
    <a:ln xmlns:a="http://schemas.openxmlformats.org/drawingml/2006/main">
      <a:solidFill>
        <a:srgbClr val="2F2440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bar"/>
        <grouping val="stacked"/>
        <ser>
          <idx val="0"/>
          <order val="0"/>
          <tx>
            <strRef>
              <f>'Dashboard'!C25</f>
            </strRef>
          </tx>
          <spPr>
            <a:solidFill xmlns:a="http://schemas.openxmlformats.org/drawingml/2006/main">
              <a:srgbClr val="4FBFA8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'Dashboard'!$B$26:$B$31</f>
            </numRef>
          </cat>
          <val>
            <numRef>
              <f>'Dashboard'!$C$26:$C$31</f>
            </numRef>
          </val>
        </ser>
        <ser>
          <idx val="1"/>
          <order val="1"/>
          <tx>
            <strRef>
              <f>'Dashboard'!D25</f>
            </strRef>
          </tx>
          <spPr>
            <a:solidFill xmlns:a="http://schemas.openxmlformats.org/drawingml/2006/main">
              <a:srgbClr val="E2A98F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'Dashboard'!$B$26:$B$31</f>
            </numRef>
          </cat>
          <val>
            <numRef>
              <f>'Dashboard'!$D$26:$D$31</f>
            </numRef>
          </val>
        </ser>
        <ser>
          <idx val="2"/>
          <order val="2"/>
          <tx>
            <strRef>
              <f>'Dashboard'!E25</f>
            </strRef>
          </tx>
          <spPr>
            <a:solidFill xmlns:a="http://schemas.openxmlformats.org/drawingml/2006/main">
              <a:srgbClr val="E5737A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'Dashboard'!$B$26:$B$31</f>
            </numRef>
          </cat>
          <val>
            <numRef>
              <f>'Dashboard'!$E$26:$E$31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44365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A898B8"/>
                </a:solidFill>
              </a:defRPr>
            </a:pPr>
            <a:r>
              <a:t/>
            </a:r>
            <a:endParaRPr sz="900" b="0">
              <a:solidFill>
                <a:srgbClr val="A898B8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443657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A898B8"/>
                </a:solidFill>
              </a:defRPr>
            </a:pPr>
            <a:r>
              <a:t/>
            </a:r>
            <a:endParaRPr sz="900" b="0">
              <a:solidFill>
                <a:srgbClr val="A898B8"/>
              </a:solidFill>
            </a:endParaRPr>
          </a:p>
        </txPr>
        <crossAx val="10"/>
      </valAx>
      <spPr>
        <a:solidFill xmlns:a="http://schemas.openxmlformats.org/drawingml/2006/main">
          <a:srgbClr val="2F2440"/>
        </a:solidFill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F3EEF6"/>
              </a:solidFill>
            </a:defRPr>
          </a:pPr>
          <a:r>
            <a:t/>
          </a:r>
          <a:endParaRPr sz="900" b="0">
            <a:solidFill>
              <a:srgbClr val="F3EEF6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2F2440"/>
    </a:solidFill>
    <a:ln xmlns:a="http://schemas.openxmlformats.org/drawingml/2006/main">
      <a:solidFill>
        <a:srgbClr val="2F244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11</row>
      <rowOff>0</rowOff>
    </from>
    <ext cx="3600000" cy="2015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25</row>
      <rowOff>0</rowOff>
    </from>
    <ext cx="3600000" cy="172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9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2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1" t="n"/>
      <c r="B2" s="2" t="inlineStr">
        <is>
          <t>Document Control Dashboard</t>
        </is>
      </c>
      <c r="N2" s="1" t="n"/>
    </row>
    <row r="3" ht="18" customHeight="1">
      <c r="A3" s="1" t="n"/>
      <c r="B3" s="3" t="inlineStr">
        <is>
          <t>Coastal Tunnel Package (CTP)  •  Desert Horizon JV  •  Reviewer: Meridian Engineering Partners  •  Demo data</t>
        </is>
      </c>
      <c r="N3" s="1" t="n"/>
    </row>
    <row r="4" ht="6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1" t="n"/>
      <c r="B6" s="5" t="inlineStr">
        <is>
          <t>TOTAL DOCUMENTS</t>
        </is>
      </c>
      <c r="C6" s="6" t="n"/>
      <c r="D6" s="7" t="n"/>
      <c r="E6" s="8" t="inlineStr">
        <is>
          <t>APPROVED  (A + B)</t>
        </is>
      </c>
      <c r="F6" s="6" t="n"/>
      <c r="G6" s="7" t="n"/>
      <c r="H6" s="9" t="inlineStr">
        <is>
          <t>UNDER REVIEW</t>
        </is>
      </c>
      <c r="I6" s="6" t="n"/>
      <c r="J6" s="7" t="n"/>
      <c r="K6" s="10" t="inlineStr">
        <is>
          <t>RESUBMIT  (C + D)</t>
        </is>
      </c>
      <c r="L6" s="6" t="n"/>
      <c r="M6" s="7" t="n"/>
      <c r="N6" s="1" t="n"/>
    </row>
    <row r="7" ht="38" customHeight="1">
      <c r="A7" s="1" t="n"/>
      <c r="B7" s="11">
        <f>COUNTA('Document Register'!$A$5:$A$2000)</f>
        <v/>
      </c>
      <c r="C7" s="6" t="n"/>
      <c r="D7" s="7" t="n"/>
      <c r="E7" s="12">
        <f>COUNTIF('Document Register'!$I$5:$I$2000,"Code A*")+COUNTIF('Document Register'!$I$5:$I$2000,"Code B*")</f>
        <v/>
      </c>
      <c r="F7" s="6" t="n"/>
      <c r="G7" s="7" t="n"/>
      <c r="H7" s="13">
        <f>COUNTIF('Document Register'!$I$5:$I$2000,"Under Review")</f>
        <v/>
      </c>
      <c r="I7" s="6" t="n"/>
      <c r="J7" s="7" t="n"/>
      <c r="K7" s="14">
        <f>COUNTIF('Document Register'!$I$5:$I$2000,"Code C*")+COUNTIF('Document Register'!$I$5:$I$2000,"Code D*")</f>
        <v/>
      </c>
      <c r="L7" s="6" t="n"/>
      <c r="M7" s="7" t="n"/>
      <c r="N7" s="1" t="n"/>
    </row>
    <row r="8" ht="18" customHeight="1">
      <c r="A8" s="1" t="n"/>
      <c r="B8" s="15" t="inlineStr">
        <is>
          <t>Registered submissions</t>
        </is>
      </c>
      <c r="C8" s="6" t="n"/>
      <c r="D8" s="7" t="n"/>
      <c r="E8" s="16" t="inlineStr">
        <is>
          <t>Cleared for use</t>
        </is>
      </c>
      <c r="F8" s="6" t="n"/>
      <c r="G8" s="7" t="n"/>
      <c r="H8" s="17">
        <f>COUNTIFS('Document Register'!$I$5:$I$2000,"Under Review",'Document Register'!$K$5:$K$2000,"&gt;14")&amp;" overdue (&gt; 14 days)"</f>
        <v/>
      </c>
      <c r="I8" s="6" t="n"/>
      <c r="J8" s="7" t="n"/>
      <c r="K8" s="18" t="inlineStr">
        <is>
          <t>Revise or new submission</t>
        </is>
      </c>
      <c r="L8" s="6" t="n"/>
      <c r="M8" s="7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9" t="inlineStr">
        <is>
          <t>REVIEW STATUS BY DOCUMENT TYPE</t>
        </is>
      </c>
      <c r="C10" s="1" t="n"/>
      <c r="D10" s="1" t="n"/>
      <c r="E10" s="1" t="n"/>
      <c r="F10" s="1" t="n"/>
      <c r="G10" s="1" t="n"/>
      <c r="H10" s="1" t="n"/>
      <c r="I10" s="20" t="inlineStr">
        <is>
          <t>OVERALL REVIEW STATUS</t>
        </is>
      </c>
      <c r="J10" s="21" t="n"/>
      <c r="K10" s="21" t="n"/>
      <c r="L10" s="21" t="n"/>
      <c r="M10" s="21" t="n"/>
      <c r="N10" s="1" t="n"/>
    </row>
    <row r="11">
      <c r="A11" s="1" t="n"/>
      <c r="B11" s="22" t="inlineStr">
        <is>
          <t>Document Type</t>
        </is>
      </c>
      <c r="C11" s="23" t="inlineStr">
        <is>
          <t>Code A</t>
        </is>
      </c>
      <c r="D11" s="23" t="inlineStr">
        <is>
          <t>Code B</t>
        </is>
      </c>
      <c r="E11" s="23" t="inlineStr">
        <is>
          <t>Code C</t>
        </is>
      </c>
      <c r="F11" s="23" t="inlineStr">
        <is>
          <t>Code D</t>
        </is>
      </c>
      <c r="G11" s="23" t="inlineStr">
        <is>
          <t>In Review</t>
        </is>
      </c>
      <c r="H11" s="23" t="inlineStr">
        <is>
          <t>Total</t>
        </is>
      </c>
      <c r="I11" s="21" t="n"/>
      <c r="J11" s="21" t="n"/>
      <c r="K11" s="21" t="n"/>
      <c r="L11" s="21" t="n"/>
      <c r="M11" s="21" t="n"/>
      <c r="N11" s="1" t="n"/>
    </row>
    <row r="12">
      <c r="A12" s="1" t="n"/>
      <c r="B12" s="24" t="inlineStr">
        <is>
          <t>Drawing</t>
        </is>
      </c>
      <c r="C12" s="25">
        <f>COUNTIFS('Document Register'!$C$5:$C$2000,$B12,'Document Register'!$I$5:$I$2000,"Code A*")</f>
        <v/>
      </c>
      <c r="D12" s="26">
        <f>COUNTIFS('Document Register'!$C$5:$C$2000,$B12,'Document Register'!$I$5:$I$2000,"Code B*")</f>
        <v/>
      </c>
      <c r="E12" s="27">
        <f>COUNTIFS('Document Register'!$C$5:$C$2000,$B12,'Document Register'!$I$5:$I$2000,"Code C*")</f>
        <v/>
      </c>
      <c r="F12" s="28">
        <f>COUNTIFS('Document Register'!$C$5:$C$2000,$B12,'Document Register'!$I$5:$I$2000,"Code D*")</f>
        <v/>
      </c>
      <c r="G12" s="29">
        <f>COUNTIFS('Document Register'!$C$5:$C$2000,$B12,'Document Register'!$I$5:$I$2000,"Under Review")</f>
        <v/>
      </c>
      <c r="H12" s="30">
        <f>SUM(C12:G12)</f>
        <v/>
      </c>
      <c r="I12" s="21" t="n"/>
      <c r="J12" s="21" t="n"/>
      <c r="K12" s="21" t="n"/>
      <c r="L12" s="21" t="n"/>
      <c r="M12" s="21" t="n"/>
      <c r="N12" s="1" t="n"/>
    </row>
    <row r="13">
      <c r="A13" s="1" t="n"/>
      <c r="B13" s="24" t="inlineStr">
        <is>
          <t>Method Statement</t>
        </is>
      </c>
      <c r="C13" s="25">
        <f>COUNTIFS('Document Register'!$C$5:$C$2000,$B13,'Document Register'!$I$5:$I$2000,"Code A*")</f>
        <v/>
      </c>
      <c r="D13" s="26">
        <f>COUNTIFS('Document Register'!$C$5:$C$2000,$B13,'Document Register'!$I$5:$I$2000,"Code B*")</f>
        <v/>
      </c>
      <c r="E13" s="27">
        <f>COUNTIFS('Document Register'!$C$5:$C$2000,$B13,'Document Register'!$I$5:$I$2000,"Code C*")</f>
        <v/>
      </c>
      <c r="F13" s="28">
        <f>COUNTIFS('Document Register'!$C$5:$C$2000,$B13,'Document Register'!$I$5:$I$2000,"Code D*")</f>
        <v/>
      </c>
      <c r="G13" s="29">
        <f>COUNTIFS('Document Register'!$C$5:$C$2000,$B13,'Document Register'!$I$5:$I$2000,"Under Review")</f>
        <v/>
      </c>
      <c r="H13" s="30">
        <f>SUM(C13:G13)</f>
        <v/>
      </c>
      <c r="I13" s="21" t="n"/>
      <c r="J13" s="21" t="n"/>
      <c r="K13" s="21" t="n"/>
      <c r="L13" s="21" t="n"/>
      <c r="M13" s="21" t="n"/>
      <c r="N13" s="1" t="n"/>
    </row>
    <row r="14">
      <c r="A14" s="1" t="n"/>
      <c r="B14" s="24" t="inlineStr">
        <is>
          <t>Material Submittal</t>
        </is>
      </c>
      <c r="C14" s="25">
        <f>COUNTIFS('Document Register'!$C$5:$C$2000,$B14,'Document Register'!$I$5:$I$2000,"Code A*")</f>
        <v/>
      </c>
      <c r="D14" s="26">
        <f>COUNTIFS('Document Register'!$C$5:$C$2000,$B14,'Document Register'!$I$5:$I$2000,"Code B*")</f>
        <v/>
      </c>
      <c r="E14" s="27">
        <f>COUNTIFS('Document Register'!$C$5:$C$2000,$B14,'Document Register'!$I$5:$I$2000,"Code C*")</f>
        <v/>
      </c>
      <c r="F14" s="28">
        <f>COUNTIFS('Document Register'!$C$5:$C$2000,$B14,'Document Register'!$I$5:$I$2000,"Code D*")</f>
        <v/>
      </c>
      <c r="G14" s="29">
        <f>COUNTIFS('Document Register'!$C$5:$C$2000,$B14,'Document Register'!$I$5:$I$2000,"Under Review")</f>
        <v/>
      </c>
      <c r="H14" s="30">
        <f>SUM(C14:G14)</f>
        <v/>
      </c>
      <c r="I14" s="21" t="n"/>
      <c r="J14" s="21" t="n"/>
      <c r="K14" s="21" t="n"/>
      <c r="L14" s="21" t="n"/>
      <c r="M14" s="21" t="n"/>
      <c r="N14" s="1" t="n"/>
    </row>
    <row r="15">
      <c r="A15" s="1" t="n"/>
      <c r="B15" s="24" t="inlineStr">
        <is>
          <t>Inspection Report</t>
        </is>
      </c>
      <c r="C15" s="25">
        <f>COUNTIFS('Document Register'!$C$5:$C$2000,$B15,'Document Register'!$I$5:$I$2000,"Code A*")</f>
        <v/>
      </c>
      <c r="D15" s="26">
        <f>COUNTIFS('Document Register'!$C$5:$C$2000,$B15,'Document Register'!$I$5:$I$2000,"Code B*")</f>
        <v/>
      </c>
      <c r="E15" s="27">
        <f>COUNTIFS('Document Register'!$C$5:$C$2000,$B15,'Document Register'!$I$5:$I$2000,"Code C*")</f>
        <v/>
      </c>
      <c r="F15" s="28">
        <f>COUNTIFS('Document Register'!$C$5:$C$2000,$B15,'Document Register'!$I$5:$I$2000,"Code D*")</f>
        <v/>
      </c>
      <c r="G15" s="29">
        <f>COUNTIFS('Document Register'!$C$5:$C$2000,$B15,'Document Register'!$I$5:$I$2000,"Under Review")</f>
        <v/>
      </c>
      <c r="H15" s="30">
        <f>SUM(C15:G15)</f>
        <v/>
      </c>
      <c r="I15" s="21" t="n"/>
      <c r="J15" s="21" t="n"/>
      <c r="K15" s="21" t="n"/>
      <c r="L15" s="21" t="n"/>
      <c r="M15" s="21" t="n"/>
      <c r="N15" s="1" t="n"/>
    </row>
    <row r="16">
      <c r="A16" s="1" t="n"/>
      <c r="B16" s="24" t="inlineStr">
        <is>
          <t>Procedure</t>
        </is>
      </c>
      <c r="C16" s="25">
        <f>COUNTIFS('Document Register'!$C$5:$C$2000,$B16,'Document Register'!$I$5:$I$2000,"Code A*")</f>
        <v/>
      </c>
      <c r="D16" s="26">
        <f>COUNTIFS('Document Register'!$C$5:$C$2000,$B16,'Document Register'!$I$5:$I$2000,"Code B*")</f>
        <v/>
      </c>
      <c r="E16" s="27">
        <f>COUNTIFS('Document Register'!$C$5:$C$2000,$B16,'Document Register'!$I$5:$I$2000,"Code C*")</f>
        <v/>
      </c>
      <c r="F16" s="28">
        <f>COUNTIFS('Document Register'!$C$5:$C$2000,$B16,'Document Register'!$I$5:$I$2000,"Code D*")</f>
        <v/>
      </c>
      <c r="G16" s="29">
        <f>COUNTIFS('Document Register'!$C$5:$C$2000,$B16,'Document Register'!$I$5:$I$2000,"Under Review")</f>
        <v/>
      </c>
      <c r="H16" s="30">
        <f>SUM(C16:G16)</f>
        <v/>
      </c>
      <c r="I16" s="21" t="n"/>
      <c r="J16" s="21" t="n"/>
      <c r="K16" s="21" t="n"/>
      <c r="L16" s="21" t="n"/>
      <c r="M16" s="21" t="n"/>
      <c r="N16" s="1" t="n"/>
    </row>
    <row r="17">
      <c r="A17" s="1" t="n"/>
      <c r="B17" s="24" t="inlineStr">
        <is>
          <t>Calculation</t>
        </is>
      </c>
      <c r="C17" s="25">
        <f>COUNTIFS('Document Register'!$C$5:$C$2000,$B17,'Document Register'!$I$5:$I$2000,"Code A*")</f>
        <v/>
      </c>
      <c r="D17" s="26">
        <f>COUNTIFS('Document Register'!$C$5:$C$2000,$B17,'Document Register'!$I$5:$I$2000,"Code B*")</f>
        <v/>
      </c>
      <c r="E17" s="27">
        <f>COUNTIFS('Document Register'!$C$5:$C$2000,$B17,'Document Register'!$I$5:$I$2000,"Code C*")</f>
        <v/>
      </c>
      <c r="F17" s="28">
        <f>COUNTIFS('Document Register'!$C$5:$C$2000,$B17,'Document Register'!$I$5:$I$2000,"Code D*")</f>
        <v/>
      </c>
      <c r="G17" s="29">
        <f>COUNTIFS('Document Register'!$C$5:$C$2000,$B17,'Document Register'!$I$5:$I$2000,"Under Review")</f>
        <v/>
      </c>
      <c r="H17" s="30">
        <f>SUM(C17:G17)</f>
        <v/>
      </c>
      <c r="I17" s="21" t="n"/>
      <c r="J17" s="21" t="n"/>
      <c r="K17" s="21" t="n"/>
      <c r="L17" s="21" t="n"/>
      <c r="M17" s="21" t="n"/>
      <c r="N17" s="1" t="n"/>
    </row>
    <row r="18">
      <c r="A18" s="1" t="n"/>
      <c r="B18" s="31" t="inlineStr">
        <is>
          <t>Total</t>
        </is>
      </c>
      <c r="C18" s="32">
        <f>SUM(C12:C17)</f>
        <v/>
      </c>
      <c r="D18" s="32">
        <f>SUM(D12:D17)</f>
        <v/>
      </c>
      <c r="E18" s="32">
        <f>SUM(E12:E17)</f>
        <v/>
      </c>
      <c r="F18" s="32">
        <f>SUM(F12:F17)</f>
        <v/>
      </c>
      <c r="G18" s="32">
        <f>SUM(G12:G17)</f>
        <v/>
      </c>
      <c r="H18" s="32">
        <f>SUM(H12:H17)</f>
        <v/>
      </c>
      <c r="I18" s="21" t="n"/>
      <c r="J18" s="21" t="n"/>
      <c r="K18" s="21" t="n"/>
      <c r="L18" s="21" t="n"/>
      <c r="M18" s="2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21" t="n"/>
      <c r="J19" s="21" t="n"/>
      <c r="K19" s="21" t="n"/>
      <c r="L19" s="21" t="n"/>
      <c r="M19" s="2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21" t="n"/>
      <c r="J20" s="21" t="n"/>
      <c r="K20" s="21" t="n"/>
      <c r="L20" s="21" t="n"/>
      <c r="M20" s="2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21" t="n"/>
      <c r="J21" s="21" t="n"/>
      <c r="K21" s="21" t="n"/>
      <c r="L21" s="21" t="n"/>
      <c r="M21" s="2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9" t="inlineStr">
        <is>
          <t>DOCUMENTS BY DISCIPLINE</t>
        </is>
      </c>
      <c r="C24" s="1" t="n"/>
      <c r="D24" s="1" t="n"/>
      <c r="E24" s="1" t="n"/>
      <c r="F24" s="1" t="n"/>
      <c r="G24" s="1" t="n"/>
      <c r="H24" s="1" t="n"/>
      <c r="I24" s="20" t="inlineStr">
        <is>
          <t>APPROVED VS RESUBMIT BY DISCIPLINE</t>
        </is>
      </c>
      <c r="J24" s="21" t="n"/>
      <c r="K24" s="21" t="n"/>
      <c r="L24" s="21" t="n"/>
      <c r="M24" s="21" t="n"/>
      <c r="N24" s="1" t="n"/>
    </row>
    <row r="25">
      <c r="A25" s="1" t="n"/>
      <c r="B25" s="22" t="inlineStr">
        <is>
          <t>Discipline</t>
        </is>
      </c>
      <c r="C25" s="23" t="inlineStr">
        <is>
          <t>Approved</t>
        </is>
      </c>
      <c r="D25" s="23" t="inlineStr">
        <is>
          <t>In Review</t>
        </is>
      </c>
      <c r="E25" s="23" t="inlineStr">
        <is>
          <t>Resubmit</t>
        </is>
      </c>
      <c r="F25" s="23" t="inlineStr">
        <is>
          <t>Total</t>
        </is>
      </c>
      <c r="G25" s="1" t="n"/>
      <c r="H25" s="1" t="n"/>
      <c r="I25" s="21" t="n"/>
      <c r="J25" s="21" t="n"/>
      <c r="K25" s="21" t="n"/>
      <c r="L25" s="21" t="n"/>
      <c r="M25" s="21" t="n"/>
      <c r="N25" s="1" t="n"/>
    </row>
    <row r="26">
      <c r="A26" s="1" t="n"/>
      <c r="B26" s="24" t="inlineStr">
        <is>
          <t>Tunnelling</t>
        </is>
      </c>
      <c r="C26" s="25">
        <f>COUNTIFS('Document Register'!$D$5:$D$2000,$B26,'Document Register'!$I$5:$I$2000,"Code A*")+COUNTIFS('Document Register'!$D$5:$D$2000,$B26,'Document Register'!$I$5:$I$2000,"Code B*")</f>
        <v/>
      </c>
      <c r="D26" s="29">
        <f>COUNTIFS('Document Register'!$D$5:$D$2000,$B26,'Document Register'!$I$5:$I$2000,"Under Review")</f>
        <v/>
      </c>
      <c r="E26" s="28">
        <f>COUNTIFS('Document Register'!$D$5:$D$2000,$B26,'Document Register'!$I$5:$I$2000,"Code C*")+COUNTIFS('Document Register'!$D$5:$D$2000,$B26,'Document Register'!$I$5:$I$2000,"Code D*")</f>
        <v/>
      </c>
      <c r="F26" s="30">
        <f>SUM(C26:E26)</f>
        <v/>
      </c>
      <c r="G26" s="1" t="n"/>
      <c r="H26" s="1" t="n"/>
      <c r="I26" s="21" t="n"/>
      <c r="J26" s="21" t="n"/>
      <c r="K26" s="21" t="n"/>
      <c r="L26" s="21" t="n"/>
      <c r="M26" s="21" t="n"/>
      <c r="N26" s="1" t="n"/>
    </row>
    <row r="27">
      <c r="A27" s="1" t="n"/>
      <c r="B27" s="24" t="inlineStr">
        <is>
          <t>Civil</t>
        </is>
      </c>
      <c r="C27" s="25">
        <f>COUNTIFS('Document Register'!$D$5:$D$2000,$B27,'Document Register'!$I$5:$I$2000,"Code A*")+COUNTIFS('Document Register'!$D$5:$D$2000,$B27,'Document Register'!$I$5:$I$2000,"Code B*")</f>
        <v/>
      </c>
      <c r="D27" s="29">
        <f>COUNTIFS('Document Register'!$D$5:$D$2000,$B27,'Document Register'!$I$5:$I$2000,"Under Review")</f>
        <v/>
      </c>
      <c r="E27" s="28">
        <f>COUNTIFS('Document Register'!$D$5:$D$2000,$B27,'Document Register'!$I$5:$I$2000,"Code C*")+COUNTIFS('Document Register'!$D$5:$D$2000,$B27,'Document Register'!$I$5:$I$2000,"Code D*")</f>
        <v/>
      </c>
      <c r="F27" s="30">
        <f>SUM(C27:E27)</f>
        <v/>
      </c>
      <c r="G27" s="1" t="n"/>
      <c r="H27" s="1" t="n"/>
      <c r="I27" s="21" t="n"/>
      <c r="J27" s="21" t="n"/>
      <c r="K27" s="21" t="n"/>
      <c r="L27" s="21" t="n"/>
      <c r="M27" s="21" t="n"/>
      <c r="N27" s="1" t="n"/>
    </row>
    <row r="28">
      <c r="A28" s="1" t="n"/>
      <c r="B28" s="24" t="inlineStr">
        <is>
          <t>Geotechnical</t>
        </is>
      </c>
      <c r="C28" s="25">
        <f>COUNTIFS('Document Register'!$D$5:$D$2000,$B28,'Document Register'!$I$5:$I$2000,"Code A*")+COUNTIFS('Document Register'!$D$5:$D$2000,$B28,'Document Register'!$I$5:$I$2000,"Code B*")</f>
        <v/>
      </c>
      <c r="D28" s="29">
        <f>COUNTIFS('Document Register'!$D$5:$D$2000,$B28,'Document Register'!$I$5:$I$2000,"Under Review")</f>
        <v/>
      </c>
      <c r="E28" s="28">
        <f>COUNTIFS('Document Register'!$D$5:$D$2000,$B28,'Document Register'!$I$5:$I$2000,"Code C*")+COUNTIFS('Document Register'!$D$5:$D$2000,$B28,'Document Register'!$I$5:$I$2000,"Code D*")</f>
        <v/>
      </c>
      <c r="F28" s="30">
        <f>SUM(C28:E28)</f>
        <v/>
      </c>
      <c r="G28" s="1" t="n"/>
      <c r="H28" s="1" t="n"/>
      <c r="I28" s="21" t="n"/>
      <c r="J28" s="21" t="n"/>
      <c r="K28" s="21" t="n"/>
      <c r="L28" s="21" t="n"/>
      <c r="M28" s="21" t="n"/>
      <c r="N28" s="1" t="n"/>
    </row>
    <row r="29">
      <c r="A29" s="1" t="n"/>
      <c r="B29" s="24" t="inlineStr">
        <is>
          <t>MEP</t>
        </is>
      </c>
      <c r="C29" s="25">
        <f>COUNTIFS('Document Register'!$D$5:$D$2000,$B29,'Document Register'!$I$5:$I$2000,"Code A*")+COUNTIFS('Document Register'!$D$5:$D$2000,$B29,'Document Register'!$I$5:$I$2000,"Code B*")</f>
        <v/>
      </c>
      <c r="D29" s="29">
        <f>COUNTIFS('Document Register'!$D$5:$D$2000,$B29,'Document Register'!$I$5:$I$2000,"Under Review")</f>
        <v/>
      </c>
      <c r="E29" s="28">
        <f>COUNTIFS('Document Register'!$D$5:$D$2000,$B29,'Document Register'!$I$5:$I$2000,"Code C*")+COUNTIFS('Document Register'!$D$5:$D$2000,$B29,'Document Register'!$I$5:$I$2000,"Code D*")</f>
        <v/>
      </c>
      <c r="F29" s="30">
        <f>SUM(C29:E29)</f>
        <v/>
      </c>
      <c r="G29" s="1" t="n"/>
      <c r="H29" s="1" t="n"/>
      <c r="I29" s="21" t="n"/>
      <c r="J29" s="21" t="n"/>
      <c r="K29" s="21" t="n"/>
      <c r="L29" s="21" t="n"/>
      <c r="M29" s="21" t="n"/>
      <c r="N29" s="1" t="n"/>
    </row>
    <row r="30">
      <c r="A30" s="1" t="n"/>
      <c r="B30" s="24" t="inlineStr">
        <is>
          <t>HSE</t>
        </is>
      </c>
      <c r="C30" s="25">
        <f>COUNTIFS('Document Register'!$D$5:$D$2000,$B30,'Document Register'!$I$5:$I$2000,"Code A*")+COUNTIFS('Document Register'!$D$5:$D$2000,$B30,'Document Register'!$I$5:$I$2000,"Code B*")</f>
        <v/>
      </c>
      <c r="D30" s="29">
        <f>COUNTIFS('Document Register'!$D$5:$D$2000,$B30,'Document Register'!$I$5:$I$2000,"Under Review")</f>
        <v/>
      </c>
      <c r="E30" s="28">
        <f>COUNTIFS('Document Register'!$D$5:$D$2000,$B30,'Document Register'!$I$5:$I$2000,"Code C*")+COUNTIFS('Document Register'!$D$5:$D$2000,$B30,'Document Register'!$I$5:$I$2000,"Code D*")</f>
        <v/>
      </c>
      <c r="F30" s="30">
        <f>SUM(C30:E30)</f>
        <v/>
      </c>
      <c r="G30" s="1" t="n"/>
      <c r="H30" s="1" t="n"/>
      <c r="I30" s="21" t="n"/>
      <c r="J30" s="21" t="n"/>
      <c r="K30" s="21" t="n"/>
      <c r="L30" s="21" t="n"/>
      <c r="M30" s="21" t="n"/>
      <c r="N30" s="1" t="n"/>
    </row>
    <row r="31">
      <c r="A31" s="1" t="n"/>
      <c r="B31" s="24" t="inlineStr">
        <is>
          <t>Quality</t>
        </is>
      </c>
      <c r="C31" s="25">
        <f>COUNTIFS('Document Register'!$D$5:$D$2000,$B31,'Document Register'!$I$5:$I$2000,"Code A*")+COUNTIFS('Document Register'!$D$5:$D$2000,$B31,'Document Register'!$I$5:$I$2000,"Code B*")</f>
        <v/>
      </c>
      <c r="D31" s="29">
        <f>COUNTIFS('Document Register'!$D$5:$D$2000,$B31,'Document Register'!$I$5:$I$2000,"Under Review")</f>
        <v/>
      </c>
      <c r="E31" s="28">
        <f>COUNTIFS('Document Register'!$D$5:$D$2000,$B31,'Document Register'!$I$5:$I$2000,"Code C*")+COUNTIFS('Document Register'!$D$5:$D$2000,$B31,'Document Register'!$I$5:$I$2000,"Code D*")</f>
        <v/>
      </c>
      <c r="F31" s="30">
        <f>SUM(C31:E31)</f>
        <v/>
      </c>
      <c r="G31" s="1" t="n"/>
      <c r="H31" s="1" t="n"/>
      <c r="I31" s="21" t="n"/>
      <c r="J31" s="21" t="n"/>
      <c r="K31" s="21" t="n"/>
      <c r="L31" s="21" t="n"/>
      <c r="M31" s="2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21" t="n"/>
      <c r="J32" s="21" t="n"/>
      <c r="K32" s="21" t="n"/>
      <c r="L32" s="21" t="n"/>
      <c r="M32" s="2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21" t="n"/>
      <c r="J33" s="21" t="n"/>
      <c r="K33" s="21" t="n"/>
      <c r="L33" s="21" t="n"/>
      <c r="M33" s="2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21" t="n"/>
      <c r="J34" s="21" t="n"/>
      <c r="K34" s="21" t="n"/>
      <c r="L34" s="21" t="n"/>
      <c r="M34" s="2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</sheetData>
  <mergeCells count="14">
    <mergeCell ref="B2:M2"/>
    <mergeCell ref="K8:M8"/>
    <mergeCell ref="B3:M3"/>
    <mergeCell ref="E7:G7"/>
    <mergeCell ref="K6:M6"/>
    <mergeCell ref="B8:D8"/>
    <mergeCell ref="E8:G8"/>
    <mergeCell ref="H8:J8"/>
    <mergeCell ref="H7:J7"/>
    <mergeCell ref="B7:D7"/>
    <mergeCell ref="B6:D6"/>
    <mergeCell ref="K7:M7"/>
    <mergeCell ref="E6:G6"/>
    <mergeCell ref="H6:J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18" customWidth="1" min="3" max="3"/>
    <col width="13" customWidth="1" min="4" max="4"/>
    <col width="6" customWidth="1" min="5" max="5"/>
    <col width="11" customWidth="1" min="6" max="6"/>
    <col width="30" customWidth="1" min="7" max="7"/>
    <col width="40" customWidth="1" min="8" max="8"/>
    <col hidden="1" width="13" customWidth="1" min="10" max="10"/>
  </cols>
  <sheetData>
    <row r="1" ht="36" customHeight="1">
      <c r="A1" s="33" t="inlineStr">
        <is>
          <t>Document Search</t>
        </is>
      </c>
      <c r="B1" s="34" t="n"/>
      <c r="C1" s="34" t="n"/>
      <c r="D1" s="34" t="n"/>
      <c r="E1" s="34" t="n"/>
      <c r="F1" s="34" t="n"/>
      <c r="G1" s="34" t="n"/>
      <c r="H1" s="34" t="n"/>
    </row>
    <row r="2">
      <c r="A2" s="35" t="inlineStr">
        <is>
          <t>Type any part of a document number, title, type, discipline, transmittal or status in the yellow box</t>
        </is>
      </c>
    </row>
    <row r="3" ht="4" customHeight="1">
      <c r="A3" s="36" t="n"/>
      <c r="B3" s="36" t="n"/>
      <c r="C3" s="36" t="n"/>
      <c r="D3" s="36" t="n"/>
      <c r="E3" s="36" t="n"/>
      <c r="F3" s="36" t="n"/>
      <c r="G3" s="36" t="n"/>
      <c r="H3" s="36" t="n"/>
    </row>
    <row r="4" ht="26" customHeight="1">
      <c r="B4" s="37" t="inlineStr">
        <is>
          <t>Search:</t>
        </is>
      </c>
      <c r="C4" s="38" t="n"/>
      <c r="D4" s="39">
        <f>IF($C$4="","Type to search",COUNT('Document Register'!$O$5:$O$2000)&amp;" document(s) found")</f>
        <v/>
      </c>
    </row>
    <row r="6">
      <c r="A6" s="40" t="inlineStr">
        <is>
          <t>Document No.</t>
        </is>
      </c>
      <c r="B6" s="40" t="inlineStr">
        <is>
          <t>Title</t>
        </is>
      </c>
      <c r="C6" s="40" t="inlineStr">
        <is>
          <t>Type</t>
        </is>
      </c>
      <c r="D6" s="40" t="inlineStr">
        <is>
          <t>Discipline</t>
        </is>
      </c>
      <c r="E6" s="40" t="inlineStr">
        <is>
          <t>Rev</t>
        </is>
      </c>
      <c r="F6" s="40" t="inlineStr">
        <is>
          <t>Submitted</t>
        </is>
      </c>
      <c r="G6" s="40" t="inlineStr">
        <is>
          <t>Review Status</t>
        </is>
      </c>
      <c r="H6" s="40" t="inlineStr">
        <is>
          <t>File Location</t>
        </is>
      </c>
    </row>
    <row r="7">
      <c r="A7" s="41">
        <f>IF($J7="","",INDEX('Document Register'!$A:$A,$J7))</f>
        <v/>
      </c>
      <c r="B7" s="41">
        <f>IF($J7="","",INDEX('Document Register'!$B:$B,$J7))</f>
        <v/>
      </c>
      <c r="C7" s="42">
        <f>IF($J7="","",INDEX('Document Register'!$C:$C,$J7))</f>
        <v/>
      </c>
      <c r="D7" s="41">
        <f>IF($J7="","",INDEX('Document Register'!$D:$D,$J7))</f>
        <v/>
      </c>
      <c r="E7" s="42">
        <f>IF($J7="","",INDEX('Document Register'!$E:$E,$J7))</f>
        <v/>
      </c>
      <c r="F7" s="43">
        <f>IF($J7="","",INDEX('Document Register'!$F:$F,$J7))</f>
        <v/>
      </c>
      <c r="G7" s="41">
        <f>IF($J7="","",INDEX('Document Register'!$I:$I,$J7))</f>
        <v/>
      </c>
      <c r="H7" s="41">
        <f>IF($J7="","",INDEX('Document Register'!$M:$M,$J7))</f>
        <v/>
      </c>
      <c r="J7">
        <f>IFERROR(SMALL('Document Register'!$O$5:$O$2000,ROW()-6),"")</f>
        <v/>
      </c>
    </row>
    <row r="8">
      <c r="A8" s="41">
        <f>IF($J8="","",INDEX('Document Register'!$A:$A,$J8))</f>
        <v/>
      </c>
      <c r="B8" s="41">
        <f>IF($J8="","",INDEX('Document Register'!$B:$B,$J8))</f>
        <v/>
      </c>
      <c r="C8" s="42">
        <f>IF($J8="","",INDEX('Document Register'!$C:$C,$J8))</f>
        <v/>
      </c>
      <c r="D8" s="41">
        <f>IF($J8="","",INDEX('Document Register'!$D:$D,$J8))</f>
        <v/>
      </c>
      <c r="E8" s="42">
        <f>IF($J8="","",INDEX('Document Register'!$E:$E,$J8))</f>
        <v/>
      </c>
      <c r="F8" s="43">
        <f>IF($J8="","",INDEX('Document Register'!$F:$F,$J8))</f>
        <v/>
      </c>
      <c r="G8" s="41">
        <f>IF($J8="","",INDEX('Document Register'!$I:$I,$J8))</f>
        <v/>
      </c>
      <c r="H8" s="41">
        <f>IF($J8="","",INDEX('Document Register'!$M:$M,$J8))</f>
        <v/>
      </c>
      <c r="J8">
        <f>IFERROR(SMALL('Document Register'!$O$5:$O$2000,ROW()-6),"")</f>
        <v/>
      </c>
    </row>
    <row r="9">
      <c r="A9" s="41">
        <f>IF($J9="","",INDEX('Document Register'!$A:$A,$J9))</f>
        <v/>
      </c>
      <c r="B9" s="41">
        <f>IF($J9="","",INDEX('Document Register'!$B:$B,$J9))</f>
        <v/>
      </c>
      <c r="C9" s="42">
        <f>IF($J9="","",INDEX('Document Register'!$C:$C,$J9))</f>
        <v/>
      </c>
      <c r="D9" s="41">
        <f>IF($J9="","",INDEX('Document Register'!$D:$D,$J9))</f>
        <v/>
      </c>
      <c r="E9" s="42">
        <f>IF($J9="","",INDEX('Document Register'!$E:$E,$J9))</f>
        <v/>
      </c>
      <c r="F9" s="43">
        <f>IF($J9="","",INDEX('Document Register'!$F:$F,$J9))</f>
        <v/>
      </c>
      <c r="G9" s="41">
        <f>IF($J9="","",INDEX('Document Register'!$I:$I,$J9))</f>
        <v/>
      </c>
      <c r="H9" s="41">
        <f>IF($J9="","",INDEX('Document Register'!$M:$M,$J9))</f>
        <v/>
      </c>
      <c r="J9">
        <f>IFERROR(SMALL('Document Register'!$O$5:$O$2000,ROW()-6),"")</f>
        <v/>
      </c>
    </row>
    <row r="10">
      <c r="A10" s="41">
        <f>IF($J10="","",INDEX('Document Register'!$A:$A,$J10))</f>
        <v/>
      </c>
      <c r="B10" s="41">
        <f>IF($J10="","",INDEX('Document Register'!$B:$B,$J10))</f>
        <v/>
      </c>
      <c r="C10" s="42">
        <f>IF($J10="","",INDEX('Document Register'!$C:$C,$J10))</f>
        <v/>
      </c>
      <c r="D10" s="41">
        <f>IF($J10="","",INDEX('Document Register'!$D:$D,$J10))</f>
        <v/>
      </c>
      <c r="E10" s="42">
        <f>IF($J10="","",INDEX('Document Register'!$E:$E,$J10))</f>
        <v/>
      </c>
      <c r="F10" s="43">
        <f>IF($J10="","",INDEX('Document Register'!$F:$F,$J10))</f>
        <v/>
      </c>
      <c r="G10" s="41">
        <f>IF($J10="","",INDEX('Document Register'!$I:$I,$J10))</f>
        <v/>
      </c>
      <c r="H10" s="41">
        <f>IF($J10="","",INDEX('Document Register'!$M:$M,$J10))</f>
        <v/>
      </c>
      <c r="J10">
        <f>IFERROR(SMALL('Document Register'!$O$5:$O$2000,ROW()-6),"")</f>
        <v/>
      </c>
    </row>
    <row r="11">
      <c r="A11" s="41">
        <f>IF($J11="","",INDEX('Document Register'!$A:$A,$J11))</f>
        <v/>
      </c>
      <c r="B11" s="41">
        <f>IF($J11="","",INDEX('Document Register'!$B:$B,$J11))</f>
        <v/>
      </c>
      <c r="C11" s="42">
        <f>IF($J11="","",INDEX('Document Register'!$C:$C,$J11))</f>
        <v/>
      </c>
      <c r="D11" s="41">
        <f>IF($J11="","",INDEX('Document Register'!$D:$D,$J11))</f>
        <v/>
      </c>
      <c r="E11" s="42">
        <f>IF($J11="","",INDEX('Document Register'!$E:$E,$J11))</f>
        <v/>
      </c>
      <c r="F11" s="43">
        <f>IF($J11="","",INDEX('Document Register'!$F:$F,$J11))</f>
        <v/>
      </c>
      <c r="G11" s="41">
        <f>IF($J11="","",INDEX('Document Register'!$I:$I,$J11))</f>
        <v/>
      </c>
      <c r="H11" s="41">
        <f>IF($J11="","",INDEX('Document Register'!$M:$M,$J11))</f>
        <v/>
      </c>
      <c r="J11">
        <f>IFERROR(SMALL('Document Register'!$O$5:$O$2000,ROW()-6),"")</f>
        <v/>
      </c>
    </row>
    <row r="12">
      <c r="A12" s="41">
        <f>IF($J12="","",INDEX('Document Register'!$A:$A,$J12))</f>
        <v/>
      </c>
      <c r="B12" s="41">
        <f>IF($J12="","",INDEX('Document Register'!$B:$B,$J12))</f>
        <v/>
      </c>
      <c r="C12" s="42">
        <f>IF($J12="","",INDEX('Document Register'!$C:$C,$J12))</f>
        <v/>
      </c>
      <c r="D12" s="41">
        <f>IF($J12="","",INDEX('Document Register'!$D:$D,$J12))</f>
        <v/>
      </c>
      <c r="E12" s="42">
        <f>IF($J12="","",INDEX('Document Register'!$E:$E,$J12))</f>
        <v/>
      </c>
      <c r="F12" s="43">
        <f>IF($J12="","",INDEX('Document Register'!$F:$F,$J12))</f>
        <v/>
      </c>
      <c r="G12" s="41">
        <f>IF($J12="","",INDEX('Document Register'!$I:$I,$J12))</f>
        <v/>
      </c>
      <c r="H12" s="41">
        <f>IF($J12="","",INDEX('Document Register'!$M:$M,$J12))</f>
        <v/>
      </c>
      <c r="J12">
        <f>IFERROR(SMALL('Document Register'!$O$5:$O$2000,ROW()-6),"")</f>
        <v/>
      </c>
    </row>
    <row r="13">
      <c r="A13" s="41">
        <f>IF($J13="","",INDEX('Document Register'!$A:$A,$J13))</f>
        <v/>
      </c>
      <c r="B13" s="41">
        <f>IF($J13="","",INDEX('Document Register'!$B:$B,$J13))</f>
        <v/>
      </c>
      <c r="C13" s="42">
        <f>IF($J13="","",INDEX('Document Register'!$C:$C,$J13))</f>
        <v/>
      </c>
      <c r="D13" s="41">
        <f>IF($J13="","",INDEX('Document Register'!$D:$D,$J13))</f>
        <v/>
      </c>
      <c r="E13" s="42">
        <f>IF($J13="","",INDEX('Document Register'!$E:$E,$J13))</f>
        <v/>
      </c>
      <c r="F13" s="43">
        <f>IF($J13="","",INDEX('Document Register'!$F:$F,$J13))</f>
        <v/>
      </c>
      <c r="G13" s="41">
        <f>IF($J13="","",INDEX('Document Register'!$I:$I,$J13))</f>
        <v/>
      </c>
      <c r="H13" s="41">
        <f>IF($J13="","",INDEX('Document Register'!$M:$M,$J13))</f>
        <v/>
      </c>
      <c r="J13">
        <f>IFERROR(SMALL('Document Register'!$O$5:$O$2000,ROW()-6),"")</f>
        <v/>
      </c>
    </row>
    <row r="14">
      <c r="A14" s="41">
        <f>IF($J14="","",INDEX('Document Register'!$A:$A,$J14))</f>
        <v/>
      </c>
      <c r="B14" s="41">
        <f>IF($J14="","",INDEX('Document Register'!$B:$B,$J14))</f>
        <v/>
      </c>
      <c r="C14" s="42">
        <f>IF($J14="","",INDEX('Document Register'!$C:$C,$J14))</f>
        <v/>
      </c>
      <c r="D14" s="41">
        <f>IF($J14="","",INDEX('Document Register'!$D:$D,$J14))</f>
        <v/>
      </c>
      <c r="E14" s="42">
        <f>IF($J14="","",INDEX('Document Register'!$E:$E,$J14))</f>
        <v/>
      </c>
      <c r="F14" s="43">
        <f>IF($J14="","",INDEX('Document Register'!$F:$F,$J14))</f>
        <v/>
      </c>
      <c r="G14" s="41">
        <f>IF($J14="","",INDEX('Document Register'!$I:$I,$J14))</f>
        <v/>
      </c>
      <c r="H14" s="41">
        <f>IF($J14="","",INDEX('Document Register'!$M:$M,$J14))</f>
        <v/>
      </c>
      <c r="J14">
        <f>IFERROR(SMALL('Document Register'!$O$5:$O$2000,ROW()-6),"")</f>
        <v/>
      </c>
    </row>
    <row r="15">
      <c r="A15" s="41">
        <f>IF($J15="","",INDEX('Document Register'!$A:$A,$J15))</f>
        <v/>
      </c>
      <c r="B15" s="41">
        <f>IF($J15="","",INDEX('Document Register'!$B:$B,$J15))</f>
        <v/>
      </c>
      <c r="C15" s="42">
        <f>IF($J15="","",INDEX('Document Register'!$C:$C,$J15))</f>
        <v/>
      </c>
      <c r="D15" s="41">
        <f>IF($J15="","",INDEX('Document Register'!$D:$D,$J15))</f>
        <v/>
      </c>
      <c r="E15" s="42">
        <f>IF($J15="","",INDEX('Document Register'!$E:$E,$J15))</f>
        <v/>
      </c>
      <c r="F15" s="43">
        <f>IF($J15="","",INDEX('Document Register'!$F:$F,$J15))</f>
        <v/>
      </c>
      <c r="G15" s="41">
        <f>IF($J15="","",INDEX('Document Register'!$I:$I,$J15))</f>
        <v/>
      </c>
      <c r="H15" s="41">
        <f>IF($J15="","",INDEX('Document Register'!$M:$M,$J15))</f>
        <v/>
      </c>
      <c r="J15">
        <f>IFERROR(SMALL('Document Register'!$O$5:$O$2000,ROW()-6),"")</f>
        <v/>
      </c>
    </row>
    <row r="16">
      <c r="A16" s="41">
        <f>IF($J16="","",INDEX('Document Register'!$A:$A,$J16))</f>
        <v/>
      </c>
      <c r="B16" s="41">
        <f>IF($J16="","",INDEX('Document Register'!$B:$B,$J16))</f>
        <v/>
      </c>
      <c r="C16" s="42">
        <f>IF($J16="","",INDEX('Document Register'!$C:$C,$J16))</f>
        <v/>
      </c>
      <c r="D16" s="41">
        <f>IF($J16="","",INDEX('Document Register'!$D:$D,$J16))</f>
        <v/>
      </c>
      <c r="E16" s="42">
        <f>IF($J16="","",INDEX('Document Register'!$E:$E,$J16))</f>
        <v/>
      </c>
      <c r="F16" s="43">
        <f>IF($J16="","",INDEX('Document Register'!$F:$F,$J16))</f>
        <v/>
      </c>
      <c r="G16" s="41">
        <f>IF($J16="","",INDEX('Document Register'!$I:$I,$J16))</f>
        <v/>
      </c>
      <c r="H16" s="41">
        <f>IF($J16="","",INDEX('Document Register'!$M:$M,$J16))</f>
        <v/>
      </c>
      <c r="J16">
        <f>IFERROR(SMALL('Document Register'!$O$5:$O$2000,ROW()-6),"")</f>
        <v/>
      </c>
    </row>
    <row r="17">
      <c r="A17" s="41">
        <f>IF($J17="","",INDEX('Document Register'!$A:$A,$J17))</f>
        <v/>
      </c>
      <c r="B17" s="41">
        <f>IF($J17="","",INDEX('Document Register'!$B:$B,$J17))</f>
        <v/>
      </c>
      <c r="C17" s="42">
        <f>IF($J17="","",INDEX('Document Register'!$C:$C,$J17))</f>
        <v/>
      </c>
      <c r="D17" s="41">
        <f>IF($J17="","",INDEX('Document Register'!$D:$D,$J17))</f>
        <v/>
      </c>
      <c r="E17" s="42">
        <f>IF($J17="","",INDEX('Document Register'!$E:$E,$J17))</f>
        <v/>
      </c>
      <c r="F17" s="43">
        <f>IF($J17="","",INDEX('Document Register'!$F:$F,$J17))</f>
        <v/>
      </c>
      <c r="G17" s="41">
        <f>IF($J17="","",INDEX('Document Register'!$I:$I,$J17))</f>
        <v/>
      </c>
      <c r="H17" s="41">
        <f>IF($J17="","",INDEX('Document Register'!$M:$M,$J17))</f>
        <v/>
      </c>
      <c r="J17">
        <f>IFERROR(SMALL('Document Register'!$O$5:$O$2000,ROW()-6),"")</f>
        <v/>
      </c>
    </row>
    <row r="18">
      <c r="A18" s="41">
        <f>IF($J18="","",INDEX('Document Register'!$A:$A,$J18))</f>
        <v/>
      </c>
      <c r="B18" s="41">
        <f>IF($J18="","",INDEX('Document Register'!$B:$B,$J18))</f>
        <v/>
      </c>
      <c r="C18" s="42">
        <f>IF($J18="","",INDEX('Document Register'!$C:$C,$J18))</f>
        <v/>
      </c>
      <c r="D18" s="41">
        <f>IF($J18="","",INDEX('Document Register'!$D:$D,$J18))</f>
        <v/>
      </c>
      <c r="E18" s="42">
        <f>IF($J18="","",INDEX('Document Register'!$E:$E,$J18))</f>
        <v/>
      </c>
      <c r="F18" s="43">
        <f>IF($J18="","",INDEX('Document Register'!$F:$F,$J18))</f>
        <v/>
      </c>
      <c r="G18" s="41">
        <f>IF($J18="","",INDEX('Document Register'!$I:$I,$J18))</f>
        <v/>
      </c>
      <c r="H18" s="41">
        <f>IF($J18="","",INDEX('Document Register'!$M:$M,$J18))</f>
        <v/>
      </c>
      <c r="J18">
        <f>IFERROR(SMALL('Document Register'!$O$5:$O$2000,ROW()-6),"")</f>
        <v/>
      </c>
    </row>
    <row r="19">
      <c r="A19" s="41">
        <f>IF($J19="","",INDEX('Document Register'!$A:$A,$J19))</f>
        <v/>
      </c>
      <c r="B19" s="41">
        <f>IF($J19="","",INDEX('Document Register'!$B:$B,$J19))</f>
        <v/>
      </c>
      <c r="C19" s="42">
        <f>IF($J19="","",INDEX('Document Register'!$C:$C,$J19))</f>
        <v/>
      </c>
      <c r="D19" s="41">
        <f>IF($J19="","",INDEX('Document Register'!$D:$D,$J19))</f>
        <v/>
      </c>
      <c r="E19" s="42">
        <f>IF($J19="","",INDEX('Document Register'!$E:$E,$J19))</f>
        <v/>
      </c>
      <c r="F19" s="43">
        <f>IF($J19="","",INDEX('Document Register'!$F:$F,$J19))</f>
        <v/>
      </c>
      <c r="G19" s="41">
        <f>IF($J19="","",INDEX('Document Register'!$I:$I,$J19))</f>
        <v/>
      </c>
      <c r="H19" s="41">
        <f>IF($J19="","",INDEX('Document Register'!$M:$M,$J19))</f>
        <v/>
      </c>
      <c r="J19">
        <f>IFERROR(SMALL('Document Register'!$O$5:$O$2000,ROW()-6),"")</f>
        <v/>
      </c>
    </row>
    <row r="20">
      <c r="A20" s="41">
        <f>IF($J20="","",INDEX('Document Register'!$A:$A,$J20))</f>
        <v/>
      </c>
      <c r="B20" s="41">
        <f>IF($J20="","",INDEX('Document Register'!$B:$B,$J20))</f>
        <v/>
      </c>
      <c r="C20" s="42">
        <f>IF($J20="","",INDEX('Document Register'!$C:$C,$J20))</f>
        <v/>
      </c>
      <c r="D20" s="41">
        <f>IF($J20="","",INDEX('Document Register'!$D:$D,$J20))</f>
        <v/>
      </c>
      <c r="E20" s="42">
        <f>IF($J20="","",INDEX('Document Register'!$E:$E,$J20))</f>
        <v/>
      </c>
      <c r="F20" s="43">
        <f>IF($J20="","",INDEX('Document Register'!$F:$F,$J20))</f>
        <v/>
      </c>
      <c r="G20" s="41">
        <f>IF($J20="","",INDEX('Document Register'!$I:$I,$J20))</f>
        <v/>
      </c>
      <c r="H20" s="41">
        <f>IF($J20="","",INDEX('Document Register'!$M:$M,$J20))</f>
        <v/>
      </c>
      <c r="J20">
        <f>IFERROR(SMALL('Document Register'!$O$5:$O$2000,ROW()-6),"")</f>
        <v/>
      </c>
    </row>
    <row r="21">
      <c r="A21" s="41">
        <f>IF($J21="","",INDEX('Document Register'!$A:$A,$J21))</f>
        <v/>
      </c>
      <c r="B21" s="41">
        <f>IF($J21="","",INDEX('Document Register'!$B:$B,$J21))</f>
        <v/>
      </c>
      <c r="C21" s="42">
        <f>IF($J21="","",INDEX('Document Register'!$C:$C,$J21))</f>
        <v/>
      </c>
      <c r="D21" s="41">
        <f>IF($J21="","",INDEX('Document Register'!$D:$D,$J21))</f>
        <v/>
      </c>
      <c r="E21" s="42">
        <f>IF($J21="","",INDEX('Document Register'!$E:$E,$J21))</f>
        <v/>
      </c>
      <c r="F21" s="43">
        <f>IF($J21="","",INDEX('Document Register'!$F:$F,$J21))</f>
        <v/>
      </c>
      <c r="G21" s="41">
        <f>IF($J21="","",INDEX('Document Register'!$I:$I,$J21))</f>
        <v/>
      </c>
      <c r="H21" s="41">
        <f>IF($J21="","",INDEX('Document Register'!$M:$M,$J21))</f>
        <v/>
      </c>
      <c r="J21">
        <f>IFERROR(SMALL('Document Register'!$O$5:$O$2000,ROW()-6),"")</f>
        <v/>
      </c>
    </row>
    <row r="22">
      <c r="A22" s="41">
        <f>IF($J22="","",INDEX('Document Register'!$A:$A,$J22))</f>
        <v/>
      </c>
      <c r="B22" s="41">
        <f>IF($J22="","",INDEX('Document Register'!$B:$B,$J22))</f>
        <v/>
      </c>
      <c r="C22" s="42">
        <f>IF($J22="","",INDEX('Document Register'!$C:$C,$J22))</f>
        <v/>
      </c>
      <c r="D22" s="41">
        <f>IF($J22="","",INDEX('Document Register'!$D:$D,$J22))</f>
        <v/>
      </c>
      <c r="E22" s="42">
        <f>IF($J22="","",INDEX('Document Register'!$E:$E,$J22))</f>
        <v/>
      </c>
      <c r="F22" s="43">
        <f>IF($J22="","",INDEX('Document Register'!$F:$F,$J22))</f>
        <v/>
      </c>
      <c r="G22" s="41">
        <f>IF($J22="","",INDEX('Document Register'!$I:$I,$J22))</f>
        <v/>
      </c>
      <c r="H22" s="41">
        <f>IF($J22="","",INDEX('Document Register'!$M:$M,$J22))</f>
        <v/>
      </c>
      <c r="J22">
        <f>IFERROR(SMALL('Document Register'!$O$5:$O$2000,ROW()-6),"")</f>
        <v/>
      </c>
    </row>
    <row r="23">
      <c r="A23" s="41">
        <f>IF($J23="","",INDEX('Document Register'!$A:$A,$J23))</f>
        <v/>
      </c>
      <c r="B23" s="41">
        <f>IF($J23="","",INDEX('Document Register'!$B:$B,$J23))</f>
        <v/>
      </c>
      <c r="C23" s="42">
        <f>IF($J23="","",INDEX('Document Register'!$C:$C,$J23))</f>
        <v/>
      </c>
      <c r="D23" s="41">
        <f>IF($J23="","",INDEX('Document Register'!$D:$D,$J23))</f>
        <v/>
      </c>
      <c r="E23" s="42">
        <f>IF($J23="","",INDEX('Document Register'!$E:$E,$J23))</f>
        <v/>
      </c>
      <c r="F23" s="43">
        <f>IF($J23="","",INDEX('Document Register'!$F:$F,$J23))</f>
        <v/>
      </c>
      <c r="G23" s="41">
        <f>IF($J23="","",INDEX('Document Register'!$I:$I,$J23))</f>
        <v/>
      </c>
      <c r="H23" s="41">
        <f>IF($J23="","",INDEX('Document Register'!$M:$M,$J23))</f>
        <v/>
      </c>
      <c r="J23">
        <f>IFERROR(SMALL('Document Register'!$O$5:$O$2000,ROW()-6),"")</f>
        <v/>
      </c>
    </row>
    <row r="24">
      <c r="A24" s="41">
        <f>IF($J24="","",INDEX('Document Register'!$A:$A,$J24))</f>
        <v/>
      </c>
      <c r="B24" s="41">
        <f>IF($J24="","",INDEX('Document Register'!$B:$B,$J24))</f>
        <v/>
      </c>
      <c r="C24" s="42">
        <f>IF($J24="","",INDEX('Document Register'!$C:$C,$J24))</f>
        <v/>
      </c>
      <c r="D24" s="41">
        <f>IF($J24="","",INDEX('Document Register'!$D:$D,$J24))</f>
        <v/>
      </c>
      <c r="E24" s="42">
        <f>IF($J24="","",INDEX('Document Register'!$E:$E,$J24))</f>
        <v/>
      </c>
      <c r="F24" s="43">
        <f>IF($J24="","",INDEX('Document Register'!$F:$F,$J24))</f>
        <v/>
      </c>
      <c r="G24" s="41">
        <f>IF($J24="","",INDEX('Document Register'!$I:$I,$J24))</f>
        <v/>
      </c>
      <c r="H24" s="41">
        <f>IF($J24="","",INDEX('Document Register'!$M:$M,$J24))</f>
        <v/>
      </c>
      <c r="J24">
        <f>IFERROR(SMALL('Document Register'!$O$5:$O$2000,ROW()-6),"")</f>
        <v/>
      </c>
    </row>
    <row r="25">
      <c r="A25" s="41">
        <f>IF($J25="","",INDEX('Document Register'!$A:$A,$J25))</f>
        <v/>
      </c>
      <c r="B25" s="41">
        <f>IF($J25="","",INDEX('Document Register'!$B:$B,$J25))</f>
        <v/>
      </c>
      <c r="C25" s="42">
        <f>IF($J25="","",INDEX('Document Register'!$C:$C,$J25))</f>
        <v/>
      </c>
      <c r="D25" s="41">
        <f>IF($J25="","",INDEX('Document Register'!$D:$D,$J25))</f>
        <v/>
      </c>
      <c r="E25" s="42">
        <f>IF($J25="","",INDEX('Document Register'!$E:$E,$J25))</f>
        <v/>
      </c>
      <c r="F25" s="43">
        <f>IF($J25="","",INDEX('Document Register'!$F:$F,$J25))</f>
        <v/>
      </c>
      <c r="G25" s="41">
        <f>IF($J25="","",INDEX('Document Register'!$I:$I,$J25))</f>
        <v/>
      </c>
      <c r="H25" s="41">
        <f>IF($J25="","",INDEX('Document Register'!$M:$M,$J25))</f>
        <v/>
      </c>
      <c r="J25">
        <f>IFERROR(SMALL('Document Register'!$O$5:$O$2000,ROW()-6),"")</f>
        <v/>
      </c>
    </row>
    <row r="26">
      <c r="A26" s="41">
        <f>IF($J26="","",INDEX('Document Register'!$A:$A,$J26))</f>
        <v/>
      </c>
      <c r="B26" s="41">
        <f>IF($J26="","",INDEX('Document Register'!$B:$B,$J26))</f>
        <v/>
      </c>
      <c r="C26" s="42">
        <f>IF($J26="","",INDEX('Document Register'!$C:$C,$J26))</f>
        <v/>
      </c>
      <c r="D26" s="41">
        <f>IF($J26="","",INDEX('Document Register'!$D:$D,$J26))</f>
        <v/>
      </c>
      <c r="E26" s="42">
        <f>IF($J26="","",INDEX('Document Register'!$E:$E,$J26))</f>
        <v/>
      </c>
      <c r="F26" s="43">
        <f>IF($J26="","",INDEX('Document Register'!$F:$F,$J26))</f>
        <v/>
      </c>
      <c r="G26" s="41">
        <f>IF($J26="","",INDEX('Document Register'!$I:$I,$J26))</f>
        <v/>
      </c>
      <c r="H26" s="41">
        <f>IF($J26="","",INDEX('Document Register'!$M:$M,$J26))</f>
        <v/>
      </c>
      <c r="J26">
        <f>IFERROR(SMALL('Document Register'!$O$5:$O$2000,ROW()-6),"")</f>
        <v/>
      </c>
    </row>
    <row r="27">
      <c r="A27" s="41">
        <f>IF($J27="","",INDEX('Document Register'!$A:$A,$J27))</f>
        <v/>
      </c>
      <c r="B27" s="41">
        <f>IF($J27="","",INDEX('Document Register'!$B:$B,$J27))</f>
        <v/>
      </c>
      <c r="C27" s="42">
        <f>IF($J27="","",INDEX('Document Register'!$C:$C,$J27))</f>
        <v/>
      </c>
      <c r="D27" s="41">
        <f>IF($J27="","",INDEX('Document Register'!$D:$D,$J27))</f>
        <v/>
      </c>
      <c r="E27" s="42">
        <f>IF($J27="","",INDEX('Document Register'!$E:$E,$J27))</f>
        <v/>
      </c>
      <c r="F27" s="43">
        <f>IF($J27="","",INDEX('Document Register'!$F:$F,$J27))</f>
        <v/>
      </c>
      <c r="G27" s="41">
        <f>IF($J27="","",INDEX('Document Register'!$I:$I,$J27))</f>
        <v/>
      </c>
      <c r="H27" s="41">
        <f>IF($J27="","",INDEX('Document Register'!$M:$M,$J27))</f>
        <v/>
      </c>
      <c r="J27">
        <f>IFERROR(SMALL('Document Register'!$O$5:$O$2000,ROW()-6),"")</f>
        <v/>
      </c>
    </row>
    <row r="28">
      <c r="A28" s="41">
        <f>IF($J28="","",INDEX('Document Register'!$A:$A,$J28))</f>
        <v/>
      </c>
      <c r="B28" s="41">
        <f>IF($J28="","",INDEX('Document Register'!$B:$B,$J28))</f>
        <v/>
      </c>
      <c r="C28" s="42">
        <f>IF($J28="","",INDEX('Document Register'!$C:$C,$J28))</f>
        <v/>
      </c>
      <c r="D28" s="41">
        <f>IF($J28="","",INDEX('Document Register'!$D:$D,$J28))</f>
        <v/>
      </c>
      <c r="E28" s="42">
        <f>IF($J28="","",INDEX('Document Register'!$E:$E,$J28))</f>
        <v/>
      </c>
      <c r="F28" s="43">
        <f>IF($J28="","",INDEX('Document Register'!$F:$F,$J28))</f>
        <v/>
      </c>
      <c r="G28" s="41">
        <f>IF($J28="","",INDEX('Document Register'!$I:$I,$J28))</f>
        <v/>
      </c>
      <c r="H28" s="41">
        <f>IF($J28="","",INDEX('Document Register'!$M:$M,$J28))</f>
        <v/>
      </c>
      <c r="J28">
        <f>IFERROR(SMALL('Document Register'!$O$5:$O$2000,ROW()-6),"")</f>
        <v/>
      </c>
    </row>
    <row r="29">
      <c r="A29" s="41">
        <f>IF($J29="","",INDEX('Document Register'!$A:$A,$J29))</f>
        <v/>
      </c>
      <c r="B29" s="41">
        <f>IF($J29="","",INDEX('Document Register'!$B:$B,$J29))</f>
        <v/>
      </c>
      <c r="C29" s="42">
        <f>IF($J29="","",INDEX('Document Register'!$C:$C,$J29))</f>
        <v/>
      </c>
      <c r="D29" s="41">
        <f>IF($J29="","",INDEX('Document Register'!$D:$D,$J29))</f>
        <v/>
      </c>
      <c r="E29" s="42">
        <f>IF($J29="","",INDEX('Document Register'!$E:$E,$J29))</f>
        <v/>
      </c>
      <c r="F29" s="43">
        <f>IF($J29="","",INDEX('Document Register'!$F:$F,$J29))</f>
        <v/>
      </c>
      <c r="G29" s="41">
        <f>IF($J29="","",INDEX('Document Register'!$I:$I,$J29))</f>
        <v/>
      </c>
      <c r="H29" s="41">
        <f>IF($J29="","",INDEX('Document Register'!$M:$M,$J29))</f>
        <v/>
      </c>
      <c r="J29">
        <f>IFERROR(SMALL('Document Register'!$O$5:$O$2000,ROW()-6),"")</f>
        <v/>
      </c>
    </row>
    <row r="30">
      <c r="A30" s="41">
        <f>IF($J30="","",INDEX('Document Register'!$A:$A,$J30))</f>
        <v/>
      </c>
      <c r="B30" s="41">
        <f>IF($J30="","",INDEX('Document Register'!$B:$B,$J30))</f>
        <v/>
      </c>
      <c r="C30" s="42">
        <f>IF($J30="","",INDEX('Document Register'!$C:$C,$J30))</f>
        <v/>
      </c>
      <c r="D30" s="41">
        <f>IF($J30="","",INDEX('Document Register'!$D:$D,$J30))</f>
        <v/>
      </c>
      <c r="E30" s="42">
        <f>IF($J30="","",INDEX('Document Register'!$E:$E,$J30))</f>
        <v/>
      </c>
      <c r="F30" s="43">
        <f>IF($J30="","",INDEX('Document Register'!$F:$F,$J30))</f>
        <v/>
      </c>
      <c r="G30" s="41">
        <f>IF($J30="","",INDEX('Document Register'!$I:$I,$J30))</f>
        <v/>
      </c>
      <c r="H30" s="41">
        <f>IF($J30="","",INDEX('Document Register'!$M:$M,$J30))</f>
        <v/>
      </c>
      <c r="J30">
        <f>IFERROR(SMALL('Document Register'!$O$5:$O$2000,ROW()-6),"")</f>
        <v/>
      </c>
    </row>
    <row r="31">
      <c r="A31" s="41">
        <f>IF($J31="","",INDEX('Document Register'!$A:$A,$J31))</f>
        <v/>
      </c>
      <c r="B31" s="41">
        <f>IF($J31="","",INDEX('Document Register'!$B:$B,$J31))</f>
        <v/>
      </c>
      <c r="C31" s="42">
        <f>IF($J31="","",INDEX('Document Register'!$C:$C,$J31))</f>
        <v/>
      </c>
      <c r="D31" s="41">
        <f>IF($J31="","",INDEX('Document Register'!$D:$D,$J31))</f>
        <v/>
      </c>
      <c r="E31" s="42">
        <f>IF($J31="","",INDEX('Document Register'!$E:$E,$J31))</f>
        <v/>
      </c>
      <c r="F31" s="43">
        <f>IF($J31="","",INDEX('Document Register'!$F:$F,$J31))</f>
        <v/>
      </c>
      <c r="G31" s="41">
        <f>IF($J31="","",INDEX('Document Register'!$I:$I,$J31))</f>
        <v/>
      </c>
      <c r="H31" s="41">
        <f>IF($J31="","",INDEX('Document Register'!$M:$M,$J31))</f>
        <v/>
      </c>
      <c r="J31">
        <f>IFERROR(SMALL('Document Register'!$O$5:$O$2000,ROW()-6),"")</f>
        <v/>
      </c>
    </row>
    <row r="32">
      <c r="A32" s="41">
        <f>IF($J32="","",INDEX('Document Register'!$A:$A,$J32))</f>
        <v/>
      </c>
      <c r="B32" s="41">
        <f>IF($J32="","",INDEX('Document Register'!$B:$B,$J32))</f>
        <v/>
      </c>
      <c r="C32" s="42">
        <f>IF($J32="","",INDEX('Document Register'!$C:$C,$J32))</f>
        <v/>
      </c>
      <c r="D32" s="41">
        <f>IF($J32="","",INDEX('Document Register'!$D:$D,$J32))</f>
        <v/>
      </c>
      <c r="E32" s="42">
        <f>IF($J32="","",INDEX('Document Register'!$E:$E,$J32))</f>
        <v/>
      </c>
      <c r="F32" s="43">
        <f>IF($J32="","",INDEX('Document Register'!$F:$F,$J32))</f>
        <v/>
      </c>
      <c r="G32" s="41">
        <f>IF($J32="","",INDEX('Document Register'!$I:$I,$J32))</f>
        <v/>
      </c>
      <c r="H32" s="41">
        <f>IF($J32="","",INDEX('Document Register'!$M:$M,$J32))</f>
        <v/>
      </c>
      <c r="J32">
        <f>IFERROR(SMALL('Document Register'!$O$5:$O$2000,ROW()-6),"")</f>
        <v/>
      </c>
    </row>
    <row r="33">
      <c r="A33" s="41">
        <f>IF($J33="","",INDEX('Document Register'!$A:$A,$J33))</f>
        <v/>
      </c>
      <c r="B33" s="41">
        <f>IF($J33="","",INDEX('Document Register'!$B:$B,$J33))</f>
        <v/>
      </c>
      <c r="C33" s="42">
        <f>IF($J33="","",INDEX('Document Register'!$C:$C,$J33))</f>
        <v/>
      </c>
      <c r="D33" s="41">
        <f>IF($J33="","",INDEX('Document Register'!$D:$D,$J33))</f>
        <v/>
      </c>
      <c r="E33" s="42">
        <f>IF($J33="","",INDEX('Document Register'!$E:$E,$J33))</f>
        <v/>
      </c>
      <c r="F33" s="43">
        <f>IF($J33="","",INDEX('Document Register'!$F:$F,$J33))</f>
        <v/>
      </c>
      <c r="G33" s="41">
        <f>IF($J33="","",INDEX('Document Register'!$I:$I,$J33))</f>
        <v/>
      </c>
      <c r="H33" s="41">
        <f>IF($J33="","",INDEX('Document Register'!$M:$M,$J33))</f>
        <v/>
      </c>
      <c r="J33">
        <f>IFERROR(SMALL('Document Register'!$O$5:$O$2000,ROW()-6),"")</f>
        <v/>
      </c>
    </row>
    <row r="34">
      <c r="A34" s="41">
        <f>IF($J34="","",INDEX('Document Register'!$A:$A,$J34))</f>
        <v/>
      </c>
      <c r="B34" s="41">
        <f>IF($J34="","",INDEX('Document Register'!$B:$B,$J34))</f>
        <v/>
      </c>
      <c r="C34" s="42">
        <f>IF($J34="","",INDEX('Document Register'!$C:$C,$J34))</f>
        <v/>
      </c>
      <c r="D34" s="41">
        <f>IF($J34="","",INDEX('Document Register'!$D:$D,$J34))</f>
        <v/>
      </c>
      <c r="E34" s="42">
        <f>IF($J34="","",INDEX('Document Register'!$E:$E,$J34))</f>
        <v/>
      </c>
      <c r="F34" s="43">
        <f>IF($J34="","",INDEX('Document Register'!$F:$F,$J34))</f>
        <v/>
      </c>
      <c r="G34" s="41">
        <f>IF($J34="","",INDEX('Document Register'!$I:$I,$J34))</f>
        <v/>
      </c>
      <c r="H34" s="41">
        <f>IF($J34="","",INDEX('Document Register'!$M:$M,$J34))</f>
        <v/>
      </c>
      <c r="J34">
        <f>IFERROR(SMALL('Document Register'!$O$5:$O$2000,ROW()-6),"")</f>
        <v/>
      </c>
    </row>
    <row r="35">
      <c r="A35" s="41">
        <f>IF($J35="","",INDEX('Document Register'!$A:$A,$J35))</f>
        <v/>
      </c>
      <c r="B35" s="41">
        <f>IF($J35="","",INDEX('Document Register'!$B:$B,$J35))</f>
        <v/>
      </c>
      <c r="C35" s="42">
        <f>IF($J35="","",INDEX('Document Register'!$C:$C,$J35))</f>
        <v/>
      </c>
      <c r="D35" s="41">
        <f>IF($J35="","",INDEX('Document Register'!$D:$D,$J35))</f>
        <v/>
      </c>
      <c r="E35" s="42">
        <f>IF($J35="","",INDEX('Document Register'!$E:$E,$J35))</f>
        <v/>
      </c>
      <c r="F35" s="43">
        <f>IF($J35="","",INDEX('Document Register'!$F:$F,$J35))</f>
        <v/>
      </c>
      <c r="G35" s="41">
        <f>IF($J35="","",INDEX('Document Register'!$I:$I,$J35))</f>
        <v/>
      </c>
      <c r="H35" s="41">
        <f>IF($J35="","",INDEX('Document Register'!$M:$M,$J35))</f>
        <v/>
      </c>
      <c r="J35">
        <f>IFERROR(SMALL('Document Register'!$O$5:$O$2000,ROW()-6),"")</f>
        <v/>
      </c>
    </row>
    <row r="36">
      <c r="A36" s="41">
        <f>IF($J36="","",INDEX('Document Register'!$A:$A,$J36))</f>
        <v/>
      </c>
      <c r="B36" s="41">
        <f>IF($J36="","",INDEX('Document Register'!$B:$B,$J36))</f>
        <v/>
      </c>
      <c r="C36" s="42">
        <f>IF($J36="","",INDEX('Document Register'!$C:$C,$J36))</f>
        <v/>
      </c>
      <c r="D36" s="41">
        <f>IF($J36="","",INDEX('Document Register'!$D:$D,$J36))</f>
        <v/>
      </c>
      <c r="E36" s="42">
        <f>IF($J36="","",INDEX('Document Register'!$E:$E,$J36))</f>
        <v/>
      </c>
      <c r="F36" s="43">
        <f>IF($J36="","",INDEX('Document Register'!$F:$F,$J36))</f>
        <v/>
      </c>
      <c r="G36" s="41">
        <f>IF($J36="","",INDEX('Document Register'!$I:$I,$J36))</f>
        <v/>
      </c>
      <c r="H36" s="41">
        <f>IF($J36="","",INDEX('Document Register'!$M:$M,$J36))</f>
        <v/>
      </c>
      <c r="J36">
        <f>IFERROR(SMALL('Document Register'!$O$5:$O$2000,ROW()-6),"")</f>
        <v/>
      </c>
    </row>
    <row r="37">
      <c r="A37" s="41">
        <f>IF($J37="","",INDEX('Document Register'!$A:$A,$J37))</f>
        <v/>
      </c>
      <c r="B37" s="41">
        <f>IF($J37="","",INDEX('Document Register'!$B:$B,$J37))</f>
        <v/>
      </c>
      <c r="C37" s="42">
        <f>IF($J37="","",INDEX('Document Register'!$C:$C,$J37))</f>
        <v/>
      </c>
      <c r="D37" s="41">
        <f>IF($J37="","",INDEX('Document Register'!$D:$D,$J37))</f>
        <v/>
      </c>
      <c r="E37" s="42">
        <f>IF($J37="","",INDEX('Document Register'!$E:$E,$J37))</f>
        <v/>
      </c>
      <c r="F37" s="43">
        <f>IF($J37="","",INDEX('Document Register'!$F:$F,$J37))</f>
        <v/>
      </c>
      <c r="G37" s="41">
        <f>IF($J37="","",INDEX('Document Register'!$I:$I,$J37))</f>
        <v/>
      </c>
      <c r="H37" s="41">
        <f>IF($J37="","",INDEX('Document Register'!$M:$M,$J37))</f>
        <v/>
      </c>
      <c r="J37">
        <f>IFERROR(SMALL('Document Register'!$O$5:$O$2000,ROW()-6),"")</f>
        <v/>
      </c>
    </row>
    <row r="38">
      <c r="A38" s="41">
        <f>IF($J38="","",INDEX('Document Register'!$A:$A,$J38))</f>
        <v/>
      </c>
      <c r="B38" s="41">
        <f>IF($J38="","",INDEX('Document Register'!$B:$B,$J38))</f>
        <v/>
      </c>
      <c r="C38" s="42">
        <f>IF($J38="","",INDEX('Document Register'!$C:$C,$J38))</f>
        <v/>
      </c>
      <c r="D38" s="41">
        <f>IF($J38="","",INDEX('Document Register'!$D:$D,$J38))</f>
        <v/>
      </c>
      <c r="E38" s="42">
        <f>IF($J38="","",INDEX('Document Register'!$E:$E,$J38))</f>
        <v/>
      </c>
      <c r="F38" s="43">
        <f>IF($J38="","",INDEX('Document Register'!$F:$F,$J38))</f>
        <v/>
      </c>
      <c r="G38" s="41">
        <f>IF($J38="","",INDEX('Document Register'!$I:$I,$J38))</f>
        <v/>
      </c>
      <c r="H38" s="41">
        <f>IF($J38="","",INDEX('Document Register'!$M:$M,$J38))</f>
        <v/>
      </c>
      <c r="J38">
        <f>IFERROR(SMALL('Document Register'!$O$5:$O$2000,ROW()-6),"")</f>
        <v/>
      </c>
    </row>
    <row r="39">
      <c r="A39" s="41">
        <f>IF($J39="","",INDEX('Document Register'!$A:$A,$J39))</f>
        <v/>
      </c>
      <c r="B39" s="41">
        <f>IF($J39="","",INDEX('Document Register'!$B:$B,$J39))</f>
        <v/>
      </c>
      <c r="C39" s="42">
        <f>IF($J39="","",INDEX('Document Register'!$C:$C,$J39))</f>
        <v/>
      </c>
      <c r="D39" s="41">
        <f>IF($J39="","",INDEX('Document Register'!$D:$D,$J39))</f>
        <v/>
      </c>
      <c r="E39" s="42">
        <f>IF($J39="","",INDEX('Document Register'!$E:$E,$J39))</f>
        <v/>
      </c>
      <c r="F39" s="43">
        <f>IF($J39="","",INDEX('Document Register'!$F:$F,$J39))</f>
        <v/>
      </c>
      <c r="G39" s="41">
        <f>IF($J39="","",INDEX('Document Register'!$I:$I,$J39))</f>
        <v/>
      </c>
      <c r="H39" s="41">
        <f>IF($J39="","",INDEX('Document Register'!$M:$M,$J39))</f>
        <v/>
      </c>
      <c r="J39">
        <f>IFERROR(SMALL('Document Register'!$O$5:$O$2000,ROW()-6),"")</f>
        <v/>
      </c>
    </row>
    <row r="40">
      <c r="A40" s="41">
        <f>IF($J40="","",INDEX('Document Register'!$A:$A,$J40))</f>
        <v/>
      </c>
      <c r="B40" s="41">
        <f>IF($J40="","",INDEX('Document Register'!$B:$B,$J40))</f>
        <v/>
      </c>
      <c r="C40" s="42">
        <f>IF($J40="","",INDEX('Document Register'!$C:$C,$J40))</f>
        <v/>
      </c>
      <c r="D40" s="41">
        <f>IF($J40="","",INDEX('Document Register'!$D:$D,$J40))</f>
        <v/>
      </c>
      <c r="E40" s="42">
        <f>IF($J40="","",INDEX('Document Register'!$E:$E,$J40))</f>
        <v/>
      </c>
      <c r="F40" s="43">
        <f>IF($J40="","",INDEX('Document Register'!$F:$F,$J40))</f>
        <v/>
      </c>
      <c r="G40" s="41">
        <f>IF($J40="","",INDEX('Document Register'!$I:$I,$J40))</f>
        <v/>
      </c>
      <c r="H40" s="41">
        <f>IF($J40="","",INDEX('Document Register'!$M:$M,$J40))</f>
        <v/>
      </c>
      <c r="J40">
        <f>IFERROR(SMALL('Document Register'!$O$5:$O$2000,ROW()-6),"")</f>
        <v/>
      </c>
    </row>
    <row r="41">
      <c r="A41" s="41">
        <f>IF($J41="","",INDEX('Document Register'!$A:$A,$J41))</f>
        <v/>
      </c>
      <c r="B41" s="41">
        <f>IF($J41="","",INDEX('Document Register'!$B:$B,$J41))</f>
        <v/>
      </c>
      <c r="C41" s="42">
        <f>IF($J41="","",INDEX('Document Register'!$C:$C,$J41))</f>
        <v/>
      </c>
      <c r="D41" s="41">
        <f>IF($J41="","",INDEX('Document Register'!$D:$D,$J41))</f>
        <v/>
      </c>
      <c r="E41" s="42">
        <f>IF($J41="","",INDEX('Document Register'!$E:$E,$J41))</f>
        <v/>
      </c>
      <c r="F41" s="43">
        <f>IF($J41="","",INDEX('Document Register'!$F:$F,$J41))</f>
        <v/>
      </c>
      <c r="G41" s="41">
        <f>IF($J41="","",INDEX('Document Register'!$I:$I,$J41))</f>
        <v/>
      </c>
      <c r="H41" s="41">
        <f>IF($J41="","",INDEX('Document Register'!$M:$M,$J41))</f>
        <v/>
      </c>
      <c r="J41">
        <f>IFERROR(SMALL('Document Register'!$O$5:$O$2000,ROW()-6),"")</f>
        <v/>
      </c>
    </row>
    <row r="42">
      <c r="A42" s="41">
        <f>IF($J42="","",INDEX('Document Register'!$A:$A,$J42))</f>
        <v/>
      </c>
      <c r="B42" s="41">
        <f>IF($J42="","",INDEX('Document Register'!$B:$B,$J42))</f>
        <v/>
      </c>
      <c r="C42" s="42">
        <f>IF($J42="","",INDEX('Document Register'!$C:$C,$J42))</f>
        <v/>
      </c>
      <c r="D42" s="41">
        <f>IF($J42="","",INDEX('Document Register'!$D:$D,$J42))</f>
        <v/>
      </c>
      <c r="E42" s="42">
        <f>IF($J42="","",INDEX('Document Register'!$E:$E,$J42))</f>
        <v/>
      </c>
      <c r="F42" s="43">
        <f>IF($J42="","",INDEX('Document Register'!$F:$F,$J42))</f>
        <v/>
      </c>
      <c r="G42" s="41">
        <f>IF($J42="","",INDEX('Document Register'!$I:$I,$J42))</f>
        <v/>
      </c>
      <c r="H42" s="41">
        <f>IF($J42="","",INDEX('Document Register'!$M:$M,$J42))</f>
        <v/>
      </c>
      <c r="J42">
        <f>IFERROR(SMALL('Document Register'!$O$5:$O$2000,ROW()-6),"")</f>
        <v/>
      </c>
    </row>
    <row r="43">
      <c r="A43" s="41">
        <f>IF($J43="","",INDEX('Document Register'!$A:$A,$J43))</f>
        <v/>
      </c>
      <c r="B43" s="41">
        <f>IF($J43="","",INDEX('Document Register'!$B:$B,$J43))</f>
        <v/>
      </c>
      <c r="C43" s="42">
        <f>IF($J43="","",INDEX('Document Register'!$C:$C,$J43))</f>
        <v/>
      </c>
      <c r="D43" s="41">
        <f>IF($J43="","",INDEX('Document Register'!$D:$D,$J43))</f>
        <v/>
      </c>
      <c r="E43" s="42">
        <f>IF($J43="","",INDEX('Document Register'!$E:$E,$J43))</f>
        <v/>
      </c>
      <c r="F43" s="43">
        <f>IF($J43="","",INDEX('Document Register'!$F:$F,$J43))</f>
        <v/>
      </c>
      <c r="G43" s="41">
        <f>IF($J43="","",INDEX('Document Register'!$I:$I,$J43))</f>
        <v/>
      </c>
      <c r="H43" s="41">
        <f>IF($J43="","",INDEX('Document Register'!$M:$M,$J43))</f>
        <v/>
      </c>
      <c r="J43">
        <f>IFERROR(SMALL('Document Register'!$O$5:$O$2000,ROW()-6),"")</f>
        <v/>
      </c>
    </row>
    <row r="44">
      <c r="A44" s="41">
        <f>IF($J44="","",INDEX('Document Register'!$A:$A,$J44))</f>
        <v/>
      </c>
      <c r="B44" s="41">
        <f>IF($J44="","",INDEX('Document Register'!$B:$B,$J44))</f>
        <v/>
      </c>
      <c r="C44" s="42">
        <f>IF($J44="","",INDEX('Document Register'!$C:$C,$J44))</f>
        <v/>
      </c>
      <c r="D44" s="41">
        <f>IF($J44="","",INDEX('Document Register'!$D:$D,$J44))</f>
        <v/>
      </c>
      <c r="E44" s="42">
        <f>IF($J44="","",INDEX('Document Register'!$E:$E,$J44))</f>
        <v/>
      </c>
      <c r="F44" s="43">
        <f>IF($J44="","",INDEX('Document Register'!$F:$F,$J44))</f>
        <v/>
      </c>
      <c r="G44" s="41">
        <f>IF($J44="","",INDEX('Document Register'!$I:$I,$J44))</f>
        <v/>
      </c>
      <c r="H44" s="41">
        <f>IF($J44="","",INDEX('Document Register'!$M:$M,$J44))</f>
        <v/>
      </c>
      <c r="J44">
        <f>IFERROR(SMALL('Document Register'!$O$5:$O$2000,ROW()-6),"")</f>
        <v/>
      </c>
    </row>
    <row r="45">
      <c r="A45" s="41">
        <f>IF($J45="","",INDEX('Document Register'!$A:$A,$J45))</f>
        <v/>
      </c>
      <c r="B45" s="41">
        <f>IF($J45="","",INDEX('Document Register'!$B:$B,$J45))</f>
        <v/>
      </c>
      <c r="C45" s="42">
        <f>IF($J45="","",INDEX('Document Register'!$C:$C,$J45))</f>
        <v/>
      </c>
      <c r="D45" s="41">
        <f>IF($J45="","",INDEX('Document Register'!$D:$D,$J45))</f>
        <v/>
      </c>
      <c r="E45" s="42">
        <f>IF($J45="","",INDEX('Document Register'!$E:$E,$J45))</f>
        <v/>
      </c>
      <c r="F45" s="43">
        <f>IF($J45="","",INDEX('Document Register'!$F:$F,$J45))</f>
        <v/>
      </c>
      <c r="G45" s="41">
        <f>IF($J45="","",INDEX('Document Register'!$I:$I,$J45))</f>
        <v/>
      </c>
      <c r="H45" s="41">
        <f>IF($J45="","",INDEX('Document Register'!$M:$M,$J45))</f>
        <v/>
      </c>
      <c r="J45">
        <f>IFERROR(SMALL('Document Register'!$O$5:$O$2000,ROW()-6),"")</f>
        <v/>
      </c>
    </row>
    <row r="46">
      <c r="A46" s="41">
        <f>IF($J46="","",INDEX('Document Register'!$A:$A,$J46))</f>
        <v/>
      </c>
      <c r="B46" s="41">
        <f>IF($J46="","",INDEX('Document Register'!$B:$B,$J46))</f>
        <v/>
      </c>
      <c r="C46" s="42">
        <f>IF($J46="","",INDEX('Document Register'!$C:$C,$J46))</f>
        <v/>
      </c>
      <c r="D46" s="41">
        <f>IF($J46="","",INDEX('Document Register'!$D:$D,$J46))</f>
        <v/>
      </c>
      <c r="E46" s="42">
        <f>IF($J46="","",INDEX('Document Register'!$E:$E,$J46))</f>
        <v/>
      </c>
      <c r="F46" s="43">
        <f>IF($J46="","",INDEX('Document Register'!$F:$F,$J46))</f>
        <v/>
      </c>
      <c r="G46" s="41">
        <f>IF($J46="","",INDEX('Document Register'!$I:$I,$J46))</f>
        <v/>
      </c>
      <c r="H46" s="41">
        <f>IF($J46="","",INDEX('Document Register'!$M:$M,$J46))</f>
        <v/>
      </c>
      <c r="J46">
        <f>IFERROR(SMALL('Document Register'!$O$5:$O$2000,ROW()-6),"")</f>
        <v/>
      </c>
    </row>
    <row r="47">
      <c r="A47" s="41">
        <f>IF($J47="","",INDEX('Document Register'!$A:$A,$J47))</f>
        <v/>
      </c>
      <c r="B47" s="41">
        <f>IF($J47="","",INDEX('Document Register'!$B:$B,$J47))</f>
        <v/>
      </c>
      <c r="C47" s="42">
        <f>IF($J47="","",INDEX('Document Register'!$C:$C,$J47))</f>
        <v/>
      </c>
      <c r="D47" s="41">
        <f>IF($J47="","",INDEX('Document Register'!$D:$D,$J47))</f>
        <v/>
      </c>
      <c r="E47" s="42">
        <f>IF($J47="","",INDEX('Document Register'!$E:$E,$J47))</f>
        <v/>
      </c>
      <c r="F47" s="43">
        <f>IF($J47="","",INDEX('Document Register'!$F:$F,$J47))</f>
        <v/>
      </c>
      <c r="G47" s="41">
        <f>IF($J47="","",INDEX('Document Register'!$I:$I,$J47))</f>
        <v/>
      </c>
      <c r="H47" s="41">
        <f>IF($J47="","",INDEX('Document Register'!$M:$M,$J47))</f>
        <v/>
      </c>
      <c r="J47">
        <f>IFERROR(SMALL('Document Register'!$O$5:$O$2000,ROW()-6),"")</f>
        <v/>
      </c>
    </row>
    <row r="48">
      <c r="A48" s="41">
        <f>IF($J48="","",INDEX('Document Register'!$A:$A,$J48))</f>
        <v/>
      </c>
      <c r="B48" s="41">
        <f>IF($J48="","",INDEX('Document Register'!$B:$B,$J48))</f>
        <v/>
      </c>
      <c r="C48" s="42">
        <f>IF($J48="","",INDEX('Document Register'!$C:$C,$J48))</f>
        <v/>
      </c>
      <c r="D48" s="41">
        <f>IF($J48="","",INDEX('Document Register'!$D:$D,$J48))</f>
        <v/>
      </c>
      <c r="E48" s="42">
        <f>IF($J48="","",INDEX('Document Register'!$E:$E,$J48))</f>
        <v/>
      </c>
      <c r="F48" s="43">
        <f>IF($J48="","",INDEX('Document Register'!$F:$F,$J48))</f>
        <v/>
      </c>
      <c r="G48" s="41">
        <f>IF($J48="","",INDEX('Document Register'!$I:$I,$J48))</f>
        <v/>
      </c>
      <c r="H48" s="41">
        <f>IF($J48="","",INDEX('Document Register'!$M:$M,$J48))</f>
        <v/>
      </c>
      <c r="J48">
        <f>IFERROR(SMALL('Document Register'!$O$5:$O$2000,ROW()-6),"")</f>
        <v/>
      </c>
    </row>
    <row r="49">
      <c r="A49" s="41">
        <f>IF($J49="","",INDEX('Document Register'!$A:$A,$J49))</f>
        <v/>
      </c>
      <c r="B49" s="41">
        <f>IF($J49="","",INDEX('Document Register'!$B:$B,$J49))</f>
        <v/>
      </c>
      <c r="C49" s="42">
        <f>IF($J49="","",INDEX('Document Register'!$C:$C,$J49))</f>
        <v/>
      </c>
      <c r="D49" s="41">
        <f>IF($J49="","",INDEX('Document Register'!$D:$D,$J49))</f>
        <v/>
      </c>
      <c r="E49" s="42">
        <f>IF($J49="","",INDEX('Document Register'!$E:$E,$J49))</f>
        <v/>
      </c>
      <c r="F49" s="43">
        <f>IF($J49="","",INDEX('Document Register'!$F:$F,$J49))</f>
        <v/>
      </c>
      <c r="G49" s="41">
        <f>IF($J49="","",INDEX('Document Register'!$I:$I,$J49))</f>
        <v/>
      </c>
      <c r="H49" s="41">
        <f>IF($J49="","",INDEX('Document Register'!$M:$M,$J49))</f>
        <v/>
      </c>
      <c r="J49">
        <f>IFERROR(SMALL('Document Register'!$O$5:$O$2000,ROW()-6),"")</f>
        <v/>
      </c>
    </row>
    <row r="50">
      <c r="A50" s="41">
        <f>IF($J50="","",INDEX('Document Register'!$A:$A,$J50))</f>
        <v/>
      </c>
      <c r="B50" s="41">
        <f>IF($J50="","",INDEX('Document Register'!$B:$B,$J50))</f>
        <v/>
      </c>
      <c r="C50" s="42">
        <f>IF($J50="","",INDEX('Document Register'!$C:$C,$J50))</f>
        <v/>
      </c>
      <c r="D50" s="41">
        <f>IF($J50="","",INDEX('Document Register'!$D:$D,$J50))</f>
        <v/>
      </c>
      <c r="E50" s="42">
        <f>IF($J50="","",INDEX('Document Register'!$E:$E,$J50))</f>
        <v/>
      </c>
      <c r="F50" s="43">
        <f>IF($J50="","",INDEX('Document Register'!$F:$F,$J50))</f>
        <v/>
      </c>
      <c r="G50" s="41">
        <f>IF($J50="","",INDEX('Document Register'!$I:$I,$J50))</f>
        <v/>
      </c>
      <c r="H50" s="41">
        <f>IF($J50="","",INDEX('Document Register'!$M:$M,$J50))</f>
        <v/>
      </c>
      <c r="J50">
        <f>IFERROR(SMALL('Document Register'!$O$5:$O$2000,ROW()-6),"")</f>
        <v/>
      </c>
    </row>
    <row r="51">
      <c r="A51" s="41">
        <f>IF($J51="","",INDEX('Document Register'!$A:$A,$J51))</f>
        <v/>
      </c>
      <c r="B51" s="41">
        <f>IF($J51="","",INDEX('Document Register'!$B:$B,$J51))</f>
        <v/>
      </c>
      <c r="C51" s="42">
        <f>IF($J51="","",INDEX('Document Register'!$C:$C,$J51))</f>
        <v/>
      </c>
      <c r="D51" s="41">
        <f>IF($J51="","",INDEX('Document Register'!$D:$D,$J51))</f>
        <v/>
      </c>
      <c r="E51" s="42">
        <f>IF($J51="","",INDEX('Document Register'!$E:$E,$J51))</f>
        <v/>
      </c>
      <c r="F51" s="43">
        <f>IF($J51="","",INDEX('Document Register'!$F:$F,$J51))</f>
        <v/>
      </c>
      <c r="G51" s="41">
        <f>IF($J51="","",INDEX('Document Register'!$I:$I,$J51))</f>
        <v/>
      </c>
      <c r="H51" s="41">
        <f>IF($J51="","",INDEX('Document Register'!$M:$M,$J51))</f>
        <v/>
      </c>
      <c r="J51">
        <f>IFERROR(SMALL('Document Register'!$O$5:$O$2000,ROW()-6),"")</f>
        <v/>
      </c>
    </row>
    <row r="52">
      <c r="A52" s="41">
        <f>IF($J52="","",INDEX('Document Register'!$A:$A,$J52))</f>
        <v/>
      </c>
      <c r="B52" s="41">
        <f>IF($J52="","",INDEX('Document Register'!$B:$B,$J52))</f>
        <v/>
      </c>
      <c r="C52" s="42">
        <f>IF($J52="","",INDEX('Document Register'!$C:$C,$J52))</f>
        <v/>
      </c>
      <c r="D52" s="41">
        <f>IF($J52="","",INDEX('Document Register'!$D:$D,$J52))</f>
        <v/>
      </c>
      <c r="E52" s="42">
        <f>IF($J52="","",INDEX('Document Register'!$E:$E,$J52))</f>
        <v/>
      </c>
      <c r="F52" s="43">
        <f>IF($J52="","",INDEX('Document Register'!$F:$F,$J52))</f>
        <v/>
      </c>
      <c r="G52" s="41">
        <f>IF($J52="","",INDEX('Document Register'!$I:$I,$J52))</f>
        <v/>
      </c>
      <c r="H52" s="41">
        <f>IF($J52="","",INDEX('Document Register'!$M:$M,$J52))</f>
        <v/>
      </c>
      <c r="J52">
        <f>IFERROR(SMALL('Document Register'!$O$5:$O$2000,ROW()-6),"")</f>
        <v/>
      </c>
    </row>
    <row r="53">
      <c r="A53" s="41">
        <f>IF($J53="","",INDEX('Document Register'!$A:$A,$J53))</f>
        <v/>
      </c>
      <c r="B53" s="41">
        <f>IF($J53="","",INDEX('Document Register'!$B:$B,$J53))</f>
        <v/>
      </c>
      <c r="C53" s="42">
        <f>IF($J53="","",INDEX('Document Register'!$C:$C,$J53))</f>
        <v/>
      </c>
      <c r="D53" s="41">
        <f>IF($J53="","",INDEX('Document Register'!$D:$D,$J53))</f>
        <v/>
      </c>
      <c r="E53" s="42">
        <f>IF($J53="","",INDEX('Document Register'!$E:$E,$J53))</f>
        <v/>
      </c>
      <c r="F53" s="43">
        <f>IF($J53="","",INDEX('Document Register'!$F:$F,$J53))</f>
        <v/>
      </c>
      <c r="G53" s="41">
        <f>IF($J53="","",INDEX('Document Register'!$I:$I,$J53))</f>
        <v/>
      </c>
      <c r="H53" s="41">
        <f>IF($J53="","",INDEX('Document Register'!$M:$M,$J53))</f>
        <v/>
      </c>
      <c r="J53">
        <f>IFERROR(SMALL('Document Register'!$O$5:$O$2000,ROW()-6),"")</f>
        <v/>
      </c>
    </row>
    <row r="54">
      <c r="A54" s="41">
        <f>IF($J54="","",INDEX('Document Register'!$A:$A,$J54))</f>
        <v/>
      </c>
      <c r="B54" s="41">
        <f>IF($J54="","",INDEX('Document Register'!$B:$B,$J54))</f>
        <v/>
      </c>
      <c r="C54" s="42">
        <f>IF($J54="","",INDEX('Document Register'!$C:$C,$J54))</f>
        <v/>
      </c>
      <c r="D54" s="41">
        <f>IF($J54="","",INDEX('Document Register'!$D:$D,$J54))</f>
        <v/>
      </c>
      <c r="E54" s="42">
        <f>IF($J54="","",INDEX('Document Register'!$E:$E,$J54))</f>
        <v/>
      </c>
      <c r="F54" s="43">
        <f>IF($J54="","",INDEX('Document Register'!$F:$F,$J54))</f>
        <v/>
      </c>
      <c r="G54" s="41">
        <f>IF($J54="","",INDEX('Document Register'!$I:$I,$J54))</f>
        <v/>
      </c>
      <c r="H54" s="41">
        <f>IF($J54="","",INDEX('Document Register'!$M:$M,$J54))</f>
        <v/>
      </c>
      <c r="J54">
        <f>IFERROR(SMALL('Document Register'!$O$5:$O$2000,ROW()-6),"")</f>
        <v/>
      </c>
    </row>
    <row r="55">
      <c r="A55" s="41">
        <f>IF($J55="","",INDEX('Document Register'!$A:$A,$J55))</f>
        <v/>
      </c>
      <c r="B55" s="41">
        <f>IF($J55="","",INDEX('Document Register'!$B:$B,$J55))</f>
        <v/>
      </c>
      <c r="C55" s="42">
        <f>IF($J55="","",INDEX('Document Register'!$C:$C,$J55))</f>
        <v/>
      </c>
      <c r="D55" s="41">
        <f>IF($J55="","",INDEX('Document Register'!$D:$D,$J55))</f>
        <v/>
      </c>
      <c r="E55" s="42">
        <f>IF($J55="","",INDEX('Document Register'!$E:$E,$J55))</f>
        <v/>
      </c>
      <c r="F55" s="43">
        <f>IF($J55="","",INDEX('Document Register'!$F:$F,$J55))</f>
        <v/>
      </c>
      <c r="G55" s="41">
        <f>IF($J55="","",INDEX('Document Register'!$I:$I,$J55))</f>
        <v/>
      </c>
      <c r="H55" s="41">
        <f>IF($J55="","",INDEX('Document Register'!$M:$M,$J55))</f>
        <v/>
      </c>
      <c r="J55">
        <f>IFERROR(SMALL('Document Register'!$O$5:$O$2000,ROW()-6),"")</f>
        <v/>
      </c>
    </row>
    <row r="56">
      <c r="A56" s="41">
        <f>IF($J56="","",INDEX('Document Register'!$A:$A,$J56))</f>
        <v/>
      </c>
      <c r="B56" s="41">
        <f>IF($J56="","",INDEX('Document Register'!$B:$B,$J56))</f>
        <v/>
      </c>
      <c r="C56" s="42">
        <f>IF($J56="","",INDEX('Document Register'!$C:$C,$J56))</f>
        <v/>
      </c>
      <c r="D56" s="41">
        <f>IF($J56="","",INDEX('Document Register'!$D:$D,$J56))</f>
        <v/>
      </c>
      <c r="E56" s="42">
        <f>IF($J56="","",INDEX('Document Register'!$E:$E,$J56))</f>
        <v/>
      </c>
      <c r="F56" s="43">
        <f>IF($J56="","",INDEX('Document Register'!$F:$F,$J56))</f>
        <v/>
      </c>
      <c r="G56" s="41">
        <f>IF($J56="","",INDEX('Document Register'!$I:$I,$J56))</f>
        <v/>
      </c>
      <c r="H56" s="41">
        <f>IF($J56="","",INDEX('Document Register'!$M:$M,$J56))</f>
        <v/>
      </c>
      <c r="J56">
        <f>IFERROR(SMALL('Document Register'!$O$5:$O$2000,ROW()-6),"")</f>
        <v/>
      </c>
    </row>
  </sheetData>
  <mergeCells count="2">
    <mergeCell ref="A2:H2"/>
    <mergeCell ref="A1:H1"/>
  </mergeCells>
  <conditionalFormatting sqref="G7:G56">
    <cfRule type="expression" priority="1" dxfId="0">
      <formula>LEFT($G7,6)="Code A"</formula>
    </cfRule>
    <cfRule type="expression" priority="2" dxfId="1">
      <formula>LEFT($G7,6)="Code B"</formula>
    </cfRule>
    <cfRule type="expression" priority="3" dxfId="2">
      <formula>LEFT($G7,6)="Code C"</formula>
    </cfRule>
    <cfRule type="expression" priority="4" dxfId="3">
      <formula>LEFT($G7,6)="Code D"</formula>
    </cfRule>
    <cfRule type="expression" priority="5" dxfId="4">
      <formula>LEFT($G7,12)="Under Review"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0" customWidth="1" min="2" max="2"/>
    <col width="18" customWidth="1" min="3" max="3"/>
    <col width="13" customWidth="1" min="4" max="4"/>
    <col width="6" customWidth="1" min="5" max="5"/>
    <col width="11" customWidth="1" min="6" max="6"/>
    <col width="14" customWidth="1" min="7" max="7"/>
    <col width="27" customWidth="1" min="8" max="8"/>
    <col width="30" customWidth="1" min="9" max="9"/>
    <col width="11" customWidth="1" min="10" max="10"/>
    <col width="11" customWidth="1" min="11" max="11"/>
    <col width="24" customWidth="1" min="12" max="12"/>
    <col width="40" customWidth="1" min="13" max="13"/>
    <col hidden="1" width="13" customWidth="1" min="15" max="15"/>
  </cols>
  <sheetData>
    <row r="1" ht="36" customHeight="1">
      <c r="A1" s="33" t="inlineStr">
        <is>
          <t>Document Control Register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</row>
    <row r="2">
      <c r="A2" s="35" t="inlineStr">
        <is>
          <t>Coastal Tunnel Package (CTP) – Desert Horizon JV  •  Client: Coastal Gateway Development Authority  •  Demo data</t>
        </is>
      </c>
    </row>
    <row r="3" ht="4" customHeight="1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</row>
    <row r="4">
      <c r="A4" s="40" t="inlineStr">
        <is>
          <t>Document No.</t>
        </is>
      </c>
      <c r="B4" s="40" t="inlineStr">
        <is>
          <t>Title</t>
        </is>
      </c>
      <c r="C4" s="40" t="inlineStr">
        <is>
          <t>Type</t>
        </is>
      </c>
      <c r="D4" s="40" t="inlineStr">
        <is>
          <t>Discipline</t>
        </is>
      </c>
      <c r="E4" s="40" t="inlineStr">
        <is>
          <t>Rev</t>
        </is>
      </c>
      <c r="F4" s="40" t="inlineStr">
        <is>
          <t>Submitted</t>
        </is>
      </c>
      <c r="G4" s="40" t="inlineStr">
        <is>
          <t>Transmittal No.</t>
        </is>
      </c>
      <c r="H4" s="40" t="inlineStr">
        <is>
          <t>Reviewer</t>
        </is>
      </c>
      <c r="I4" s="40" t="inlineStr">
        <is>
          <t>Review Status</t>
        </is>
      </c>
      <c r="J4" s="40" t="inlineStr">
        <is>
          <t>Response</t>
        </is>
      </c>
      <c r="K4" s="40" t="inlineStr">
        <is>
          <t>Days in Review</t>
        </is>
      </c>
      <c r="L4" s="40" t="inlineStr">
        <is>
          <t>Next Action</t>
        </is>
      </c>
      <c r="M4" s="40" t="inlineStr">
        <is>
          <t>File Location</t>
        </is>
      </c>
    </row>
    <row r="5">
      <c r="A5" s="44" t="inlineStr">
        <is>
          <t>CTP-DHJ-HSE-MAT-0003</t>
        </is>
      </c>
      <c r="B5" s="44" t="inlineStr">
        <is>
          <t>Ventilation fans</t>
        </is>
      </c>
      <c r="C5" s="45" t="inlineStr">
        <is>
          <t>Material Submittal</t>
        </is>
      </c>
      <c r="D5" s="44" t="inlineStr">
        <is>
          <t>HSE</t>
        </is>
      </c>
      <c r="E5" s="45" t="inlineStr">
        <is>
          <t>A</t>
        </is>
      </c>
      <c r="F5" s="46" t="n">
        <v>46083</v>
      </c>
      <c r="G5" s="45" t="inlineStr">
        <is>
          <t>TRN-01059</t>
        </is>
      </c>
      <c r="H5" s="44" t="inlineStr">
        <is>
          <t>Meridian Engineering Partners</t>
        </is>
      </c>
      <c r="I5" s="44" t="inlineStr">
        <is>
          <t>Code B – Approved with Comments</t>
        </is>
      </c>
      <c r="J5" s="46" t="n">
        <v>46089</v>
      </c>
      <c r="K5" s="45">
        <f>IF(J5="",TODAY()-F5,J5-F5)</f>
        <v/>
      </c>
      <c r="L5" s="44" t="inlineStr">
        <is>
          <t>Incorporate comments</t>
        </is>
      </c>
      <c r="M5" s="44" t="inlineStr">
        <is>
          <t>\\DC\HSE\Material Submittal\CTP-DHJ-HSE-MAT-0003</t>
        </is>
      </c>
      <c r="O5">
        <f>IF(Search!$C$4="","",IF(ISNUMBER(SEARCH(Search!$C$4,A5&amp;" "&amp;B5&amp;" "&amp;C5&amp;" "&amp;D5&amp;" "&amp;G5&amp;" "&amp;I5)),ROW(),""))</f>
        <v/>
      </c>
    </row>
    <row r="6">
      <c r="A6" s="41" t="inlineStr">
        <is>
          <t>CTP-DHJ-HSE-MAT-0001</t>
        </is>
      </c>
      <c r="B6" s="41" t="inlineStr">
        <is>
          <t>Precast segment gaskets</t>
        </is>
      </c>
      <c r="C6" s="42" t="inlineStr">
        <is>
          <t>Material Submittal</t>
        </is>
      </c>
      <c r="D6" s="41" t="inlineStr">
        <is>
          <t>HSE</t>
        </is>
      </c>
      <c r="E6" s="42" t="inlineStr">
        <is>
          <t>A</t>
        </is>
      </c>
      <c r="F6" s="43" t="n">
        <v>46085</v>
      </c>
      <c r="G6" s="42" t="inlineStr">
        <is>
          <t>TRN-01003</t>
        </is>
      </c>
      <c r="H6" s="41" t="inlineStr">
        <is>
          <t>Meridian Engineering Partners</t>
        </is>
      </c>
      <c r="I6" s="41" t="inlineStr">
        <is>
          <t>Code C – Revise &amp; Resubmit</t>
        </is>
      </c>
      <c r="J6" s="43" t="n">
        <v>46091</v>
      </c>
      <c r="K6" s="42">
        <f>IF(J6="",TODAY()-F6,J6-F6)</f>
        <v/>
      </c>
      <c r="L6" s="41" t="inlineStr">
        <is>
          <t>Revise and resubmit</t>
        </is>
      </c>
      <c r="M6" s="41" t="inlineStr">
        <is>
          <t>\\DC\HSE\Material Submittal\CTP-DHJ-HSE-MAT-0001</t>
        </is>
      </c>
      <c r="O6">
        <f>IF(Search!$C$4="","",IF(ISNUMBER(SEARCH(Search!$C$4,A6&amp;" "&amp;B6&amp;" "&amp;C6&amp;" "&amp;D6&amp;" "&amp;G6&amp;" "&amp;I6)),ROW(),""))</f>
        <v/>
      </c>
    </row>
    <row r="7">
      <c r="A7" s="44" t="inlineStr">
        <is>
          <t>CTP-DHJ-MEP-MAT-0003</t>
        </is>
      </c>
      <c r="B7" s="44" t="inlineStr">
        <is>
          <t>Ventilation fans</t>
        </is>
      </c>
      <c r="C7" s="45" t="inlineStr">
        <is>
          <t>Material Submittal</t>
        </is>
      </c>
      <c r="D7" s="44" t="inlineStr">
        <is>
          <t>MEP</t>
        </is>
      </c>
      <c r="E7" s="45" t="inlineStr">
        <is>
          <t>A</t>
        </is>
      </c>
      <c r="F7" s="46" t="n">
        <v>46087</v>
      </c>
      <c r="G7" s="45" t="inlineStr">
        <is>
          <t>TRN-01034</t>
        </is>
      </c>
      <c r="H7" s="44" t="inlineStr">
        <is>
          <t>Meridian Engineering Partners</t>
        </is>
      </c>
      <c r="I7" s="44" t="inlineStr">
        <is>
          <t>Code A – Approved</t>
        </is>
      </c>
      <c r="J7" s="46" t="n">
        <v>46107</v>
      </c>
      <c r="K7" s="45">
        <f>IF(J7="",TODAY()-F7,J7-F7)</f>
        <v/>
      </c>
      <c r="L7" s="44" t="inlineStr">
        <is>
          <t>Issue for construction</t>
        </is>
      </c>
      <c r="M7" s="44" t="inlineStr">
        <is>
          <t>\\DC\MEP\Material Submittal\CTP-DHJ-MEP-MAT-0003</t>
        </is>
      </c>
      <c r="O7">
        <f>IF(Search!$C$4="","",IF(ISNUMBER(SEARCH(Search!$C$4,A7&amp;" "&amp;B7&amp;" "&amp;C7&amp;" "&amp;D7&amp;" "&amp;G7&amp;" "&amp;I7)),ROW(),""))</f>
        <v/>
      </c>
    </row>
    <row r="8">
      <c r="A8" s="41" t="inlineStr">
        <is>
          <t>CTP-DHJ-HSE-RPT-0004</t>
        </is>
      </c>
      <c r="B8" s="41" t="inlineStr">
        <is>
          <t>Weld inspection</t>
        </is>
      </c>
      <c r="C8" s="42" t="inlineStr">
        <is>
          <t>Inspection Report</t>
        </is>
      </c>
      <c r="D8" s="41" t="inlineStr">
        <is>
          <t>HSE</t>
        </is>
      </c>
      <c r="E8" s="42" t="inlineStr">
        <is>
          <t>A</t>
        </is>
      </c>
      <c r="F8" s="43" t="n">
        <v>46087</v>
      </c>
      <c r="G8" s="42" t="inlineStr">
        <is>
          <t>TRN-01086</t>
        </is>
      </c>
      <c r="H8" s="41" t="inlineStr">
        <is>
          <t>Meridian Engineering Partners</t>
        </is>
      </c>
      <c r="I8" s="41" t="inlineStr">
        <is>
          <t>Code A – Approved</t>
        </is>
      </c>
      <c r="J8" s="43" t="n">
        <v>46099</v>
      </c>
      <c r="K8" s="42">
        <f>IF(J8="",TODAY()-F8,J8-F8)</f>
        <v/>
      </c>
      <c r="L8" s="41" t="inlineStr">
        <is>
          <t>Issue for construction</t>
        </is>
      </c>
      <c r="M8" s="41" t="inlineStr">
        <is>
          <t>\\DC\HSE\Inspection Report\CTP-DHJ-HSE-RPT-0004</t>
        </is>
      </c>
      <c r="O8">
        <f>IF(Search!$C$4="","",IF(ISNUMBER(SEARCH(Search!$C$4,A8&amp;" "&amp;B8&amp;" "&amp;C8&amp;" "&amp;D8&amp;" "&amp;G8&amp;" "&amp;I8)),ROW(),""))</f>
        <v/>
      </c>
    </row>
    <row r="9">
      <c r="A9" s="44" t="inlineStr">
        <is>
          <t>CTP-DHJ-TUN-MAT-0011</t>
        </is>
      </c>
      <c r="B9" s="44" t="inlineStr">
        <is>
          <t>Precast segment gaskets</t>
        </is>
      </c>
      <c r="C9" s="45" t="inlineStr">
        <is>
          <t>Material Submittal</t>
        </is>
      </c>
      <c r="D9" s="44" t="inlineStr">
        <is>
          <t>Tunnelling</t>
        </is>
      </c>
      <c r="E9" s="45" t="inlineStr">
        <is>
          <t>1</t>
        </is>
      </c>
      <c r="F9" s="46" t="n">
        <v>46087</v>
      </c>
      <c r="G9" s="45" t="inlineStr">
        <is>
          <t>TRN-01215</t>
        </is>
      </c>
      <c r="H9" s="44" t="inlineStr">
        <is>
          <t>Meridian Engineering Partners</t>
        </is>
      </c>
      <c r="I9" s="44" t="inlineStr">
        <is>
          <t>Code D – Rejected</t>
        </is>
      </c>
      <c r="J9" s="46" t="n">
        <v>46106</v>
      </c>
      <c r="K9" s="45">
        <f>IF(J9="",TODAY()-F9,J9-F9)</f>
        <v/>
      </c>
      <c r="L9" s="44" t="inlineStr">
        <is>
          <t>Prepare new submission</t>
        </is>
      </c>
      <c r="M9" s="44" t="inlineStr">
        <is>
          <t>\\DC\Tunnelling\Material Submittal\CTP-DHJ-TUN-MAT-0011</t>
        </is>
      </c>
      <c r="O9">
        <f>IF(Search!$C$4="","",IF(ISNUMBER(SEARCH(Search!$C$4,A9&amp;" "&amp;B9&amp;" "&amp;C9&amp;" "&amp;D9&amp;" "&amp;G9&amp;" "&amp;I9)),ROW(),""))</f>
        <v/>
      </c>
    </row>
    <row r="10">
      <c r="A10" s="41" t="inlineStr">
        <is>
          <t>CTP-DHJ-GEO-DWG-0010</t>
        </is>
      </c>
      <c r="B10" s="41" t="inlineStr">
        <is>
          <t>Drainage layout</t>
        </is>
      </c>
      <c r="C10" s="42" t="inlineStr">
        <is>
          <t>Drawing</t>
        </is>
      </c>
      <c r="D10" s="41" t="inlineStr">
        <is>
          <t>Geotechnical</t>
        </is>
      </c>
      <c r="E10" s="42" t="inlineStr">
        <is>
          <t>A</t>
        </is>
      </c>
      <c r="F10" s="43" t="n">
        <v>46088</v>
      </c>
      <c r="G10" s="42" t="inlineStr">
        <is>
          <t>TRN-01178</t>
        </is>
      </c>
      <c r="H10" s="41" t="inlineStr">
        <is>
          <t>Meridian Engineering Partners</t>
        </is>
      </c>
      <c r="I10" s="41" t="inlineStr">
        <is>
          <t>Code A – Approved</t>
        </is>
      </c>
      <c r="J10" s="43" t="n">
        <v>46107</v>
      </c>
      <c r="K10" s="42">
        <f>IF(J10="",TODAY()-F10,J10-F10)</f>
        <v/>
      </c>
      <c r="L10" s="41" t="inlineStr">
        <is>
          <t>Issue for construction</t>
        </is>
      </c>
      <c r="M10" s="41" t="inlineStr">
        <is>
          <t>\\DC\Geotechnical\Drawing\CTP-DHJ-GEO-DWG-0010</t>
        </is>
      </c>
      <c r="O10">
        <f>IF(Search!$C$4="","",IF(ISNUMBER(SEARCH(Search!$C$4,A10&amp;" "&amp;B10&amp;" "&amp;C10&amp;" "&amp;D10&amp;" "&amp;G10&amp;" "&amp;I10)),ROW(),""))</f>
        <v/>
      </c>
    </row>
    <row r="11">
      <c r="A11" s="44" t="inlineStr">
        <is>
          <t>CTP-DHJ-GEO-MAT-0008</t>
        </is>
      </c>
      <c r="B11" s="44" t="inlineStr">
        <is>
          <t>Precast segment gaskets</t>
        </is>
      </c>
      <c r="C11" s="45" t="inlineStr">
        <is>
          <t>Material Submittal</t>
        </is>
      </c>
      <c r="D11" s="44" t="inlineStr">
        <is>
          <t>Geotechnical</t>
        </is>
      </c>
      <c r="E11" s="45" t="inlineStr">
        <is>
          <t>B</t>
        </is>
      </c>
      <c r="F11" s="46" t="n">
        <v>46089</v>
      </c>
      <c r="G11" s="45" t="inlineStr">
        <is>
          <t>TRN-01231</t>
        </is>
      </c>
      <c r="H11" s="44" t="inlineStr">
        <is>
          <t>Meridian Engineering Partners</t>
        </is>
      </c>
      <c r="I11" s="44" t="inlineStr">
        <is>
          <t>Code B – Approved with Comments</t>
        </is>
      </c>
      <c r="J11" s="46" t="n">
        <v>46096</v>
      </c>
      <c r="K11" s="45">
        <f>IF(J11="",TODAY()-F11,J11-F11)</f>
        <v/>
      </c>
      <c r="L11" s="44" t="inlineStr">
        <is>
          <t>Incorporate comments</t>
        </is>
      </c>
      <c r="M11" s="44" t="inlineStr">
        <is>
          <t>\\DC\Geotechnical\Material Submittal\CTP-DHJ-GEO-MAT-0008</t>
        </is>
      </c>
      <c r="O11">
        <f>IF(Search!$C$4="","",IF(ISNUMBER(SEARCH(Search!$C$4,A11&amp;" "&amp;B11&amp;" "&amp;C11&amp;" "&amp;D11&amp;" "&amp;G11&amp;" "&amp;I11)),ROW(),""))</f>
        <v/>
      </c>
    </row>
    <row r="12">
      <c r="A12" s="41" t="inlineStr">
        <is>
          <t>CTP-DHJ-MEP-DWG-0011</t>
        </is>
      </c>
      <c r="B12" s="41" t="inlineStr">
        <is>
          <t>Portal structure details</t>
        </is>
      </c>
      <c r="C12" s="42" t="inlineStr">
        <is>
          <t>Drawing</t>
        </is>
      </c>
      <c r="D12" s="41" t="inlineStr">
        <is>
          <t>MEP</t>
        </is>
      </c>
      <c r="E12" s="42" t="inlineStr">
        <is>
          <t>1</t>
        </is>
      </c>
      <c r="F12" s="43" t="n">
        <v>46090</v>
      </c>
      <c r="G12" s="42" t="inlineStr">
        <is>
          <t>TRN-01165</t>
        </is>
      </c>
      <c r="H12" s="41" t="inlineStr">
        <is>
          <t>Meridian Engineering Partners</t>
        </is>
      </c>
      <c r="I12" s="41" t="inlineStr">
        <is>
          <t>Code A – Approved</t>
        </is>
      </c>
      <c r="J12" s="43" t="n">
        <v>46098</v>
      </c>
      <c r="K12" s="42">
        <f>IF(J12="",TODAY()-F12,J12-F12)</f>
        <v/>
      </c>
      <c r="L12" s="41" t="inlineStr">
        <is>
          <t>Issue for construction</t>
        </is>
      </c>
      <c r="M12" s="41" t="inlineStr">
        <is>
          <t>\\DC\MEP\Drawing\CTP-DHJ-MEP-DWG-0011</t>
        </is>
      </c>
      <c r="O12">
        <f>IF(Search!$C$4="","",IF(ISNUMBER(SEARCH(Search!$C$4,A12&amp;" "&amp;B12&amp;" "&amp;C12&amp;" "&amp;D12&amp;" "&amp;G12&amp;" "&amp;I12)),ROW(),""))</f>
        <v/>
      </c>
    </row>
    <row r="13">
      <c r="A13" s="44" t="inlineStr">
        <is>
          <t>CTP-DHJ-TUN-MST-0002</t>
        </is>
      </c>
      <c r="B13" s="44" t="inlineStr">
        <is>
          <t>Waterproofing installation</t>
        </is>
      </c>
      <c r="C13" s="45" t="inlineStr">
        <is>
          <t>Method Statement</t>
        </is>
      </c>
      <c r="D13" s="44" t="inlineStr">
        <is>
          <t>Tunnelling</t>
        </is>
      </c>
      <c r="E13" s="45" t="inlineStr">
        <is>
          <t>1</t>
        </is>
      </c>
      <c r="F13" s="46" t="n">
        <v>46091</v>
      </c>
      <c r="G13" s="45" t="inlineStr">
        <is>
          <t>TRN-01053</t>
        </is>
      </c>
      <c r="H13" s="44" t="inlineStr">
        <is>
          <t>Meridian Engineering Partners</t>
        </is>
      </c>
      <c r="I13" s="44" t="inlineStr">
        <is>
          <t>Code A – Approved</t>
        </is>
      </c>
      <c r="J13" s="46" t="n">
        <v>46104</v>
      </c>
      <c r="K13" s="45">
        <f>IF(J13="",TODAY()-F13,J13-F13)</f>
        <v/>
      </c>
      <c r="L13" s="44" t="inlineStr">
        <is>
          <t>Issue for construction</t>
        </is>
      </c>
      <c r="M13" s="44" t="inlineStr">
        <is>
          <t>\\DC\Tunnelling\Method Statement\CTP-DHJ-TUN-MST-0002</t>
        </is>
      </c>
      <c r="O13">
        <f>IF(Search!$C$4="","",IF(ISNUMBER(SEARCH(Search!$C$4,A13&amp;" "&amp;B13&amp;" "&amp;C13&amp;" "&amp;D13&amp;" "&amp;G13&amp;" "&amp;I13)),ROW(),""))</f>
        <v/>
      </c>
    </row>
    <row r="14">
      <c r="A14" s="41" t="inlineStr">
        <is>
          <t>CTP-DHJ-MEP-MAT-0010</t>
        </is>
      </c>
      <c r="B14" s="41" t="inlineStr">
        <is>
          <t>Grout admixture</t>
        </is>
      </c>
      <c r="C14" s="42" t="inlineStr">
        <is>
          <t>Material Submittal</t>
        </is>
      </c>
      <c r="D14" s="41" t="inlineStr">
        <is>
          <t>MEP</t>
        </is>
      </c>
      <c r="E14" s="42" t="inlineStr">
        <is>
          <t>B</t>
        </is>
      </c>
      <c r="F14" s="43" t="n">
        <v>46092</v>
      </c>
      <c r="G14" s="42" t="inlineStr">
        <is>
          <t>TRN-01217</t>
        </is>
      </c>
      <c r="H14" s="41" t="inlineStr">
        <is>
          <t>Meridian Engineering Partners</t>
        </is>
      </c>
      <c r="I14" s="41" t="inlineStr">
        <is>
          <t>Code A – Approved</t>
        </is>
      </c>
      <c r="J14" s="43" t="n">
        <v>46098</v>
      </c>
      <c r="K14" s="42">
        <f>IF(J14="",TODAY()-F14,J14-F14)</f>
        <v/>
      </c>
      <c r="L14" s="41" t="inlineStr">
        <is>
          <t>Issue for construction</t>
        </is>
      </c>
      <c r="M14" s="41" t="inlineStr">
        <is>
          <t>\\DC\MEP\Material Submittal\CTP-DHJ-MEP-MAT-0010</t>
        </is>
      </c>
      <c r="O14">
        <f>IF(Search!$C$4="","",IF(ISNUMBER(SEARCH(Search!$C$4,A14&amp;" "&amp;B14&amp;" "&amp;C14&amp;" "&amp;D14&amp;" "&amp;G14&amp;" "&amp;I14)),ROW(),""))</f>
        <v/>
      </c>
    </row>
    <row r="15">
      <c r="A15" s="44" t="inlineStr">
        <is>
          <t>CTP-DHJ-HSE-MST-0007</t>
        </is>
      </c>
      <c r="B15" s="44" t="inlineStr">
        <is>
          <t>TBM launching</t>
        </is>
      </c>
      <c r="C15" s="45" t="inlineStr">
        <is>
          <t>Method Statement</t>
        </is>
      </c>
      <c r="D15" s="44" t="inlineStr">
        <is>
          <t>HSE</t>
        </is>
      </c>
      <c r="E15" s="45" t="inlineStr">
        <is>
          <t>1</t>
        </is>
      </c>
      <c r="F15" s="46" t="n">
        <v>46094</v>
      </c>
      <c r="G15" s="45" t="inlineStr">
        <is>
          <t>TRN-01087</t>
        </is>
      </c>
      <c r="H15" s="44" t="inlineStr">
        <is>
          <t>Meridian Engineering Partners</t>
        </is>
      </c>
      <c r="I15" s="44" t="inlineStr">
        <is>
          <t>Code B – Approved with Comments</t>
        </is>
      </c>
      <c r="J15" s="46" t="n">
        <v>46099</v>
      </c>
      <c r="K15" s="45">
        <f>IF(J15="",TODAY()-F15,J15-F15)</f>
        <v/>
      </c>
      <c r="L15" s="44" t="inlineStr">
        <is>
          <t>Incorporate comments</t>
        </is>
      </c>
      <c r="M15" s="44" t="inlineStr">
        <is>
          <t>\\DC\HSE\Method Statement\CTP-DHJ-HSE-MST-0007</t>
        </is>
      </c>
      <c r="O15">
        <f>IF(Search!$C$4="","",IF(ISNUMBER(SEARCH(Search!$C$4,A15&amp;" "&amp;B15&amp;" "&amp;C15&amp;" "&amp;D15&amp;" "&amp;G15&amp;" "&amp;I15)),ROW(),""))</f>
        <v/>
      </c>
    </row>
    <row r="16">
      <c r="A16" s="41" t="inlineStr">
        <is>
          <t>CTP-DHJ-QAQ-MST-0005</t>
        </is>
      </c>
      <c r="B16" s="41" t="inlineStr">
        <is>
          <t>Waterproofing installation</t>
        </is>
      </c>
      <c r="C16" s="42" t="inlineStr">
        <is>
          <t>Method Statement</t>
        </is>
      </c>
      <c r="D16" s="41" t="inlineStr">
        <is>
          <t>Quality</t>
        </is>
      </c>
      <c r="E16" s="42" t="inlineStr">
        <is>
          <t>B</t>
        </is>
      </c>
      <c r="F16" s="43" t="n">
        <v>46096</v>
      </c>
      <c r="G16" s="42" t="inlineStr">
        <is>
          <t>TRN-01208</t>
        </is>
      </c>
      <c r="H16" s="41" t="inlineStr">
        <is>
          <t>Meridian Engineering Partners</t>
        </is>
      </c>
      <c r="I16" s="41" t="inlineStr">
        <is>
          <t>Code B – Approved with Comments</t>
        </is>
      </c>
      <c r="J16" s="43" t="n">
        <v>46115</v>
      </c>
      <c r="K16" s="42">
        <f>IF(J16="",TODAY()-F16,J16-F16)</f>
        <v/>
      </c>
      <c r="L16" s="41" t="inlineStr">
        <is>
          <t>Incorporate comments</t>
        </is>
      </c>
      <c r="M16" s="41" t="inlineStr">
        <is>
          <t>\\DC\Quality\Method Statement\CTP-DHJ-QAQ-MST-0005</t>
        </is>
      </c>
      <c r="O16">
        <f>IF(Search!$C$4="","",IF(ISNUMBER(SEARCH(Search!$C$4,A16&amp;" "&amp;B16&amp;" "&amp;C16&amp;" "&amp;D16&amp;" "&amp;G16&amp;" "&amp;I16)),ROW(),""))</f>
        <v/>
      </c>
    </row>
    <row r="17">
      <c r="A17" s="44" t="inlineStr">
        <is>
          <t>CTP-DHJ-QAQ-DWG-0008</t>
        </is>
      </c>
      <c r="B17" s="44" t="inlineStr">
        <is>
          <t>Segment ring layout</t>
        </is>
      </c>
      <c r="C17" s="45" t="inlineStr">
        <is>
          <t>Drawing</t>
        </is>
      </c>
      <c r="D17" s="44" t="inlineStr">
        <is>
          <t>Quality</t>
        </is>
      </c>
      <c r="E17" s="45" t="inlineStr">
        <is>
          <t>0</t>
        </is>
      </c>
      <c r="F17" s="46" t="n">
        <v>46097</v>
      </c>
      <c r="G17" s="45" t="inlineStr">
        <is>
          <t>TRN-01181</t>
        </is>
      </c>
      <c r="H17" s="44" t="inlineStr">
        <is>
          <t>Meridian Engineering Partners</t>
        </is>
      </c>
      <c r="I17" s="44" t="inlineStr">
        <is>
          <t>Code A – Approved</t>
        </is>
      </c>
      <c r="J17" s="46" t="n">
        <v>46117</v>
      </c>
      <c r="K17" s="45">
        <f>IF(J17="",TODAY()-F17,J17-F17)</f>
        <v/>
      </c>
      <c r="L17" s="44" t="inlineStr">
        <is>
          <t>Issue for construction</t>
        </is>
      </c>
      <c r="M17" s="44" t="inlineStr">
        <is>
          <t>\\DC\Quality\Drawing\CTP-DHJ-QAQ-DWG-0008</t>
        </is>
      </c>
      <c r="O17">
        <f>IF(Search!$C$4="","",IF(ISNUMBER(SEARCH(Search!$C$4,A17&amp;" "&amp;B17&amp;" "&amp;C17&amp;" "&amp;D17&amp;" "&amp;G17&amp;" "&amp;I17)),ROW(),""))</f>
        <v/>
      </c>
    </row>
    <row r="18">
      <c r="A18" s="41" t="inlineStr">
        <is>
          <t>CTP-DHJ-MEP-MAT-0006</t>
        </is>
      </c>
      <c r="B18" s="41" t="inlineStr">
        <is>
          <t>Rebar 16 mm</t>
        </is>
      </c>
      <c r="C18" s="42" t="inlineStr">
        <is>
          <t>Material Submittal</t>
        </is>
      </c>
      <c r="D18" s="41" t="inlineStr">
        <is>
          <t>MEP</t>
        </is>
      </c>
      <c r="E18" s="42" t="inlineStr">
        <is>
          <t>0</t>
        </is>
      </c>
      <c r="F18" s="43" t="n">
        <v>46098</v>
      </c>
      <c r="G18" s="42" t="inlineStr">
        <is>
          <t>TRN-01119</t>
        </is>
      </c>
      <c r="H18" s="41" t="inlineStr">
        <is>
          <t>Meridian Engineering Partners</t>
        </is>
      </c>
      <c r="I18" s="41" t="inlineStr">
        <is>
          <t>Code B – Approved with Comments</t>
        </is>
      </c>
      <c r="J18" s="43" t="n">
        <v>46105</v>
      </c>
      <c r="K18" s="42">
        <f>IF(J18="",TODAY()-F18,J18-F18)</f>
        <v/>
      </c>
      <c r="L18" s="41" t="inlineStr">
        <is>
          <t>Incorporate comments</t>
        </is>
      </c>
      <c r="M18" s="41" t="inlineStr">
        <is>
          <t>\\DC\MEP\Material Submittal\CTP-DHJ-MEP-MAT-0006</t>
        </is>
      </c>
      <c r="O18">
        <f>IF(Search!$C$4="","",IF(ISNUMBER(SEARCH(Search!$C$4,A18&amp;" "&amp;B18&amp;" "&amp;C18&amp;" "&amp;D18&amp;" "&amp;G18&amp;" "&amp;I18)),ROW(),""))</f>
        <v/>
      </c>
    </row>
    <row r="19">
      <c r="A19" s="44" t="inlineStr">
        <is>
          <t>CTP-DHJ-HSE-MAT-0009</t>
        </is>
      </c>
      <c r="B19" s="44" t="inlineStr">
        <is>
          <t>Rebar 16 mm</t>
        </is>
      </c>
      <c r="C19" s="45" t="inlineStr">
        <is>
          <t>Material Submittal</t>
        </is>
      </c>
      <c r="D19" s="44" t="inlineStr">
        <is>
          <t>HSE</t>
        </is>
      </c>
      <c r="E19" s="45" t="inlineStr">
        <is>
          <t>0</t>
        </is>
      </c>
      <c r="F19" s="46" t="n">
        <v>46098</v>
      </c>
      <c r="G19" s="45" t="inlineStr">
        <is>
          <t>TRN-01161</t>
        </is>
      </c>
      <c r="H19" s="44" t="inlineStr">
        <is>
          <t>Meridian Engineering Partners</t>
        </is>
      </c>
      <c r="I19" s="44" t="inlineStr">
        <is>
          <t>Code B – Approved with Comments</t>
        </is>
      </c>
      <c r="J19" s="46" t="n">
        <v>46108</v>
      </c>
      <c r="K19" s="45">
        <f>IF(J19="",TODAY()-F19,J19-F19)</f>
        <v/>
      </c>
      <c r="L19" s="44" t="inlineStr">
        <is>
          <t>Incorporate comments</t>
        </is>
      </c>
      <c r="M19" s="44" t="inlineStr">
        <is>
          <t>\\DC\HSE\Material Submittal\CTP-DHJ-HSE-MAT-0009</t>
        </is>
      </c>
      <c r="O19">
        <f>IF(Search!$C$4="","",IF(ISNUMBER(SEARCH(Search!$C$4,A19&amp;" "&amp;B19&amp;" "&amp;C19&amp;" "&amp;D19&amp;" "&amp;G19&amp;" "&amp;I19)),ROW(),""))</f>
        <v/>
      </c>
    </row>
    <row r="20">
      <c r="A20" s="41" t="inlineStr">
        <is>
          <t>CTP-DHJ-MEP-RPT-0001</t>
        </is>
      </c>
      <c r="B20" s="41" t="inlineStr">
        <is>
          <t>Concrete cube results</t>
        </is>
      </c>
      <c r="C20" s="42" t="inlineStr">
        <is>
          <t>Inspection Report</t>
        </is>
      </c>
      <c r="D20" s="41" t="inlineStr">
        <is>
          <t>MEP</t>
        </is>
      </c>
      <c r="E20" s="42" t="inlineStr">
        <is>
          <t>A</t>
        </is>
      </c>
      <c r="F20" s="43" t="n">
        <v>46099</v>
      </c>
      <c r="G20" s="42" t="inlineStr">
        <is>
          <t>TRN-01008</t>
        </is>
      </c>
      <c r="H20" s="41" t="inlineStr">
        <is>
          <t>Meridian Engineering Partners</t>
        </is>
      </c>
      <c r="I20" s="41" t="inlineStr">
        <is>
          <t>Code D – Rejected</t>
        </is>
      </c>
      <c r="J20" s="43" t="n">
        <v>46110</v>
      </c>
      <c r="K20" s="42">
        <f>IF(J20="",TODAY()-F20,J20-F20)</f>
        <v/>
      </c>
      <c r="L20" s="41" t="inlineStr">
        <is>
          <t>Prepare new submission</t>
        </is>
      </c>
      <c r="M20" s="41" t="inlineStr">
        <is>
          <t>\\DC\MEP\Inspection Report\CTP-DHJ-MEP-RPT-0001</t>
        </is>
      </c>
      <c r="O20">
        <f>IF(Search!$C$4="","",IF(ISNUMBER(SEARCH(Search!$C$4,A20&amp;" "&amp;B20&amp;" "&amp;C20&amp;" "&amp;D20&amp;" "&amp;G20&amp;" "&amp;I20)),ROW(),""))</f>
        <v/>
      </c>
    </row>
    <row r="21">
      <c r="A21" s="44" t="inlineStr">
        <is>
          <t>CTP-DHJ-MEP-MAT-0002</t>
        </is>
      </c>
      <c r="B21" s="44" t="inlineStr">
        <is>
          <t>Precast segment gaskets</t>
        </is>
      </c>
      <c r="C21" s="45" t="inlineStr">
        <is>
          <t>Material Submittal</t>
        </is>
      </c>
      <c r="D21" s="44" t="inlineStr">
        <is>
          <t>MEP</t>
        </is>
      </c>
      <c r="E21" s="45" t="inlineStr">
        <is>
          <t>0</t>
        </is>
      </c>
      <c r="F21" s="46" t="n">
        <v>46099</v>
      </c>
      <c r="G21" s="45" t="inlineStr">
        <is>
          <t>TRN-01028</t>
        </is>
      </c>
      <c r="H21" s="44" t="inlineStr">
        <is>
          <t>Meridian Engineering Partners</t>
        </is>
      </c>
      <c r="I21" s="44" t="inlineStr">
        <is>
          <t>Code B – Approved with Comments</t>
        </is>
      </c>
      <c r="J21" s="46" t="n">
        <v>46108</v>
      </c>
      <c r="K21" s="45">
        <f>IF(J21="",TODAY()-F21,J21-F21)</f>
        <v/>
      </c>
      <c r="L21" s="44" t="inlineStr">
        <is>
          <t>Incorporate comments</t>
        </is>
      </c>
      <c r="M21" s="44" t="inlineStr">
        <is>
          <t>\\DC\MEP\Material Submittal\CTP-DHJ-MEP-MAT-0002</t>
        </is>
      </c>
      <c r="O21">
        <f>IF(Search!$C$4="","",IF(ISNUMBER(SEARCH(Search!$C$4,A21&amp;" "&amp;B21&amp;" "&amp;C21&amp;" "&amp;D21&amp;" "&amp;G21&amp;" "&amp;I21)),ROW(),""))</f>
        <v/>
      </c>
    </row>
    <row r="22">
      <c r="A22" s="41" t="inlineStr">
        <is>
          <t>CTP-DHJ-QAQ-MST-0002</t>
        </is>
      </c>
      <c r="B22" s="41" t="inlineStr">
        <is>
          <t>Shaft excavation</t>
        </is>
      </c>
      <c r="C22" s="42" t="inlineStr">
        <is>
          <t>Method Statement</t>
        </is>
      </c>
      <c r="D22" s="41" t="inlineStr">
        <is>
          <t>Quality</t>
        </is>
      </c>
      <c r="E22" s="42" t="inlineStr">
        <is>
          <t>A</t>
        </is>
      </c>
      <c r="F22" s="43" t="n">
        <v>46100</v>
      </c>
      <c r="G22" s="42" t="inlineStr">
        <is>
          <t>TRN-01123</t>
        </is>
      </c>
      <c r="H22" s="41" t="inlineStr">
        <is>
          <t>Meridian Engineering Partners</t>
        </is>
      </c>
      <c r="I22" s="41" t="inlineStr">
        <is>
          <t>Code B – Approved with Comments</t>
        </is>
      </c>
      <c r="J22" s="43" t="n">
        <v>46118</v>
      </c>
      <c r="K22" s="42">
        <f>IF(J22="",TODAY()-F22,J22-F22)</f>
        <v/>
      </c>
      <c r="L22" s="41" t="inlineStr">
        <is>
          <t>Incorporate comments</t>
        </is>
      </c>
      <c r="M22" s="41" t="inlineStr">
        <is>
          <t>\\DC\Quality\Method Statement\CTP-DHJ-QAQ-MST-0002</t>
        </is>
      </c>
      <c r="O22">
        <f>IF(Search!$C$4="","",IF(ISNUMBER(SEARCH(Search!$C$4,A22&amp;" "&amp;B22&amp;" "&amp;C22&amp;" "&amp;D22&amp;" "&amp;G22&amp;" "&amp;I22)),ROW(),""))</f>
        <v/>
      </c>
    </row>
    <row r="23">
      <c r="A23" s="44" t="inlineStr">
        <is>
          <t>CTP-DHJ-HSE-MST-0010</t>
        </is>
      </c>
      <c r="B23" s="44" t="inlineStr">
        <is>
          <t>Cable pulling</t>
        </is>
      </c>
      <c r="C23" s="45" t="inlineStr">
        <is>
          <t>Method Statement</t>
        </is>
      </c>
      <c r="D23" s="44" t="inlineStr">
        <is>
          <t>HSE</t>
        </is>
      </c>
      <c r="E23" s="45" t="inlineStr">
        <is>
          <t>A</t>
        </is>
      </c>
      <c r="F23" s="46" t="n">
        <v>46100</v>
      </c>
      <c r="G23" s="45" t="inlineStr">
        <is>
          <t>TRN-01188</t>
        </is>
      </c>
      <c r="H23" s="44" t="inlineStr">
        <is>
          <t>Meridian Engineering Partners</t>
        </is>
      </c>
      <c r="I23" s="44" t="inlineStr">
        <is>
          <t>Code A – Approved</t>
        </is>
      </c>
      <c r="J23" s="46" t="n">
        <v>46105</v>
      </c>
      <c r="K23" s="45">
        <f>IF(J23="",TODAY()-F23,J23-F23)</f>
        <v/>
      </c>
      <c r="L23" s="44" t="inlineStr">
        <is>
          <t>Issue for construction</t>
        </is>
      </c>
      <c r="M23" s="44" t="inlineStr">
        <is>
          <t>\\DC\HSE\Method Statement\CTP-DHJ-HSE-MST-0010</t>
        </is>
      </c>
      <c r="O23">
        <f>IF(Search!$C$4="","",IF(ISNUMBER(SEARCH(Search!$C$4,A23&amp;" "&amp;B23&amp;" "&amp;C23&amp;" "&amp;D23&amp;" "&amp;G23&amp;" "&amp;I23)),ROW(),""))</f>
        <v/>
      </c>
    </row>
    <row r="24">
      <c r="A24" s="41" t="inlineStr">
        <is>
          <t>CTP-DHJ-TUN-MAT-0010</t>
        </is>
      </c>
      <c r="B24" s="41" t="inlineStr">
        <is>
          <t>Ventilation fans</t>
        </is>
      </c>
      <c r="C24" s="42" t="inlineStr">
        <is>
          <t>Material Submittal</t>
        </is>
      </c>
      <c r="D24" s="41" t="inlineStr">
        <is>
          <t>Tunnelling</t>
        </is>
      </c>
      <c r="E24" s="42" t="inlineStr">
        <is>
          <t>B</t>
        </is>
      </c>
      <c r="F24" s="43" t="n">
        <v>46100</v>
      </c>
      <c r="G24" s="42" t="inlineStr">
        <is>
          <t>TRN-01198</t>
        </is>
      </c>
      <c r="H24" s="41" t="inlineStr">
        <is>
          <t>Meridian Engineering Partners</t>
        </is>
      </c>
      <c r="I24" s="41" t="inlineStr">
        <is>
          <t>Code A – Approved</t>
        </is>
      </c>
      <c r="J24" s="43" t="n">
        <v>46112</v>
      </c>
      <c r="K24" s="42">
        <f>IF(J24="",TODAY()-F24,J24-F24)</f>
        <v/>
      </c>
      <c r="L24" s="41" t="inlineStr">
        <is>
          <t>Issue for construction</t>
        </is>
      </c>
      <c r="M24" s="41" t="inlineStr">
        <is>
          <t>\\DC\Tunnelling\Material Submittal\CTP-DHJ-TUN-MAT-0010</t>
        </is>
      </c>
      <c r="O24">
        <f>IF(Search!$C$4="","",IF(ISNUMBER(SEARCH(Search!$C$4,A24&amp;" "&amp;B24&amp;" "&amp;C24&amp;" "&amp;D24&amp;" "&amp;G24&amp;" "&amp;I24)),ROW(),""))</f>
        <v/>
      </c>
    </row>
    <row r="25">
      <c r="A25" s="44" t="inlineStr">
        <is>
          <t>CTP-DHJ-MEP-MAT-0009</t>
        </is>
      </c>
      <c r="B25" s="44" t="inlineStr">
        <is>
          <t>Rebar 16 mm</t>
        </is>
      </c>
      <c r="C25" s="45" t="inlineStr">
        <is>
          <t>Material Submittal</t>
        </is>
      </c>
      <c r="D25" s="44" t="inlineStr">
        <is>
          <t>MEP</t>
        </is>
      </c>
      <c r="E25" s="45" t="inlineStr">
        <is>
          <t>0</t>
        </is>
      </c>
      <c r="F25" s="46" t="n">
        <v>46100</v>
      </c>
      <c r="G25" s="45" t="inlineStr">
        <is>
          <t>TRN-01212</t>
        </is>
      </c>
      <c r="H25" s="44" t="inlineStr">
        <is>
          <t>Meridian Engineering Partners</t>
        </is>
      </c>
      <c r="I25" s="44" t="inlineStr">
        <is>
          <t>Code A – Approved</t>
        </is>
      </c>
      <c r="J25" s="46" t="n">
        <v>46116</v>
      </c>
      <c r="K25" s="45">
        <f>IF(J25="",TODAY()-F25,J25-F25)</f>
        <v/>
      </c>
      <c r="L25" s="44" t="inlineStr">
        <is>
          <t>Issue for construction</t>
        </is>
      </c>
      <c r="M25" s="44" t="inlineStr">
        <is>
          <t>\\DC\MEP\Material Submittal\CTP-DHJ-MEP-MAT-0009</t>
        </is>
      </c>
      <c r="O25">
        <f>IF(Search!$C$4="","",IF(ISNUMBER(SEARCH(Search!$C$4,A25&amp;" "&amp;B25&amp;" "&amp;C25&amp;" "&amp;D25&amp;" "&amp;G25&amp;" "&amp;I25)),ROW(),""))</f>
        <v/>
      </c>
    </row>
    <row r="26">
      <c r="A26" s="41" t="inlineStr">
        <is>
          <t>CTP-DHJ-MEP-DWG-0002</t>
        </is>
      </c>
      <c r="B26" s="41" t="inlineStr">
        <is>
          <t>Drainage layout</t>
        </is>
      </c>
      <c r="C26" s="42" t="inlineStr">
        <is>
          <t>Drawing</t>
        </is>
      </c>
      <c r="D26" s="41" t="inlineStr">
        <is>
          <t>MEP</t>
        </is>
      </c>
      <c r="E26" s="42" t="inlineStr">
        <is>
          <t>B</t>
        </is>
      </c>
      <c r="F26" s="43" t="n">
        <v>46101</v>
      </c>
      <c r="G26" s="42" t="inlineStr">
        <is>
          <t>TRN-01030</t>
        </is>
      </c>
      <c r="H26" s="41" t="inlineStr">
        <is>
          <t>Meridian Engineering Partners</t>
        </is>
      </c>
      <c r="I26" s="41" t="inlineStr">
        <is>
          <t>Code C – Revise &amp; Resubmit</t>
        </is>
      </c>
      <c r="J26" s="43" t="n">
        <v>46106</v>
      </c>
      <c r="K26" s="42">
        <f>IF(J26="",TODAY()-F26,J26-F26)</f>
        <v/>
      </c>
      <c r="L26" s="41" t="inlineStr">
        <is>
          <t>Revise and resubmit</t>
        </is>
      </c>
      <c r="M26" s="41" t="inlineStr">
        <is>
          <t>\\DC\MEP\Drawing\CTP-DHJ-MEP-DWG-0002</t>
        </is>
      </c>
      <c r="O26">
        <f>IF(Search!$C$4="","",IF(ISNUMBER(SEARCH(Search!$C$4,A26&amp;" "&amp;B26&amp;" "&amp;C26&amp;" "&amp;D26&amp;" "&amp;G26&amp;" "&amp;I26)),ROW(),""))</f>
        <v/>
      </c>
    </row>
    <row r="27">
      <c r="A27" s="44" t="inlineStr">
        <is>
          <t>CTP-DHJ-TUN-DWG-0007</t>
        </is>
      </c>
      <c r="B27" s="44" t="inlineStr">
        <is>
          <t>Drainage layout</t>
        </is>
      </c>
      <c r="C27" s="45" t="inlineStr">
        <is>
          <t>Drawing</t>
        </is>
      </c>
      <c r="D27" s="44" t="inlineStr">
        <is>
          <t>Tunnelling</t>
        </is>
      </c>
      <c r="E27" s="45" t="inlineStr">
        <is>
          <t>A</t>
        </is>
      </c>
      <c r="F27" s="46" t="n">
        <v>46101</v>
      </c>
      <c r="G27" s="45" t="inlineStr">
        <is>
          <t>TRN-01111</t>
        </is>
      </c>
      <c r="H27" s="44" t="inlineStr">
        <is>
          <t>Meridian Engineering Partners</t>
        </is>
      </c>
      <c r="I27" s="44" t="inlineStr">
        <is>
          <t>Code A – Approved</t>
        </is>
      </c>
      <c r="J27" s="46" t="n">
        <v>46115</v>
      </c>
      <c r="K27" s="45">
        <f>IF(J27="",TODAY()-F27,J27-F27)</f>
        <v/>
      </c>
      <c r="L27" s="44" t="inlineStr">
        <is>
          <t>Issue for construction</t>
        </is>
      </c>
      <c r="M27" s="44" t="inlineStr">
        <is>
          <t>\\DC\Tunnelling\Drawing\CTP-DHJ-TUN-DWG-0007</t>
        </is>
      </c>
      <c r="O27">
        <f>IF(Search!$C$4="","",IF(ISNUMBER(SEARCH(Search!$C$4,A27&amp;" "&amp;B27&amp;" "&amp;C27&amp;" "&amp;D27&amp;" "&amp;G27&amp;" "&amp;I27)),ROW(),""))</f>
        <v/>
      </c>
    </row>
    <row r="28">
      <c r="A28" s="41" t="inlineStr">
        <is>
          <t>CTP-DHJ-GEO-DWG-0008</t>
        </is>
      </c>
      <c r="B28" s="41" t="inlineStr">
        <is>
          <t>Drainage layout</t>
        </is>
      </c>
      <c r="C28" s="42" t="inlineStr">
        <is>
          <t>Drawing</t>
        </is>
      </c>
      <c r="D28" s="41" t="inlineStr">
        <is>
          <t>Geotechnical</t>
        </is>
      </c>
      <c r="E28" s="42" t="inlineStr">
        <is>
          <t>1</t>
        </is>
      </c>
      <c r="F28" s="43" t="n">
        <v>46102</v>
      </c>
      <c r="G28" s="42" t="inlineStr">
        <is>
          <t>TRN-01110</t>
        </is>
      </c>
      <c r="H28" s="41" t="inlineStr">
        <is>
          <t>Meridian Engineering Partners</t>
        </is>
      </c>
      <c r="I28" s="41" t="inlineStr">
        <is>
          <t>Code A – Approved</t>
        </is>
      </c>
      <c r="J28" s="43" t="n">
        <v>46122</v>
      </c>
      <c r="K28" s="42">
        <f>IF(J28="",TODAY()-F28,J28-F28)</f>
        <v/>
      </c>
      <c r="L28" s="41" t="inlineStr">
        <is>
          <t>Issue for construction</t>
        </is>
      </c>
      <c r="M28" s="41" t="inlineStr">
        <is>
          <t>\\DC\Geotechnical\Drawing\CTP-DHJ-GEO-DWG-0008</t>
        </is>
      </c>
      <c r="O28">
        <f>IF(Search!$C$4="","",IF(ISNUMBER(SEARCH(Search!$C$4,A28&amp;" "&amp;B28&amp;" "&amp;C28&amp;" "&amp;D28&amp;" "&amp;G28&amp;" "&amp;I28)),ROW(),""))</f>
        <v/>
      </c>
    </row>
    <row r="29">
      <c r="A29" s="44" t="inlineStr">
        <is>
          <t>CTP-DHJ-MEP-RPT-0004</t>
        </is>
      </c>
      <c r="B29" s="44" t="inlineStr">
        <is>
          <t>Weld inspection</t>
        </is>
      </c>
      <c r="C29" s="45" t="inlineStr">
        <is>
          <t>Inspection Report</t>
        </is>
      </c>
      <c r="D29" s="44" t="inlineStr">
        <is>
          <t>MEP</t>
        </is>
      </c>
      <c r="E29" s="45" t="inlineStr">
        <is>
          <t>B</t>
        </is>
      </c>
      <c r="F29" s="46" t="n">
        <v>46104</v>
      </c>
      <c r="G29" s="45" t="inlineStr">
        <is>
          <t>TRN-01200</t>
        </is>
      </c>
      <c r="H29" s="44" t="inlineStr">
        <is>
          <t>Meridian Engineering Partners</t>
        </is>
      </c>
      <c r="I29" s="44" t="inlineStr">
        <is>
          <t>Code B – Approved with Comments</t>
        </is>
      </c>
      <c r="J29" s="46" t="n">
        <v>46121</v>
      </c>
      <c r="K29" s="45">
        <f>IF(J29="",TODAY()-F29,J29-F29)</f>
        <v/>
      </c>
      <c r="L29" s="44" t="inlineStr">
        <is>
          <t>Incorporate comments</t>
        </is>
      </c>
      <c r="M29" s="44" t="inlineStr">
        <is>
          <t>\\DC\MEP\Inspection Report\CTP-DHJ-MEP-RPT-0004</t>
        </is>
      </c>
      <c r="O29">
        <f>IF(Search!$C$4="","",IF(ISNUMBER(SEARCH(Search!$C$4,A29&amp;" "&amp;B29&amp;" "&amp;C29&amp;" "&amp;D29&amp;" "&amp;G29&amp;" "&amp;I29)),ROW(),""))</f>
        <v/>
      </c>
    </row>
    <row r="30">
      <c r="A30" s="41" t="inlineStr">
        <is>
          <t>CTP-DHJ-QAQ-MST-0003</t>
        </is>
      </c>
      <c r="B30" s="41" t="inlineStr">
        <is>
          <t>TBM launching</t>
        </is>
      </c>
      <c r="C30" s="42" t="inlineStr">
        <is>
          <t>Method Statement</t>
        </is>
      </c>
      <c r="D30" s="41" t="inlineStr">
        <is>
          <t>Quality</t>
        </is>
      </c>
      <c r="E30" s="42" t="inlineStr">
        <is>
          <t>1</t>
        </is>
      </c>
      <c r="F30" s="43" t="n">
        <v>46105</v>
      </c>
      <c r="G30" s="42" t="inlineStr">
        <is>
          <t>TRN-01140</t>
        </is>
      </c>
      <c r="H30" s="41" t="inlineStr">
        <is>
          <t>Meridian Engineering Partners</t>
        </is>
      </c>
      <c r="I30" s="41" t="inlineStr">
        <is>
          <t>Code B – Approved with Comments</t>
        </is>
      </c>
      <c r="J30" s="43" t="n">
        <v>46116</v>
      </c>
      <c r="K30" s="42">
        <f>IF(J30="",TODAY()-F30,J30-F30)</f>
        <v/>
      </c>
      <c r="L30" s="41" t="inlineStr">
        <is>
          <t>Incorporate comments</t>
        </is>
      </c>
      <c r="M30" s="41" t="inlineStr">
        <is>
          <t>\\DC\Quality\Method Statement\CTP-DHJ-QAQ-MST-0003</t>
        </is>
      </c>
      <c r="O30">
        <f>IF(Search!$C$4="","",IF(ISNUMBER(SEARCH(Search!$C$4,A30&amp;" "&amp;B30&amp;" "&amp;C30&amp;" "&amp;D30&amp;" "&amp;G30&amp;" "&amp;I30)),ROW(),""))</f>
        <v/>
      </c>
    </row>
    <row r="31">
      <c r="A31" s="44" t="inlineStr">
        <is>
          <t>CTP-DHJ-TUN-MAT-0001</t>
        </is>
      </c>
      <c r="B31" s="44" t="inlineStr">
        <is>
          <t>Precast segment gaskets</t>
        </is>
      </c>
      <c r="C31" s="45" t="inlineStr">
        <is>
          <t>Material Submittal</t>
        </is>
      </c>
      <c r="D31" s="44" t="inlineStr">
        <is>
          <t>Tunnelling</t>
        </is>
      </c>
      <c r="E31" s="45" t="inlineStr">
        <is>
          <t>0</t>
        </is>
      </c>
      <c r="F31" s="46" t="n">
        <v>46106</v>
      </c>
      <c r="G31" s="45" t="inlineStr">
        <is>
          <t>TRN-01072</t>
        </is>
      </c>
      <c r="H31" s="44" t="inlineStr">
        <is>
          <t>Meridian Engineering Partners</t>
        </is>
      </c>
      <c r="I31" s="44" t="inlineStr">
        <is>
          <t>Code A – Approved</t>
        </is>
      </c>
      <c r="J31" s="46" t="n">
        <v>46122</v>
      </c>
      <c r="K31" s="45">
        <f>IF(J31="",TODAY()-F31,J31-F31)</f>
        <v/>
      </c>
      <c r="L31" s="44" t="inlineStr">
        <is>
          <t>Issue for construction</t>
        </is>
      </c>
      <c r="M31" s="44" t="inlineStr">
        <is>
          <t>\\DC\Tunnelling\Material Submittal\CTP-DHJ-TUN-MAT-0001</t>
        </is>
      </c>
      <c r="O31">
        <f>IF(Search!$C$4="","",IF(ISNUMBER(SEARCH(Search!$C$4,A31&amp;" "&amp;B31&amp;" "&amp;C31&amp;" "&amp;D31&amp;" "&amp;G31&amp;" "&amp;I31)),ROW(),""))</f>
        <v/>
      </c>
    </row>
    <row r="32">
      <c r="A32" s="41" t="inlineStr">
        <is>
          <t>CTP-DHJ-CIV-MAT-0006</t>
        </is>
      </c>
      <c r="B32" s="41" t="inlineStr">
        <is>
          <t>Grout admixture</t>
        </is>
      </c>
      <c r="C32" s="42" t="inlineStr">
        <is>
          <t>Material Submittal</t>
        </is>
      </c>
      <c r="D32" s="41" t="inlineStr">
        <is>
          <t>Civil</t>
        </is>
      </c>
      <c r="E32" s="42" t="inlineStr">
        <is>
          <t>A</t>
        </is>
      </c>
      <c r="F32" s="43" t="n">
        <v>46107</v>
      </c>
      <c r="G32" s="42" t="inlineStr">
        <is>
          <t>TRN-01051</t>
        </is>
      </c>
      <c r="H32" s="41" t="inlineStr">
        <is>
          <t>Meridian Engineering Partners</t>
        </is>
      </c>
      <c r="I32" s="41" t="inlineStr">
        <is>
          <t>Code B – Approved with Comments</t>
        </is>
      </c>
      <c r="J32" s="43" t="n">
        <v>46118</v>
      </c>
      <c r="K32" s="42">
        <f>IF(J32="",TODAY()-F32,J32-F32)</f>
        <v/>
      </c>
      <c r="L32" s="41" t="inlineStr">
        <is>
          <t>Incorporate comments</t>
        </is>
      </c>
      <c r="M32" s="41" t="inlineStr">
        <is>
          <t>\\DC\Civil\Material Submittal\CTP-DHJ-CIV-MAT-0006</t>
        </is>
      </c>
      <c r="O32">
        <f>IF(Search!$C$4="","",IF(ISNUMBER(SEARCH(Search!$C$4,A32&amp;" "&amp;B32&amp;" "&amp;C32&amp;" "&amp;D32&amp;" "&amp;G32&amp;" "&amp;I32)),ROW(),""))</f>
        <v/>
      </c>
    </row>
    <row r="33">
      <c r="A33" s="44" t="inlineStr">
        <is>
          <t>CTP-DHJ-TUN-DWG-0001</t>
        </is>
      </c>
      <c r="B33" s="44" t="inlineStr">
        <is>
          <t>Drainage layout</t>
        </is>
      </c>
      <c r="C33" s="45" t="inlineStr">
        <is>
          <t>Drawing</t>
        </is>
      </c>
      <c r="D33" s="44" t="inlineStr">
        <is>
          <t>Tunnelling</t>
        </is>
      </c>
      <c r="E33" s="45" t="inlineStr">
        <is>
          <t>0</t>
        </is>
      </c>
      <c r="F33" s="46" t="n">
        <v>46108</v>
      </c>
      <c r="G33" s="45" t="inlineStr">
        <is>
          <t>TRN-01021</t>
        </is>
      </c>
      <c r="H33" s="44" t="inlineStr">
        <is>
          <t>Meridian Engineering Partners</t>
        </is>
      </c>
      <c r="I33" s="44" t="inlineStr">
        <is>
          <t>Code A – Approved</t>
        </is>
      </c>
      <c r="J33" s="46" t="n">
        <v>46120</v>
      </c>
      <c r="K33" s="45">
        <f>IF(J33="",TODAY()-F33,J33-F33)</f>
        <v/>
      </c>
      <c r="L33" s="44" t="inlineStr">
        <is>
          <t>Issue for construction</t>
        </is>
      </c>
      <c r="M33" s="44" t="inlineStr">
        <is>
          <t>\\DC\Tunnelling\Drawing\CTP-DHJ-TUN-DWG-0001</t>
        </is>
      </c>
      <c r="O33">
        <f>IF(Search!$C$4="","",IF(ISNUMBER(SEARCH(Search!$C$4,A33&amp;" "&amp;B33&amp;" "&amp;C33&amp;" "&amp;D33&amp;" "&amp;G33&amp;" "&amp;I33)),ROW(),""))</f>
        <v/>
      </c>
    </row>
    <row r="34">
      <c r="A34" s="41" t="inlineStr">
        <is>
          <t>CTP-DHJ-MEP-DWG-0006</t>
        </is>
      </c>
      <c r="B34" s="41" t="inlineStr">
        <is>
          <t>Portal structure details</t>
        </is>
      </c>
      <c r="C34" s="42" t="inlineStr">
        <is>
          <t>Drawing</t>
        </is>
      </c>
      <c r="D34" s="41" t="inlineStr">
        <is>
          <t>MEP</t>
        </is>
      </c>
      <c r="E34" s="42" t="inlineStr">
        <is>
          <t>A</t>
        </is>
      </c>
      <c r="F34" s="43" t="n">
        <v>46108</v>
      </c>
      <c r="G34" s="42" t="inlineStr">
        <is>
          <t>TRN-01065</t>
        </is>
      </c>
      <c r="H34" s="41" t="inlineStr">
        <is>
          <t>Meridian Engineering Partners</t>
        </is>
      </c>
      <c r="I34" s="41" t="inlineStr">
        <is>
          <t>Code A – Approved</t>
        </is>
      </c>
      <c r="J34" s="43" t="n">
        <v>46129</v>
      </c>
      <c r="K34" s="42">
        <f>IF(J34="",TODAY()-F34,J34-F34)</f>
        <v/>
      </c>
      <c r="L34" s="41" t="inlineStr">
        <is>
          <t>Issue for construction</t>
        </is>
      </c>
      <c r="M34" s="41" t="inlineStr">
        <is>
          <t>\\DC\MEP\Drawing\CTP-DHJ-MEP-DWG-0006</t>
        </is>
      </c>
      <c r="O34">
        <f>IF(Search!$C$4="","",IF(ISNUMBER(SEARCH(Search!$C$4,A34&amp;" "&amp;B34&amp;" "&amp;C34&amp;" "&amp;D34&amp;" "&amp;G34&amp;" "&amp;I34)),ROW(),""))</f>
        <v/>
      </c>
    </row>
    <row r="35">
      <c r="A35" s="44" t="inlineStr">
        <is>
          <t>CTP-DHJ-QAQ-DWG-0005</t>
        </is>
      </c>
      <c r="B35" s="44" t="inlineStr">
        <is>
          <t>Cross passage reinforcement</t>
        </is>
      </c>
      <c r="C35" s="45" t="inlineStr">
        <is>
          <t>Drawing</t>
        </is>
      </c>
      <c r="D35" s="44" t="inlineStr">
        <is>
          <t>Quality</t>
        </is>
      </c>
      <c r="E35" s="45" t="inlineStr">
        <is>
          <t>A</t>
        </is>
      </c>
      <c r="F35" s="46" t="n">
        <v>46108</v>
      </c>
      <c r="G35" s="45" t="inlineStr">
        <is>
          <t>TRN-01120</t>
        </is>
      </c>
      <c r="H35" s="44" t="inlineStr">
        <is>
          <t>Meridian Engineering Partners</t>
        </is>
      </c>
      <c r="I35" s="44" t="inlineStr">
        <is>
          <t>Code C – Revise &amp; Resubmit</t>
        </is>
      </c>
      <c r="J35" s="46" t="n">
        <v>46113</v>
      </c>
      <c r="K35" s="45">
        <f>IF(J35="",TODAY()-F35,J35-F35)</f>
        <v/>
      </c>
      <c r="L35" s="44" t="inlineStr">
        <is>
          <t>Revise and resubmit</t>
        </is>
      </c>
      <c r="M35" s="44" t="inlineStr">
        <is>
          <t>\\DC\Quality\Drawing\CTP-DHJ-QAQ-DWG-0005</t>
        </is>
      </c>
      <c r="O35">
        <f>IF(Search!$C$4="","",IF(ISNUMBER(SEARCH(Search!$C$4,A35&amp;" "&amp;B35&amp;" "&amp;C35&amp;" "&amp;D35&amp;" "&amp;G35&amp;" "&amp;I35)),ROW(),""))</f>
        <v/>
      </c>
    </row>
    <row r="36">
      <c r="A36" s="41" t="inlineStr">
        <is>
          <t>CTP-DHJ-MEP-DWG-0010</t>
        </is>
      </c>
      <c r="B36" s="41" t="inlineStr">
        <is>
          <t>Shaft general arrangement</t>
        </is>
      </c>
      <c r="C36" s="42" t="inlineStr">
        <is>
          <t>Drawing</t>
        </is>
      </c>
      <c r="D36" s="41" t="inlineStr">
        <is>
          <t>MEP</t>
        </is>
      </c>
      <c r="E36" s="42" t="inlineStr">
        <is>
          <t>B</t>
        </is>
      </c>
      <c r="F36" s="43" t="n">
        <v>46109</v>
      </c>
      <c r="G36" s="42" t="inlineStr">
        <is>
          <t>TRN-01155</t>
        </is>
      </c>
      <c r="H36" s="41" t="inlineStr">
        <is>
          <t>Meridian Engineering Partners</t>
        </is>
      </c>
      <c r="I36" s="41" t="inlineStr">
        <is>
          <t>Code B – Approved with Comments</t>
        </is>
      </c>
      <c r="J36" s="43" t="n">
        <v>46130</v>
      </c>
      <c r="K36" s="42">
        <f>IF(J36="",TODAY()-F36,J36-F36)</f>
        <v/>
      </c>
      <c r="L36" s="41" t="inlineStr">
        <is>
          <t>Incorporate comments</t>
        </is>
      </c>
      <c r="M36" s="41" t="inlineStr">
        <is>
          <t>\\DC\MEP\Drawing\CTP-DHJ-MEP-DWG-0010</t>
        </is>
      </c>
      <c r="O36">
        <f>IF(Search!$C$4="","",IF(ISNUMBER(SEARCH(Search!$C$4,A36&amp;" "&amp;B36&amp;" "&amp;C36&amp;" "&amp;D36&amp;" "&amp;G36&amp;" "&amp;I36)),ROW(),""))</f>
        <v/>
      </c>
    </row>
    <row r="37">
      <c r="A37" s="44" t="inlineStr">
        <is>
          <t>CTP-DHJ-MEP-MAT-0005</t>
        </is>
      </c>
      <c r="B37" s="44" t="inlineStr">
        <is>
          <t>Ventilation fans</t>
        </is>
      </c>
      <c r="C37" s="45" t="inlineStr">
        <is>
          <t>Material Submittal</t>
        </is>
      </c>
      <c r="D37" s="44" t="inlineStr">
        <is>
          <t>MEP</t>
        </is>
      </c>
      <c r="E37" s="45" t="inlineStr">
        <is>
          <t>A</t>
        </is>
      </c>
      <c r="F37" s="46" t="n">
        <v>46112</v>
      </c>
      <c r="G37" s="45" t="inlineStr">
        <is>
          <t>TRN-01098</t>
        </is>
      </c>
      <c r="H37" s="44" t="inlineStr">
        <is>
          <t>Meridian Engineering Partners</t>
        </is>
      </c>
      <c r="I37" s="44" t="inlineStr">
        <is>
          <t>Code A – Approved</t>
        </is>
      </c>
      <c r="J37" s="46" t="n">
        <v>46128</v>
      </c>
      <c r="K37" s="45">
        <f>IF(J37="",TODAY()-F37,J37-F37)</f>
        <v/>
      </c>
      <c r="L37" s="44" t="inlineStr">
        <is>
          <t>Issue for construction</t>
        </is>
      </c>
      <c r="M37" s="44" t="inlineStr">
        <is>
          <t>\\DC\MEP\Material Submittal\CTP-DHJ-MEP-MAT-0005</t>
        </is>
      </c>
      <c r="O37">
        <f>IF(Search!$C$4="","",IF(ISNUMBER(SEARCH(Search!$C$4,A37&amp;" "&amp;B37&amp;" "&amp;C37&amp;" "&amp;D37&amp;" "&amp;G37&amp;" "&amp;I37)),ROW(),""))</f>
        <v/>
      </c>
    </row>
    <row r="38">
      <c r="A38" s="41" t="inlineStr">
        <is>
          <t>CTP-DHJ-MEP-DWG-0016</t>
        </is>
      </c>
      <c r="B38" s="41" t="inlineStr">
        <is>
          <t>Drainage layout</t>
        </is>
      </c>
      <c r="C38" s="42" t="inlineStr">
        <is>
          <t>Drawing</t>
        </is>
      </c>
      <c r="D38" s="41" t="inlineStr">
        <is>
          <t>MEP</t>
        </is>
      </c>
      <c r="E38" s="42" t="inlineStr">
        <is>
          <t>A</t>
        </is>
      </c>
      <c r="F38" s="43" t="n">
        <v>46112</v>
      </c>
      <c r="G38" s="42" t="inlineStr">
        <is>
          <t>TRN-01224</t>
        </is>
      </c>
      <c r="H38" s="41" t="inlineStr">
        <is>
          <t>Meridian Engineering Partners</t>
        </is>
      </c>
      <c r="I38" s="41" t="inlineStr">
        <is>
          <t>Code A – Approved</t>
        </is>
      </c>
      <c r="J38" s="43" t="n">
        <v>46132</v>
      </c>
      <c r="K38" s="42">
        <f>IF(J38="",TODAY()-F38,J38-F38)</f>
        <v/>
      </c>
      <c r="L38" s="41" t="inlineStr">
        <is>
          <t>Issue for construction</t>
        </is>
      </c>
      <c r="M38" s="41" t="inlineStr">
        <is>
          <t>\\DC\MEP\Drawing\CTP-DHJ-MEP-DWG-0016</t>
        </is>
      </c>
      <c r="O38">
        <f>IF(Search!$C$4="","",IF(ISNUMBER(SEARCH(Search!$C$4,A38&amp;" "&amp;B38&amp;" "&amp;C38&amp;" "&amp;D38&amp;" "&amp;G38&amp;" "&amp;I38)),ROW(),""))</f>
        <v/>
      </c>
    </row>
    <row r="39">
      <c r="A39" s="44" t="inlineStr">
        <is>
          <t>CTP-DHJ-CIV-MST-0006</t>
        </is>
      </c>
      <c r="B39" s="44" t="inlineStr">
        <is>
          <t>Shaft excavation</t>
        </is>
      </c>
      <c r="C39" s="45" t="inlineStr">
        <is>
          <t>Method Statement</t>
        </is>
      </c>
      <c r="D39" s="44" t="inlineStr">
        <is>
          <t>Civil</t>
        </is>
      </c>
      <c r="E39" s="45" t="inlineStr">
        <is>
          <t>B</t>
        </is>
      </c>
      <c r="F39" s="46" t="n">
        <v>46113</v>
      </c>
      <c r="G39" s="45" t="inlineStr">
        <is>
          <t>TRN-01177</t>
        </is>
      </c>
      <c r="H39" s="44" t="inlineStr">
        <is>
          <t>Meridian Engineering Partners</t>
        </is>
      </c>
      <c r="I39" s="44" t="inlineStr">
        <is>
          <t>Code C – Revise &amp; Resubmit</t>
        </is>
      </c>
      <c r="J39" s="46" t="n">
        <v>46118</v>
      </c>
      <c r="K39" s="45">
        <f>IF(J39="",TODAY()-F39,J39-F39)</f>
        <v/>
      </c>
      <c r="L39" s="44" t="inlineStr">
        <is>
          <t>Revise and resubmit</t>
        </is>
      </c>
      <c r="M39" s="44" t="inlineStr">
        <is>
          <t>\\DC\Civil\Method Statement\CTP-DHJ-CIV-MST-0006</t>
        </is>
      </c>
      <c r="O39">
        <f>IF(Search!$C$4="","",IF(ISNUMBER(SEARCH(Search!$C$4,A39&amp;" "&amp;B39&amp;" "&amp;C39&amp;" "&amp;D39&amp;" "&amp;G39&amp;" "&amp;I39)),ROW(),""))</f>
        <v/>
      </c>
    </row>
    <row r="40">
      <c r="A40" s="41" t="inlineStr">
        <is>
          <t>CTP-DHJ-QAQ-MAT-0007</t>
        </is>
      </c>
      <c r="B40" s="41" t="inlineStr">
        <is>
          <t>Rebar 16 mm</t>
        </is>
      </c>
      <c r="C40" s="42" t="inlineStr">
        <is>
          <t>Material Submittal</t>
        </is>
      </c>
      <c r="D40" s="41" t="inlineStr">
        <is>
          <t>Quality</t>
        </is>
      </c>
      <c r="E40" s="42" t="inlineStr">
        <is>
          <t>0</t>
        </is>
      </c>
      <c r="F40" s="43" t="n">
        <v>46113</v>
      </c>
      <c r="G40" s="42" t="inlineStr">
        <is>
          <t>TRN-01223</t>
        </is>
      </c>
      <c r="H40" s="41" t="inlineStr">
        <is>
          <t>Meridian Engineering Partners</t>
        </is>
      </c>
      <c r="I40" s="41" t="inlineStr">
        <is>
          <t>Code D – Rejected</t>
        </is>
      </c>
      <c r="J40" s="43" t="n">
        <v>46125</v>
      </c>
      <c r="K40" s="42">
        <f>IF(J40="",TODAY()-F40,J40-F40)</f>
        <v/>
      </c>
      <c r="L40" s="41" t="inlineStr">
        <is>
          <t>Prepare new submission</t>
        </is>
      </c>
      <c r="M40" s="41" t="inlineStr">
        <is>
          <t>\\DC\Quality\Material Submittal\CTP-DHJ-QAQ-MAT-0007</t>
        </is>
      </c>
      <c r="O40">
        <f>IF(Search!$C$4="","",IF(ISNUMBER(SEARCH(Search!$C$4,A40&amp;" "&amp;B40&amp;" "&amp;C40&amp;" "&amp;D40&amp;" "&amp;G40&amp;" "&amp;I40)),ROW(),""))</f>
        <v/>
      </c>
    </row>
    <row r="41">
      <c r="A41" s="44" t="inlineStr">
        <is>
          <t>CTP-DHJ-GEO-MAT-0006</t>
        </is>
      </c>
      <c r="B41" s="44" t="inlineStr">
        <is>
          <t>Precast segment gaskets</t>
        </is>
      </c>
      <c r="C41" s="45" t="inlineStr">
        <is>
          <t>Material Submittal</t>
        </is>
      </c>
      <c r="D41" s="44" t="inlineStr">
        <is>
          <t>Geotechnical</t>
        </is>
      </c>
      <c r="E41" s="45" t="inlineStr">
        <is>
          <t>A</t>
        </is>
      </c>
      <c r="F41" s="46" t="n">
        <v>46115</v>
      </c>
      <c r="G41" s="45" t="inlineStr">
        <is>
          <t>TRN-01187</t>
        </is>
      </c>
      <c r="H41" s="44" t="inlineStr">
        <is>
          <t>Meridian Engineering Partners</t>
        </is>
      </c>
      <c r="I41" s="44" t="inlineStr">
        <is>
          <t>Code B – Approved with Comments</t>
        </is>
      </c>
      <c r="J41" s="46" t="n">
        <v>46134</v>
      </c>
      <c r="K41" s="45">
        <f>IF(J41="",TODAY()-F41,J41-F41)</f>
        <v/>
      </c>
      <c r="L41" s="44" t="inlineStr">
        <is>
          <t>Incorporate comments</t>
        </is>
      </c>
      <c r="M41" s="44" t="inlineStr">
        <is>
          <t>\\DC\Geotechnical\Material Submittal\CTP-DHJ-GEO-MAT-0006</t>
        </is>
      </c>
      <c r="O41">
        <f>IF(Search!$C$4="","",IF(ISNUMBER(SEARCH(Search!$C$4,A41&amp;" "&amp;B41&amp;" "&amp;C41&amp;" "&amp;D41&amp;" "&amp;G41&amp;" "&amp;I41)),ROW(),""))</f>
        <v/>
      </c>
    </row>
    <row r="42">
      <c r="A42" s="41" t="inlineStr">
        <is>
          <t>CTP-DHJ-TUN-CAL-0001</t>
        </is>
      </c>
      <c r="B42" s="41" t="inlineStr">
        <is>
          <t>Segment design check</t>
        </is>
      </c>
      <c r="C42" s="42" t="inlineStr">
        <is>
          <t>Calculation</t>
        </is>
      </c>
      <c r="D42" s="41" t="inlineStr">
        <is>
          <t>Tunnelling</t>
        </is>
      </c>
      <c r="E42" s="42" t="inlineStr">
        <is>
          <t>A</t>
        </is>
      </c>
      <c r="F42" s="43" t="n">
        <v>46116</v>
      </c>
      <c r="G42" s="42" t="inlineStr">
        <is>
          <t>TRN-01011</t>
        </is>
      </c>
      <c r="H42" s="41" t="inlineStr">
        <is>
          <t>Meridian Engineering Partners</t>
        </is>
      </c>
      <c r="I42" s="41" t="inlineStr">
        <is>
          <t>Code A – Approved</t>
        </is>
      </c>
      <c r="J42" s="43" t="n">
        <v>46121</v>
      </c>
      <c r="K42" s="42">
        <f>IF(J42="",TODAY()-F42,J42-F42)</f>
        <v/>
      </c>
      <c r="L42" s="41" t="inlineStr">
        <is>
          <t>Issue for construction</t>
        </is>
      </c>
      <c r="M42" s="41" t="inlineStr">
        <is>
          <t>\\DC\Tunnelling\Calculation\CTP-DHJ-TUN-CAL-0001</t>
        </is>
      </c>
      <c r="O42">
        <f>IF(Search!$C$4="","",IF(ISNUMBER(SEARCH(Search!$C$4,A42&amp;" "&amp;B42&amp;" "&amp;C42&amp;" "&amp;D42&amp;" "&amp;G42&amp;" "&amp;I42)),ROW(),""))</f>
        <v/>
      </c>
    </row>
    <row r="43">
      <c r="A43" s="44" t="inlineStr">
        <is>
          <t>CTP-DHJ-CIV-MST-0004</t>
        </is>
      </c>
      <c r="B43" s="44" t="inlineStr">
        <is>
          <t>Cable pulling</t>
        </is>
      </c>
      <c r="C43" s="45" t="inlineStr">
        <is>
          <t>Method Statement</t>
        </is>
      </c>
      <c r="D43" s="44" t="inlineStr">
        <is>
          <t>Civil</t>
        </is>
      </c>
      <c r="E43" s="45" t="inlineStr">
        <is>
          <t>B</t>
        </is>
      </c>
      <c r="F43" s="46" t="n">
        <v>46116</v>
      </c>
      <c r="G43" s="45" t="inlineStr">
        <is>
          <t>TRN-01133</t>
        </is>
      </c>
      <c r="H43" s="44" t="inlineStr">
        <is>
          <t>Meridian Engineering Partners</t>
        </is>
      </c>
      <c r="I43" s="44" t="inlineStr">
        <is>
          <t>Code C – Revise &amp; Resubmit</t>
        </is>
      </c>
      <c r="J43" s="46" t="n">
        <v>46137</v>
      </c>
      <c r="K43" s="45">
        <f>IF(J43="",TODAY()-F43,J43-F43)</f>
        <v/>
      </c>
      <c r="L43" s="44" t="inlineStr">
        <is>
          <t>Revise and resubmit</t>
        </is>
      </c>
      <c r="M43" s="44" t="inlineStr">
        <is>
          <t>\\DC\Civil\Method Statement\CTP-DHJ-CIV-MST-0004</t>
        </is>
      </c>
      <c r="O43">
        <f>IF(Search!$C$4="","",IF(ISNUMBER(SEARCH(Search!$C$4,A43&amp;" "&amp;B43&amp;" "&amp;C43&amp;" "&amp;D43&amp;" "&amp;G43&amp;" "&amp;I43)),ROW(),""))</f>
        <v/>
      </c>
    </row>
    <row r="44">
      <c r="A44" s="41" t="inlineStr">
        <is>
          <t>CTP-DHJ-HSE-RPT-0006</t>
        </is>
      </c>
      <c r="B44" s="41" t="inlineStr">
        <is>
          <t>Monthly settlement monitoring</t>
        </is>
      </c>
      <c r="C44" s="42" t="inlineStr">
        <is>
          <t>Inspection Report</t>
        </is>
      </c>
      <c r="D44" s="41" t="inlineStr">
        <is>
          <t>HSE</t>
        </is>
      </c>
      <c r="E44" s="42" t="inlineStr">
        <is>
          <t>1</t>
        </is>
      </c>
      <c r="F44" s="43" t="n">
        <v>46116</v>
      </c>
      <c r="G44" s="42" t="inlineStr">
        <is>
          <t>TRN-01203</t>
        </is>
      </c>
      <c r="H44" s="41" t="inlineStr">
        <is>
          <t>Meridian Engineering Partners</t>
        </is>
      </c>
      <c r="I44" s="41" t="inlineStr">
        <is>
          <t>Code A – Approved</t>
        </is>
      </c>
      <c r="J44" s="43" t="n">
        <v>46137</v>
      </c>
      <c r="K44" s="42">
        <f>IF(J44="",TODAY()-F44,J44-F44)</f>
        <v/>
      </c>
      <c r="L44" s="41" t="inlineStr">
        <is>
          <t>Issue for construction</t>
        </is>
      </c>
      <c r="M44" s="41" t="inlineStr">
        <is>
          <t>\\DC\HSE\Inspection Report\CTP-DHJ-HSE-RPT-0006</t>
        </is>
      </c>
      <c r="O44">
        <f>IF(Search!$C$4="","",IF(ISNUMBER(SEARCH(Search!$C$4,A44&amp;" "&amp;B44&amp;" "&amp;C44&amp;" "&amp;D44&amp;" "&amp;G44&amp;" "&amp;I44)),ROW(),""))</f>
        <v/>
      </c>
    </row>
    <row r="45">
      <c r="A45" s="44" t="inlineStr">
        <is>
          <t>CTP-DHJ-QAQ-MST-0004</t>
        </is>
      </c>
      <c r="B45" s="44" t="inlineStr">
        <is>
          <t>Annulus grouting</t>
        </is>
      </c>
      <c r="C45" s="45" t="inlineStr">
        <is>
          <t>Method Statement</t>
        </is>
      </c>
      <c r="D45" s="44" t="inlineStr">
        <is>
          <t>Quality</t>
        </is>
      </c>
      <c r="E45" s="45" t="inlineStr">
        <is>
          <t>1</t>
        </is>
      </c>
      <c r="F45" s="46" t="n">
        <v>46117</v>
      </c>
      <c r="G45" s="45" t="inlineStr">
        <is>
          <t>TRN-01164</t>
        </is>
      </c>
      <c r="H45" s="44" t="inlineStr">
        <is>
          <t>Meridian Engineering Partners</t>
        </is>
      </c>
      <c r="I45" s="44" t="inlineStr">
        <is>
          <t>Code A – Approved</t>
        </is>
      </c>
      <c r="J45" s="46" t="n">
        <v>46122</v>
      </c>
      <c r="K45" s="45">
        <f>IF(J45="",TODAY()-F45,J45-F45)</f>
        <v/>
      </c>
      <c r="L45" s="44" t="inlineStr">
        <is>
          <t>Issue for construction</t>
        </is>
      </c>
      <c r="M45" s="44" t="inlineStr">
        <is>
          <t>\\DC\Quality\Method Statement\CTP-DHJ-QAQ-MST-0004</t>
        </is>
      </c>
      <c r="O45">
        <f>IF(Search!$C$4="","",IF(ISNUMBER(SEARCH(Search!$C$4,A45&amp;" "&amp;B45&amp;" "&amp;C45&amp;" "&amp;D45&amp;" "&amp;G45&amp;" "&amp;I45)),ROW(),""))</f>
        <v/>
      </c>
    </row>
    <row r="46">
      <c r="A46" s="41" t="inlineStr">
        <is>
          <t>CTP-DHJ-MEP-RPT-0003</t>
        </is>
      </c>
      <c r="B46" s="41" t="inlineStr">
        <is>
          <t>Weld inspection</t>
        </is>
      </c>
      <c r="C46" s="42" t="inlineStr">
        <is>
          <t>Inspection Report</t>
        </is>
      </c>
      <c r="D46" s="41" t="inlineStr">
        <is>
          <t>MEP</t>
        </is>
      </c>
      <c r="E46" s="42" t="inlineStr">
        <is>
          <t>B</t>
        </is>
      </c>
      <c r="F46" s="43" t="n">
        <v>46118</v>
      </c>
      <c r="G46" s="42" t="inlineStr">
        <is>
          <t>TRN-01179</t>
        </is>
      </c>
      <c r="H46" s="41" t="inlineStr">
        <is>
          <t>Meridian Engineering Partners</t>
        </is>
      </c>
      <c r="I46" s="41" t="inlineStr">
        <is>
          <t>Code A – Approved</t>
        </is>
      </c>
      <c r="J46" s="43" t="n">
        <v>46124</v>
      </c>
      <c r="K46" s="42">
        <f>IF(J46="",TODAY()-F46,J46-F46)</f>
        <v/>
      </c>
      <c r="L46" s="41" t="inlineStr">
        <is>
          <t>Issue for construction</t>
        </is>
      </c>
      <c r="M46" s="41" t="inlineStr">
        <is>
          <t>\\DC\MEP\Inspection Report\CTP-DHJ-MEP-RPT-0003</t>
        </is>
      </c>
      <c r="O46">
        <f>IF(Search!$C$4="","",IF(ISNUMBER(SEARCH(Search!$C$4,A46&amp;" "&amp;B46&amp;" "&amp;C46&amp;" "&amp;D46&amp;" "&amp;G46&amp;" "&amp;I46)),ROW(),""))</f>
        <v/>
      </c>
    </row>
    <row r="47">
      <c r="A47" s="44" t="inlineStr">
        <is>
          <t>CTP-DHJ-TUN-DWG-0013</t>
        </is>
      </c>
      <c r="B47" s="44" t="inlineStr">
        <is>
          <t>Cross passage reinforcement</t>
        </is>
      </c>
      <c r="C47" s="45" t="inlineStr">
        <is>
          <t>Drawing</t>
        </is>
      </c>
      <c r="D47" s="44" t="inlineStr">
        <is>
          <t>Tunnelling</t>
        </is>
      </c>
      <c r="E47" s="45" t="inlineStr">
        <is>
          <t>0</t>
        </is>
      </c>
      <c r="F47" s="46" t="n">
        <v>46121</v>
      </c>
      <c r="G47" s="45" t="inlineStr">
        <is>
          <t>TRN-01214</t>
        </is>
      </c>
      <c r="H47" s="44" t="inlineStr">
        <is>
          <t>Meridian Engineering Partners</t>
        </is>
      </c>
      <c r="I47" s="44" t="inlineStr">
        <is>
          <t>Code B – Approved with Comments</t>
        </is>
      </c>
      <c r="J47" s="46" t="n">
        <v>46130</v>
      </c>
      <c r="K47" s="45">
        <f>IF(J47="",TODAY()-F47,J47-F47)</f>
        <v/>
      </c>
      <c r="L47" s="44" t="inlineStr">
        <is>
          <t>Incorporate comments</t>
        </is>
      </c>
      <c r="M47" s="44" t="inlineStr">
        <is>
          <t>\\DC\Tunnelling\Drawing\CTP-DHJ-TUN-DWG-0013</t>
        </is>
      </c>
      <c r="O47">
        <f>IF(Search!$C$4="","",IF(ISNUMBER(SEARCH(Search!$C$4,A47&amp;" "&amp;B47&amp;" "&amp;C47&amp;" "&amp;D47&amp;" "&amp;G47&amp;" "&amp;I47)),ROW(),""))</f>
        <v/>
      </c>
    </row>
    <row r="48">
      <c r="A48" s="41" t="inlineStr">
        <is>
          <t>CTP-DHJ-QAQ-MAT-0002</t>
        </is>
      </c>
      <c r="B48" s="41" t="inlineStr">
        <is>
          <t>Rebar 16 mm</t>
        </is>
      </c>
      <c r="C48" s="42" t="inlineStr">
        <is>
          <t>Material Submittal</t>
        </is>
      </c>
      <c r="D48" s="41" t="inlineStr">
        <is>
          <t>Quality</t>
        </is>
      </c>
      <c r="E48" s="42" t="inlineStr">
        <is>
          <t>1</t>
        </is>
      </c>
      <c r="F48" s="43" t="n">
        <v>46122</v>
      </c>
      <c r="G48" s="42" t="inlineStr">
        <is>
          <t>TRN-01094</t>
        </is>
      </c>
      <c r="H48" s="41" t="inlineStr">
        <is>
          <t>Meridian Engineering Partners</t>
        </is>
      </c>
      <c r="I48" s="41" t="inlineStr">
        <is>
          <t>Code A – Approved</t>
        </is>
      </c>
      <c r="J48" s="43" t="n">
        <v>46128</v>
      </c>
      <c r="K48" s="42">
        <f>IF(J48="",TODAY()-F48,J48-F48)</f>
        <v/>
      </c>
      <c r="L48" s="41" t="inlineStr">
        <is>
          <t>Issue for construction</t>
        </is>
      </c>
      <c r="M48" s="41" t="inlineStr">
        <is>
          <t>\\DC\Quality\Material Submittal\CTP-DHJ-QAQ-MAT-0002</t>
        </is>
      </c>
      <c r="O48">
        <f>IF(Search!$C$4="","",IF(ISNUMBER(SEARCH(Search!$C$4,A48&amp;" "&amp;B48&amp;" "&amp;C48&amp;" "&amp;D48&amp;" "&amp;G48&amp;" "&amp;I48)),ROW(),""))</f>
        <v/>
      </c>
    </row>
    <row r="49">
      <c r="A49" s="44" t="inlineStr">
        <is>
          <t>CTP-DHJ-QAQ-MAT-0008</t>
        </is>
      </c>
      <c r="B49" s="44" t="inlineStr">
        <is>
          <t>Rebar 16 mm</t>
        </is>
      </c>
      <c r="C49" s="45" t="inlineStr">
        <is>
          <t>Material Submittal</t>
        </is>
      </c>
      <c r="D49" s="44" t="inlineStr">
        <is>
          <t>Quality</t>
        </is>
      </c>
      <c r="E49" s="45" t="inlineStr">
        <is>
          <t>B</t>
        </is>
      </c>
      <c r="F49" s="46" t="n">
        <v>46122</v>
      </c>
      <c r="G49" s="45" t="inlineStr">
        <is>
          <t>TRN-01238</t>
        </is>
      </c>
      <c r="H49" s="44" t="inlineStr">
        <is>
          <t>Meridian Engineering Partners</t>
        </is>
      </c>
      <c r="I49" s="44" t="inlineStr">
        <is>
          <t>Code D – Rejected</t>
        </is>
      </c>
      <c r="J49" s="46" t="n">
        <v>46132</v>
      </c>
      <c r="K49" s="45">
        <f>IF(J49="",TODAY()-F49,J49-F49)</f>
        <v/>
      </c>
      <c r="L49" s="44" t="inlineStr">
        <is>
          <t>Prepare new submission</t>
        </is>
      </c>
      <c r="M49" s="44" t="inlineStr">
        <is>
          <t>\\DC\Quality\Material Submittal\CTP-DHJ-QAQ-MAT-0008</t>
        </is>
      </c>
      <c r="O49">
        <f>IF(Search!$C$4="","",IF(ISNUMBER(SEARCH(Search!$C$4,A49&amp;" "&amp;B49&amp;" "&amp;C49&amp;" "&amp;D49&amp;" "&amp;G49&amp;" "&amp;I49)),ROW(),""))</f>
        <v/>
      </c>
    </row>
    <row r="50">
      <c r="A50" s="41" t="inlineStr">
        <is>
          <t>CTP-DHJ-CIV-DWG-0004</t>
        </is>
      </c>
      <c r="B50" s="41" t="inlineStr">
        <is>
          <t>Portal structure details</t>
        </is>
      </c>
      <c r="C50" s="42" t="inlineStr">
        <is>
          <t>Drawing</t>
        </is>
      </c>
      <c r="D50" s="41" t="inlineStr">
        <is>
          <t>Civil</t>
        </is>
      </c>
      <c r="E50" s="42" t="inlineStr">
        <is>
          <t>B</t>
        </is>
      </c>
      <c r="F50" s="43" t="n">
        <v>46126</v>
      </c>
      <c r="G50" s="42" t="inlineStr">
        <is>
          <t>TRN-01075</t>
        </is>
      </c>
      <c r="H50" s="41" t="inlineStr">
        <is>
          <t>Meridian Engineering Partners</t>
        </is>
      </c>
      <c r="I50" s="41" t="inlineStr">
        <is>
          <t>Code C – Revise &amp; Resubmit</t>
        </is>
      </c>
      <c r="J50" s="43" t="n">
        <v>46134</v>
      </c>
      <c r="K50" s="42">
        <f>IF(J50="",TODAY()-F50,J50-F50)</f>
        <v/>
      </c>
      <c r="L50" s="41" t="inlineStr">
        <is>
          <t>Revise and resubmit</t>
        </is>
      </c>
      <c r="M50" s="41" t="inlineStr">
        <is>
          <t>\\DC\Civil\Drawing\CTP-DHJ-CIV-DWG-0004</t>
        </is>
      </c>
      <c r="O50">
        <f>IF(Search!$C$4="","",IF(ISNUMBER(SEARCH(Search!$C$4,A50&amp;" "&amp;B50&amp;" "&amp;C50&amp;" "&amp;D50&amp;" "&amp;G50&amp;" "&amp;I50)),ROW(),""))</f>
        <v/>
      </c>
    </row>
    <row r="51">
      <c r="A51" s="44" t="inlineStr">
        <is>
          <t>CTP-DHJ-MEP-MST-0001</t>
        </is>
      </c>
      <c r="B51" s="44" t="inlineStr">
        <is>
          <t>Cable pulling</t>
        </is>
      </c>
      <c r="C51" s="45" t="inlineStr">
        <is>
          <t>Method Statement</t>
        </is>
      </c>
      <c r="D51" s="44" t="inlineStr">
        <is>
          <t>MEP</t>
        </is>
      </c>
      <c r="E51" s="45" t="inlineStr">
        <is>
          <t>B</t>
        </is>
      </c>
      <c r="F51" s="46" t="n">
        <v>46127</v>
      </c>
      <c r="G51" s="45" t="inlineStr">
        <is>
          <t>TRN-01012</t>
        </is>
      </c>
      <c r="H51" s="44" t="inlineStr">
        <is>
          <t>Meridian Engineering Partners</t>
        </is>
      </c>
      <c r="I51" s="44" t="inlineStr">
        <is>
          <t>Code B – Approved with Comments</t>
        </is>
      </c>
      <c r="J51" s="46" t="n">
        <v>46146</v>
      </c>
      <c r="K51" s="45">
        <f>IF(J51="",TODAY()-F51,J51-F51)</f>
        <v/>
      </c>
      <c r="L51" s="44" t="inlineStr">
        <is>
          <t>Incorporate comments</t>
        </is>
      </c>
      <c r="M51" s="44" t="inlineStr">
        <is>
          <t>\\DC\MEP\Method Statement\CTP-DHJ-MEP-MST-0001</t>
        </is>
      </c>
      <c r="O51">
        <f>IF(Search!$C$4="","",IF(ISNUMBER(SEARCH(Search!$C$4,A51&amp;" "&amp;B51&amp;" "&amp;C51&amp;" "&amp;D51&amp;" "&amp;G51&amp;" "&amp;I51)),ROW(),""))</f>
        <v/>
      </c>
    </row>
    <row r="52">
      <c r="A52" s="41" t="inlineStr">
        <is>
          <t>CTP-DHJ-TUN-DWG-0002</t>
        </is>
      </c>
      <c r="B52" s="41" t="inlineStr">
        <is>
          <t>Shaft general arrangement</t>
        </is>
      </c>
      <c r="C52" s="42" t="inlineStr">
        <is>
          <t>Drawing</t>
        </is>
      </c>
      <c r="D52" s="41" t="inlineStr">
        <is>
          <t>Tunnelling</t>
        </is>
      </c>
      <c r="E52" s="42" t="inlineStr">
        <is>
          <t>B</t>
        </is>
      </c>
      <c r="F52" s="43" t="n">
        <v>46127</v>
      </c>
      <c r="G52" s="42" t="inlineStr">
        <is>
          <t>TRN-01025</t>
        </is>
      </c>
      <c r="H52" s="41" t="inlineStr">
        <is>
          <t>Meridian Engineering Partners</t>
        </is>
      </c>
      <c r="I52" s="41" t="inlineStr">
        <is>
          <t>Code A – Approved</t>
        </is>
      </c>
      <c r="J52" s="43" t="n">
        <v>46134</v>
      </c>
      <c r="K52" s="42">
        <f>IF(J52="",TODAY()-F52,J52-F52)</f>
        <v/>
      </c>
      <c r="L52" s="41" t="inlineStr">
        <is>
          <t>Issue for construction</t>
        </is>
      </c>
      <c r="M52" s="41" t="inlineStr">
        <is>
          <t>\\DC\Tunnelling\Drawing\CTP-DHJ-TUN-DWG-0002</t>
        </is>
      </c>
      <c r="O52">
        <f>IF(Search!$C$4="","",IF(ISNUMBER(SEARCH(Search!$C$4,A52&amp;" "&amp;B52&amp;" "&amp;C52&amp;" "&amp;D52&amp;" "&amp;G52&amp;" "&amp;I52)),ROW(),""))</f>
        <v/>
      </c>
    </row>
    <row r="53">
      <c r="A53" s="44" t="inlineStr">
        <is>
          <t>CTP-DHJ-HSE-MAT-0012</t>
        </is>
      </c>
      <c r="B53" s="44" t="inlineStr">
        <is>
          <t>Rebar 16 mm</t>
        </is>
      </c>
      <c r="C53" s="45" t="inlineStr">
        <is>
          <t>Material Submittal</t>
        </is>
      </c>
      <c r="D53" s="44" t="inlineStr">
        <is>
          <t>HSE</t>
        </is>
      </c>
      <c r="E53" s="45" t="inlineStr">
        <is>
          <t>1</t>
        </is>
      </c>
      <c r="F53" s="46" t="n">
        <v>46128</v>
      </c>
      <c r="G53" s="45" t="inlineStr">
        <is>
          <t>TRN-01213</t>
        </is>
      </c>
      <c r="H53" s="44" t="inlineStr">
        <is>
          <t>Meridian Engineering Partners</t>
        </is>
      </c>
      <c r="I53" s="44" t="inlineStr">
        <is>
          <t>Code B – Approved with Comments</t>
        </is>
      </c>
      <c r="J53" s="46" t="n">
        <v>46139</v>
      </c>
      <c r="K53" s="45">
        <f>IF(J53="",TODAY()-F53,J53-F53)</f>
        <v/>
      </c>
      <c r="L53" s="44" t="inlineStr">
        <is>
          <t>Incorporate comments</t>
        </is>
      </c>
      <c r="M53" s="44" t="inlineStr">
        <is>
          <t>\\DC\HSE\Material Submittal\CTP-DHJ-HSE-MAT-0012</t>
        </is>
      </c>
      <c r="O53">
        <f>IF(Search!$C$4="","",IF(ISNUMBER(SEARCH(Search!$C$4,A53&amp;" "&amp;B53&amp;" "&amp;C53&amp;" "&amp;D53&amp;" "&amp;G53&amp;" "&amp;I53)),ROW(),""))</f>
        <v/>
      </c>
    </row>
    <row r="54">
      <c r="A54" s="41" t="inlineStr">
        <is>
          <t>CTP-DHJ-GEO-MAT-0004</t>
        </is>
      </c>
      <c r="B54" s="41" t="inlineStr">
        <is>
          <t>Rebar 16 mm</t>
        </is>
      </c>
      <c r="C54" s="42" t="inlineStr">
        <is>
          <t>Material Submittal</t>
        </is>
      </c>
      <c r="D54" s="41" t="inlineStr">
        <is>
          <t>Geotechnical</t>
        </is>
      </c>
      <c r="E54" s="42" t="inlineStr">
        <is>
          <t>A</t>
        </is>
      </c>
      <c r="F54" s="43" t="n">
        <v>46130</v>
      </c>
      <c r="G54" s="42" t="inlineStr">
        <is>
          <t>TRN-01147</t>
        </is>
      </c>
      <c r="H54" s="41" t="inlineStr">
        <is>
          <t>Meridian Engineering Partners</t>
        </is>
      </c>
      <c r="I54" s="41" t="inlineStr">
        <is>
          <t>Code A – Approved</t>
        </is>
      </c>
      <c r="J54" s="43" t="n">
        <v>46145</v>
      </c>
      <c r="K54" s="42">
        <f>IF(J54="",TODAY()-F54,J54-F54)</f>
        <v/>
      </c>
      <c r="L54" s="41" t="inlineStr">
        <is>
          <t>Issue for construction</t>
        </is>
      </c>
      <c r="M54" s="41" t="inlineStr">
        <is>
          <t>\\DC\Geotechnical\Material Submittal\CTP-DHJ-GEO-MAT-0004</t>
        </is>
      </c>
      <c r="O54">
        <f>IF(Search!$C$4="","",IF(ISNUMBER(SEARCH(Search!$C$4,A54&amp;" "&amp;B54&amp;" "&amp;C54&amp;" "&amp;D54&amp;" "&amp;G54&amp;" "&amp;I54)),ROW(),""))</f>
        <v/>
      </c>
    </row>
    <row r="55">
      <c r="A55" s="44" t="inlineStr">
        <is>
          <t>CTP-DHJ-HSE-RPT-0002</t>
        </is>
      </c>
      <c r="B55" s="44" t="inlineStr">
        <is>
          <t>Survey control check</t>
        </is>
      </c>
      <c r="C55" s="45" t="inlineStr">
        <is>
          <t>Inspection Report</t>
        </is>
      </c>
      <c r="D55" s="44" t="inlineStr">
        <is>
          <t>HSE</t>
        </is>
      </c>
      <c r="E55" s="45" t="inlineStr">
        <is>
          <t>1</t>
        </is>
      </c>
      <c r="F55" s="46" t="n">
        <v>46132</v>
      </c>
      <c r="G55" s="45" t="inlineStr">
        <is>
          <t>TRN-01020</t>
        </is>
      </c>
      <c r="H55" s="44" t="inlineStr">
        <is>
          <t>Meridian Engineering Partners</t>
        </is>
      </c>
      <c r="I55" s="44" t="inlineStr">
        <is>
          <t>Code B – Approved with Comments</t>
        </is>
      </c>
      <c r="J55" s="46" t="n">
        <v>46152</v>
      </c>
      <c r="K55" s="45">
        <f>IF(J55="",TODAY()-F55,J55-F55)</f>
        <v/>
      </c>
      <c r="L55" s="44" t="inlineStr">
        <is>
          <t>Incorporate comments</t>
        </is>
      </c>
      <c r="M55" s="44" t="inlineStr">
        <is>
          <t>\\DC\HSE\Inspection Report\CTP-DHJ-HSE-RPT-0002</t>
        </is>
      </c>
      <c r="O55">
        <f>IF(Search!$C$4="","",IF(ISNUMBER(SEARCH(Search!$C$4,A55&amp;" "&amp;B55&amp;" "&amp;C55&amp;" "&amp;D55&amp;" "&amp;G55&amp;" "&amp;I55)),ROW(),""))</f>
        <v/>
      </c>
    </row>
    <row r="56">
      <c r="A56" s="41" t="inlineStr">
        <is>
          <t>CTP-DHJ-MEP-PRC-0001</t>
        </is>
      </c>
      <c r="B56" s="41" t="inlineStr">
        <is>
          <t>Permit to work</t>
        </is>
      </c>
      <c r="C56" s="42" t="inlineStr">
        <is>
          <t>Procedure</t>
        </is>
      </c>
      <c r="D56" s="41" t="inlineStr">
        <is>
          <t>MEP</t>
        </is>
      </c>
      <c r="E56" s="42" t="inlineStr">
        <is>
          <t>0</t>
        </is>
      </c>
      <c r="F56" s="43" t="n">
        <v>46138</v>
      </c>
      <c r="G56" s="42" t="inlineStr">
        <is>
          <t>TRN-01038</t>
        </is>
      </c>
      <c r="H56" s="41" t="inlineStr">
        <is>
          <t>Meridian Engineering Partners</t>
        </is>
      </c>
      <c r="I56" s="41" t="inlineStr">
        <is>
          <t>Code B – Approved with Comments</t>
        </is>
      </c>
      <c r="J56" s="43" t="n">
        <v>46149</v>
      </c>
      <c r="K56" s="42">
        <f>IF(J56="",TODAY()-F56,J56-F56)</f>
        <v/>
      </c>
      <c r="L56" s="41" t="inlineStr">
        <is>
          <t>Incorporate comments</t>
        </is>
      </c>
      <c r="M56" s="41" t="inlineStr">
        <is>
          <t>\\DC\MEP\Procedure\CTP-DHJ-MEP-PRC-0001</t>
        </is>
      </c>
      <c r="O56">
        <f>IF(Search!$C$4="","",IF(ISNUMBER(SEARCH(Search!$C$4,A56&amp;" "&amp;B56&amp;" "&amp;C56&amp;" "&amp;D56&amp;" "&amp;G56&amp;" "&amp;I56)),ROW(),""))</f>
        <v/>
      </c>
    </row>
    <row r="57">
      <c r="A57" s="44" t="inlineStr">
        <is>
          <t>CTP-DHJ-QAQ-DWG-0012</t>
        </is>
      </c>
      <c r="B57" s="44" t="inlineStr">
        <is>
          <t>Segment ring layout</t>
        </is>
      </c>
      <c r="C57" s="45" t="inlineStr">
        <is>
          <t>Drawing</t>
        </is>
      </c>
      <c r="D57" s="44" t="inlineStr">
        <is>
          <t>Quality</t>
        </is>
      </c>
      <c r="E57" s="45" t="inlineStr">
        <is>
          <t>A</t>
        </is>
      </c>
      <c r="F57" s="46" t="n">
        <v>46138</v>
      </c>
      <c r="G57" s="45" t="inlineStr">
        <is>
          <t>TRN-01235</t>
        </is>
      </c>
      <c r="H57" s="44" t="inlineStr">
        <is>
          <t>Meridian Engineering Partners</t>
        </is>
      </c>
      <c r="I57" s="44" t="inlineStr">
        <is>
          <t>Code A – Approved</t>
        </is>
      </c>
      <c r="J57" s="46" t="n">
        <v>46155</v>
      </c>
      <c r="K57" s="45">
        <f>IF(J57="",TODAY()-F57,J57-F57)</f>
        <v/>
      </c>
      <c r="L57" s="44" t="inlineStr">
        <is>
          <t>Issue for construction</t>
        </is>
      </c>
      <c r="M57" s="44" t="inlineStr">
        <is>
          <t>\\DC\Quality\Drawing\CTP-DHJ-QAQ-DWG-0012</t>
        </is>
      </c>
      <c r="O57">
        <f>IF(Search!$C$4="","",IF(ISNUMBER(SEARCH(Search!$C$4,A57&amp;" "&amp;B57&amp;" "&amp;C57&amp;" "&amp;D57&amp;" "&amp;G57&amp;" "&amp;I57)),ROW(),""))</f>
        <v/>
      </c>
    </row>
    <row r="58">
      <c r="A58" s="41" t="inlineStr">
        <is>
          <t>CTP-DHJ-CIV-MAT-0004</t>
        </is>
      </c>
      <c r="B58" s="41" t="inlineStr">
        <is>
          <t>Ventilation fans</t>
        </is>
      </c>
      <c r="C58" s="42" t="inlineStr">
        <is>
          <t>Material Submittal</t>
        </is>
      </c>
      <c r="D58" s="41" t="inlineStr">
        <is>
          <t>Civil</t>
        </is>
      </c>
      <c r="E58" s="42" t="inlineStr">
        <is>
          <t>0</t>
        </is>
      </c>
      <c r="F58" s="43" t="n">
        <v>46139</v>
      </c>
      <c r="G58" s="42" t="inlineStr">
        <is>
          <t>TRN-01047</t>
        </is>
      </c>
      <c r="H58" s="41" t="inlineStr">
        <is>
          <t>Meridian Engineering Partners</t>
        </is>
      </c>
      <c r="I58" s="41" t="inlineStr">
        <is>
          <t>Code A – Approved</t>
        </is>
      </c>
      <c r="J58" s="43" t="n">
        <v>46160</v>
      </c>
      <c r="K58" s="42">
        <f>IF(J58="",TODAY()-F58,J58-F58)</f>
        <v/>
      </c>
      <c r="L58" s="41" t="inlineStr">
        <is>
          <t>Issue for construction</t>
        </is>
      </c>
      <c r="M58" s="41" t="inlineStr">
        <is>
          <t>\\DC\Civil\Material Submittal\CTP-DHJ-CIV-MAT-0004</t>
        </is>
      </c>
      <c r="O58">
        <f>IF(Search!$C$4="","",IF(ISNUMBER(SEARCH(Search!$C$4,A58&amp;" "&amp;B58&amp;" "&amp;C58&amp;" "&amp;D58&amp;" "&amp;G58&amp;" "&amp;I58)),ROW(),""))</f>
        <v/>
      </c>
    </row>
    <row r="59">
      <c r="A59" s="44" t="inlineStr">
        <is>
          <t>CTP-DHJ-GEO-MAT-0001</t>
        </is>
      </c>
      <c r="B59" s="44" t="inlineStr">
        <is>
          <t>Grout admixture</t>
        </is>
      </c>
      <c r="C59" s="45" t="inlineStr">
        <is>
          <t>Material Submittal</t>
        </is>
      </c>
      <c r="D59" s="44" t="inlineStr">
        <is>
          <t>Geotechnical</t>
        </is>
      </c>
      <c r="E59" s="45" t="inlineStr">
        <is>
          <t>A</t>
        </is>
      </c>
      <c r="F59" s="46" t="n">
        <v>46140</v>
      </c>
      <c r="G59" s="45" t="inlineStr">
        <is>
          <t>TRN-01019</t>
        </is>
      </c>
      <c r="H59" s="44" t="inlineStr">
        <is>
          <t>Meridian Engineering Partners</t>
        </is>
      </c>
      <c r="I59" s="44" t="inlineStr">
        <is>
          <t>Code C – Revise &amp; Resubmit</t>
        </is>
      </c>
      <c r="J59" s="46" t="n">
        <v>46151</v>
      </c>
      <c r="K59" s="45">
        <f>IF(J59="",TODAY()-F59,J59-F59)</f>
        <v/>
      </c>
      <c r="L59" s="44" t="inlineStr">
        <is>
          <t>Revise and resubmit</t>
        </is>
      </c>
      <c r="M59" s="44" t="inlineStr">
        <is>
          <t>\\DC\Geotechnical\Material Submittal\CTP-DHJ-GEO-MAT-0001</t>
        </is>
      </c>
      <c r="O59">
        <f>IF(Search!$C$4="","",IF(ISNUMBER(SEARCH(Search!$C$4,A59&amp;" "&amp;B59&amp;" "&amp;C59&amp;" "&amp;D59&amp;" "&amp;G59&amp;" "&amp;I59)),ROW(),""))</f>
        <v/>
      </c>
    </row>
    <row r="60">
      <c r="A60" s="41" t="inlineStr">
        <is>
          <t>CTP-DHJ-CIV-DWG-0002</t>
        </is>
      </c>
      <c r="B60" s="41" t="inlineStr">
        <is>
          <t>Shaft general arrangement</t>
        </is>
      </c>
      <c r="C60" s="42" t="inlineStr">
        <is>
          <t>Drawing</t>
        </is>
      </c>
      <c r="D60" s="41" t="inlineStr">
        <is>
          <t>Civil</t>
        </is>
      </c>
      <c r="E60" s="42" t="inlineStr">
        <is>
          <t>0</t>
        </is>
      </c>
      <c r="F60" s="43" t="n">
        <v>46140</v>
      </c>
      <c r="G60" s="42" t="inlineStr">
        <is>
          <t>TRN-01064</t>
        </is>
      </c>
      <c r="H60" s="41" t="inlineStr">
        <is>
          <t>Meridian Engineering Partners</t>
        </is>
      </c>
      <c r="I60" s="41" t="inlineStr">
        <is>
          <t>Code A – Approved</t>
        </is>
      </c>
      <c r="J60" s="43" t="n">
        <v>46155</v>
      </c>
      <c r="K60" s="42">
        <f>IF(J60="",TODAY()-F60,J60-F60)</f>
        <v/>
      </c>
      <c r="L60" s="41" t="inlineStr">
        <is>
          <t>Issue for construction</t>
        </is>
      </c>
      <c r="M60" s="41" t="inlineStr">
        <is>
          <t>\\DC\Civil\Drawing\CTP-DHJ-CIV-DWG-0002</t>
        </is>
      </c>
      <c r="O60">
        <f>IF(Search!$C$4="","",IF(ISNUMBER(SEARCH(Search!$C$4,A60&amp;" "&amp;B60&amp;" "&amp;C60&amp;" "&amp;D60&amp;" "&amp;G60&amp;" "&amp;I60)),ROW(),""))</f>
        <v/>
      </c>
    </row>
    <row r="61">
      <c r="A61" s="44" t="inlineStr">
        <is>
          <t>CTP-DHJ-GEO-DWG-0002</t>
        </is>
      </c>
      <c r="B61" s="44" t="inlineStr">
        <is>
          <t>Drainage layout</t>
        </is>
      </c>
      <c r="C61" s="45" t="inlineStr">
        <is>
          <t>Drawing</t>
        </is>
      </c>
      <c r="D61" s="44" t="inlineStr">
        <is>
          <t>Geotechnical</t>
        </is>
      </c>
      <c r="E61" s="45" t="inlineStr">
        <is>
          <t>A</t>
        </is>
      </c>
      <c r="F61" s="46" t="n">
        <v>46142</v>
      </c>
      <c r="G61" s="45" t="inlineStr">
        <is>
          <t>TRN-01044</t>
        </is>
      </c>
      <c r="H61" s="44" t="inlineStr">
        <is>
          <t>Meridian Engineering Partners</t>
        </is>
      </c>
      <c r="I61" s="44" t="inlineStr">
        <is>
          <t>Code B – Approved with Comments</t>
        </is>
      </c>
      <c r="J61" s="46" t="n">
        <v>46150</v>
      </c>
      <c r="K61" s="45">
        <f>IF(J61="",TODAY()-F61,J61-F61)</f>
        <v/>
      </c>
      <c r="L61" s="44" t="inlineStr">
        <is>
          <t>Incorporate comments</t>
        </is>
      </c>
      <c r="M61" s="44" t="inlineStr">
        <is>
          <t>\\DC\Geotechnical\Drawing\CTP-DHJ-GEO-DWG-0002</t>
        </is>
      </c>
      <c r="O61">
        <f>IF(Search!$C$4="","",IF(ISNUMBER(SEARCH(Search!$C$4,A61&amp;" "&amp;B61&amp;" "&amp;C61&amp;" "&amp;D61&amp;" "&amp;G61&amp;" "&amp;I61)),ROW(),""))</f>
        <v/>
      </c>
    </row>
    <row r="62">
      <c r="A62" s="41" t="inlineStr">
        <is>
          <t>CTP-DHJ-HSE-MAT-0010</t>
        </is>
      </c>
      <c r="B62" s="41" t="inlineStr">
        <is>
          <t>Precast segment gaskets</t>
        </is>
      </c>
      <c r="C62" s="42" t="inlineStr">
        <is>
          <t>Material Submittal</t>
        </is>
      </c>
      <c r="D62" s="41" t="inlineStr">
        <is>
          <t>HSE</t>
        </is>
      </c>
      <c r="E62" s="42" t="inlineStr">
        <is>
          <t>1</t>
        </is>
      </c>
      <c r="F62" s="43" t="n">
        <v>46143</v>
      </c>
      <c r="G62" s="42" t="inlineStr">
        <is>
          <t>TRN-01174</t>
        </is>
      </c>
      <c r="H62" s="41" t="inlineStr">
        <is>
          <t>Meridian Engineering Partners</t>
        </is>
      </c>
      <c r="I62" s="41" t="inlineStr">
        <is>
          <t>Code A – Approved</t>
        </is>
      </c>
      <c r="J62" s="43" t="n">
        <v>46155</v>
      </c>
      <c r="K62" s="42">
        <f>IF(J62="",TODAY()-F62,J62-F62)</f>
        <v/>
      </c>
      <c r="L62" s="41" t="inlineStr">
        <is>
          <t>Issue for construction</t>
        </is>
      </c>
      <c r="M62" s="41" t="inlineStr">
        <is>
          <t>\\DC\HSE\Material Submittal\CTP-DHJ-HSE-MAT-0010</t>
        </is>
      </c>
      <c r="O62">
        <f>IF(Search!$C$4="","",IF(ISNUMBER(SEARCH(Search!$C$4,A62&amp;" "&amp;B62&amp;" "&amp;C62&amp;" "&amp;D62&amp;" "&amp;G62&amp;" "&amp;I62)),ROW(),""))</f>
        <v/>
      </c>
    </row>
    <row r="63">
      <c r="A63" s="44" t="inlineStr">
        <is>
          <t>CTP-DHJ-MEP-DWG-0012</t>
        </is>
      </c>
      <c r="B63" s="44" t="inlineStr">
        <is>
          <t>Drainage layout</t>
        </is>
      </c>
      <c r="C63" s="45" t="inlineStr">
        <is>
          <t>Drawing</t>
        </is>
      </c>
      <c r="D63" s="44" t="inlineStr">
        <is>
          <t>MEP</t>
        </is>
      </c>
      <c r="E63" s="45" t="inlineStr">
        <is>
          <t>1</t>
        </is>
      </c>
      <c r="F63" s="46" t="n">
        <v>46144</v>
      </c>
      <c r="G63" s="45" t="inlineStr">
        <is>
          <t>TRN-01173</t>
        </is>
      </c>
      <c r="H63" s="44" t="inlineStr">
        <is>
          <t>Meridian Engineering Partners</t>
        </is>
      </c>
      <c r="I63" s="44" t="inlineStr">
        <is>
          <t>Code A – Approved</t>
        </is>
      </c>
      <c r="J63" s="46" t="n">
        <v>46150</v>
      </c>
      <c r="K63" s="45">
        <f>IF(J63="",TODAY()-F63,J63-F63)</f>
        <v/>
      </c>
      <c r="L63" s="44" t="inlineStr">
        <is>
          <t>Issue for construction</t>
        </is>
      </c>
      <c r="M63" s="44" t="inlineStr">
        <is>
          <t>\\DC\MEP\Drawing\CTP-DHJ-MEP-DWG-0012</t>
        </is>
      </c>
      <c r="O63">
        <f>IF(Search!$C$4="","",IF(ISNUMBER(SEARCH(Search!$C$4,A63&amp;" "&amp;B63&amp;" "&amp;C63&amp;" "&amp;D63&amp;" "&amp;G63&amp;" "&amp;I63)),ROW(),""))</f>
        <v/>
      </c>
    </row>
    <row r="64">
      <c r="A64" s="41" t="inlineStr">
        <is>
          <t>CTP-DHJ-CIV-CAL-0001</t>
        </is>
      </c>
      <c r="B64" s="41" t="inlineStr">
        <is>
          <t>Temporary works design</t>
        </is>
      </c>
      <c r="C64" s="42" t="inlineStr">
        <is>
          <t>Calculation</t>
        </is>
      </c>
      <c r="D64" s="41" t="inlineStr">
        <is>
          <t>Civil</t>
        </is>
      </c>
      <c r="E64" s="42" t="inlineStr">
        <is>
          <t>A</t>
        </is>
      </c>
      <c r="F64" s="43" t="n">
        <v>46144</v>
      </c>
      <c r="G64" s="42" t="inlineStr">
        <is>
          <t>TRN-01190</t>
        </is>
      </c>
      <c r="H64" s="41" t="inlineStr">
        <is>
          <t>Meridian Engineering Partners</t>
        </is>
      </c>
      <c r="I64" s="41" t="inlineStr">
        <is>
          <t>Code A – Approved</t>
        </is>
      </c>
      <c r="J64" s="43" t="n">
        <v>46154</v>
      </c>
      <c r="K64" s="42">
        <f>IF(J64="",TODAY()-F64,J64-F64)</f>
        <v/>
      </c>
      <c r="L64" s="41" t="inlineStr">
        <is>
          <t>Issue for construction</t>
        </is>
      </c>
      <c r="M64" s="41" t="inlineStr">
        <is>
          <t>\\DC\Civil\Calculation\CTP-DHJ-CIV-CAL-0001</t>
        </is>
      </c>
      <c r="O64">
        <f>IF(Search!$C$4="","",IF(ISNUMBER(SEARCH(Search!$C$4,A64&amp;" "&amp;B64&amp;" "&amp;C64&amp;" "&amp;D64&amp;" "&amp;G64&amp;" "&amp;I64)),ROW(),""))</f>
        <v/>
      </c>
    </row>
    <row r="65">
      <c r="A65" s="44" t="inlineStr">
        <is>
          <t>CTP-DHJ-MEP-MST-0004</t>
        </is>
      </c>
      <c r="B65" s="44" t="inlineStr">
        <is>
          <t>Cable pulling</t>
        </is>
      </c>
      <c r="C65" s="45" t="inlineStr">
        <is>
          <t>Method Statement</t>
        </is>
      </c>
      <c r="D65" s="44" t="inlineStr">
        <is>
          <t>MEP</t>
        </is>
      </c>
      <c r="E65" s="45" t="inlineStr">
        <is>
          <t>B</t>
        </is>
      </c>
      <c r="F65" s="46" t="n">
        <v>46146</v>
      </c>
      <c r="G65" s="45" t="inlineStr">
        <is>
          <t>TRN-01096</t>
        </is>
      </c>
      <c r="H65" s="44" t="inlineStr">
        <is>
          <t>Meridian Engineering Partners</t>
        </is>
      </c>
      <c r="I65" s="44" t="inlineStr">
        <is>
          <t>Code D – Rejected</t>
        </is>
      </c>
      <c r="J65" s="46" t="n">
        <v>46152</v>
      </c>
      <c r="K65" s="45">
        <f>IF(J65="",TODAY()-F65,J65-F65)</f>
        <v/>
      </c>
      <c r="L65" s="44" t="inlineStr">
        <is>
          <t>Prepare new submission</t>
        </is>
      </c>
      <c r="M65" s="44" t="inlineStr">
        <is>
          <t>\\DC\MEP\Method Statement\CTP-DHJ-MEP-MST-0004</t>
        </is>
      </c>
      <c r="O65">
        <f>IF(Search!$C$4="","",IF(ISNUMBER(SEARCH(Search!$C$4,A65&amp;" "&amp;B65&amp;" "&amp;C65&amp;" "&amp;D65&amp;" "&amp;G65&amp;" "&amp;I65)),ROW(),""))</f>
        <v/>
      </c>
    </row>
    <row r="66">
      <c r="A66" s="41" t="inlineStr">
        <is>
          <t>CTP-DHJ-HSE-MAT-0011</t>
        </is>
      </c>
      <c r="B66" s="41" t="inlineStr">
        <is>
          <t>Rebar 16 mm</t>
        </is>
      </c>
      <c r="C66" s="42" t="inlineStr">
        <is>
          <t>Material Submittal</t>
        </is>
      </c>
      <c r="D66" s="41" t="inlineStr">
        <is>
          <t>HSE</t>
        </is>
      </c>
      <c r="E66" s="42" t="inlineStr">
        <is>
          <t>A</t>
        </is>
      </c>
      <c r="F66" s="43" t="n">
        <v>46146</v>
      </c>
      <c r="G66" s="42" t="inlineStr">
        <is>
          <t>TRN-01189</t>
        </is>
      </c>
      <c r="H66" s="41" t="inlineStr">
        <is>
          <t>Meridian Engineering Partners</t>
        </is>
      </c>
      <c r="I66" s="41" t="inlineStr">
        <is>
          <t>Code A – Approved</t>
        </is>
      </c>
      <c r="J66" s="43" t="n">
        <v>46156</v>
      </c>
      <c r="K66" s="42">
        <f>IF(J66="",TODAY()-F66,J66-F66)</f>
        <v/>
      </c>
      <c r="L66" s="41" t="inlineStr">
        <is>
          <t>Issue for construction</t>
        </is>
      </c>
      <c r="M66" s="41" t="inlineStr">
        <is>
          <t>\\DC\HSE\Material Submittal\CTP-DHJ-HSE-MAT-0011</t>
        </is>
      </c>
      <c r="O66">
        <f>IF(Search!$C$4="","",IF(ISNUMBER(SEARCH(Search!$C$4,A66&amp;" "&amp;B66&amp;" "&amp;C66&amp;" "&amp;D66&amp;" "&amp;G66&amp;" "&amp;I66)),ROW(),""))</f>
        <v/>
      </c>
    </row>
    <row r="67">
      <c r="A67" s="44" t="inlineStr">
        <is>
          <t>CTP-DHJ-TUN-DWG-0003</t>
        </is>
      </c>
      <c r="B67" s="44" t="inlineStr">
        <is>
          <t>Portal structure details</t>
        </is>
      </c>
      <c r="C67" s="45" t="inlineStr">
        <is>
          <t>Drawing</t>
        </is>
      </c>
      <c r="D67" s="44" t="inlineStr">
        <is>
          <t>Tunnelling</t>
        </is>
      </c>
      <c r="E67" s="45" t="inlineStr">
        <is>
          <t>B</t>
        </is>
      </c>
      <c r="F67" s="46" t="n">
        <v>46147</v>
      </c>
      <c r="G67" s="45" t="inlineStr">
        <is>
          <t>TRN-01032</t>
        </is>
      </c>
      <c r="H67" s="44" t="inlineStr">
        <is>
          <t>Meridian Engineering Partners</t>
        </is>
      </c>
      <c r="I67" s="44" t="inlineStr">
        <is>
          <t>Code C – Revise &amp; Resubmit</t>
        </is>
      </c>
      <c r="J67" s="46" t="n">
        <v>46164</v>
      </c>
      <c r="K67" s="45">
        <f>IF(J67="",TODAY()-F67,J67-F67)</f>
        <v/>
      </c>
      <c r="L67" s="44" t="inlineStr">
        <is>
          <t>Revise and resubmit</t>
        </is>
      </c>
      <c r="M67" s="44" t="inlineStr">
        <is>
          <t>\\DC\Tunnelling\Drawing\CTP-DHJ-TUN-DWG-0003</t>
        </is>
      </c>
      <c r="O67">
        <f>IF(Search!$C$4="","",IF(ISNUMBER(SEARCH(Search!$C$4,A67&amp;" "&amp;B67&amp;" "&amp;C67&amp;" "&amp;D67&amp;" "&amp;G67&amp;" "&amp;I67)),ROW(),""))</f>
        <v/>
      </c>
    </row>
    <row r="68">
      <c r="A68" s="41" t="inlineStr">
        <is>
          <t>CTP-DHJ-MEP-MAT-0004</t>
        </is>
      </c>
      <c r="B68" s="41" t="inlineStr">
        <is>
          <t>Grout admixture</t>
        </is>
      </c>
      <c r="C68" s="42" t="inlineStr">
        <is>
          <t>Material Submittal</t>
        </is>
      </c>
      <c r="D68" s="41" t="inlineStr">
        <is>
          <t>MEP</t>
        </is>
      </c>
      <c r="E68" s="42" t="inlineStr">
        <is>
          <t>B</t>
        </is>
      </c>
      <c r="F68" s="43" t="n">
        <v>46147</v>
      </c>
      <c r="G68" s="42" t="inlineStr">
        <is>
          <t>TRN-01035</t>
        </is>
      </c>
      <c r="H68" s="41" t="inlineStr">
        <is>
          <t>Meridian Engineering Partners</t>
        </is>
      </c>
      <c r="I68" s="41" t="inlineStr">
        <is>
          <t>Code C – Revise &amp; Resubmit</t>
        </is>
      </c>
      <c r="J68" s="43" t="n">
        <v>46161</v>
      </c>
      <c r="K68" s="42">
        <f>IF(J68="",TODAY()-F68,J68-F68)</f>
        <v/>
      </c>
      <c r="L68" s="41" t="inlineStr">
        <is>
          <t>Revise and resubmit</t>
        </is>
      </c>
      <c r="M68" s="41" t="inlineStr">
        <is>
          <t>\\DC\MEP\Material Submittal\CTP-DHJ-MEP-MAT-0004</t>
        </is>
      </c>
      <c r="O68">
        <f>IF(Search!$C$4="","",IF(ISNUMBER(SEARCH(Search!$C$4,A68&amp;" "&amp;B68&amp;" "&amp;C68&amp;" "&amp;D68&amp;" "&amp;G68&amp;" "&amp;I68)),ROW(),""))</f>
        <v/>
      </c>
    </row>
    <row r="69">
      <c r="A69" s="44" t="inlineStr">
        <is>
          <t>CTP-DHJ-MEP-DWG-0004</t>
        </is>
      </c>
      <c r="B69" s="44" t="inlineStr">
        <is>
          <t>Portal structure details</t>
        </is>
      </c>
      <c r="C69" s="45" t="inlineStr">
        <is>
          <t>Drawing</t>
        </is>
      </c>
      <c r="D69" s="44" t="inlineStr">
        <is>
          <t>MEP</t>
        </is>
      </c>
      <c r="E69" s="45" t="inlineStr">
        <is>
          <t>A</t>
        </is>
      </c>
      <c r="F69" s="46" t="n">
        <v>46147</v>
      </c>
      <c r="G69" s="45" t="inlineStr">
        <is>
          <t>TRN-01046</t>
        </is>
      </c>
      <c r="H69" s="44" t="inlineStr">
        <is>
          <t>Meridian Engineering Partners</t>
        </is>
      </c>
      <c r="I69" s="44" t="inlineStr">
        <is>
          <t>Code A – Approved</t>
        </is>
      </c>
      <c r="J69" s="46" t="n">
        <v>46167</v>
      </c>
      <c r="K69" s="45">
        <f>IF(J69="",TODAY()-F69,J69-F69)</f>
        <v/>
      </c>
      <c r="L69" s="44" t="inlineStr">
        <is>
          <t>Issue for construction</t>
        </is>
      </c>
      <c r="M69" s="44" t="inlineStr">
        <is>
          <t>\\DC\MEP\Drawing\CTP-DHJ-MEP-DWG-0004</t>
        </is>
      </c>
      <c r="O69">
        <f>IF(Search!$C$4="","",IF(ISNUMBER(SEARCH(Search!$C$4,A69&amp;" "&amp;B69&amp;" "&amp;C69&amp;" "&amp;D69&amp;" "&amp;G69&amp;" "&amp;I69)),ROW(),""))</f>
        <v/>
      </c>
    </row>
    <row r="70">
      <c r="A70" s="41" t="inlineStr">
        <is>
          <t>CTP-DHJ-HSE-MST-0005</t>
        </is>
      </c>
      <c r="B70" s="41" t="inlineStr">
        <is>
          <t>Shaft excavation</t>
        </is>
      </c>
      <c r="C70" s="42" t="inlineStr">
        <is>
          <t>Method Statement</t>
        </is>
      </c>
      <c r="D70" s="41" t="inlineStr">
        <is>
          <t>HSE</t>
        </is>
      </c>
      <c r="E70" s="42" t="inlineStr">
        <is>
          <t>1</t>
        </is>
      </c>
      <c r="F70" s="43" t="n">
        <v>46147</v>
      </c>
      <c r="G70" s="42" t="inlineStr">
        <is>
          <t>TRN-01057</t>
        </is>
      </c>
      <c r="H70" s="41" t="inlineStr">
        <is>
          <t>Meridian Engineering Partners</t>
        </is>
      </c>
      <c r="I70" s="41" t="inlineStr">
        <is>
          <t>Code A – Approved</t>
        </is>
      </c>
      <c r="J70" s="43" t="n">
        <v>46158</v>
      </c>
      <c r="K70" s="42">
        <f>IF(J70="",TODAY()-F70,J70-F70)</f>
        <v/>
      </c>
      <c r="L70" s="41" t="inlineStr">
        <is>
          <t>Issue for construction</t>
        </is>
      </c>
      <c r="M70" s="41" t="inlineStr">
        <is>
          <t>\\DC\HSE\Method Statement\CTP-DHJ-HSE-MST-0005</t>
        </is>
      </c>
      <c r="O70">
        <f>IF(Search!$C$4="","",IF(ISNUMBER(SEARCH(Search!$C$4,A70&amp;" "&amp;B70&amp;" "&amp;C70&amp;" "&amp;D70&amp;" "&amp;G70&amp;" "&amp;I70)),ROW(),""))</f>
        <v/>
      </c>
    </row>
    <row r="71">
      <c r="A71" s="44" t="inlineStr">
        <is>
          <t>CTP-DHJ-CIV-RPT-0003</t>
        </is>
      </c>
      <c r="B71" s="44" t="inlineStr">
        <is>
          <t>Survey control check</t>
        </is>
      </c>
      <c r="C71" s="45" t="inlineStr">
        <is>
          <t>Inspection Report</t>
        </is>
      </c>
      <c r="D71" s="44" t="inlineStr">
        <is>
          <t>Civil</t>
        </is>
      </c>
      <c r="E71" s="45" t="inlineStr">
        <is>
          <t>A</t>
        </is>
      </c>
      <c r="F71" s="46" t="n">
        <v>46148</v>
      </c>
      <c r="G71" s="45" t="inlineStr">
        <is>
          <t>TRN-01136</t>
        </is>
      </c>
      <c r="H71" s="44" t="inlineStr">
        <is>
          <t>Meridian Engineering Partners</t>
        </is>
      </c>
      <c r="I71" s="44" t="inlineStr">
        <is>
          <t>Code C – Revise &amp; Resubmit</t>
        </is>
      </c>
      <c r="J71" s="46" t="n">
        <v>46161</v>
      </c>
      <c r="K71" s="45">
        <f>IF(J71="",TODAY()-F71,J71-F71)</f>
        <v/>
      </c>
      <c r="L71" s="44" t="inlineStr">
        <is>
          <t>Revise and resubmit</t>
        </is>
      </c>
      <c r="M71" s="44" t="inlineStr">
        <is>
          <t>\\DC\Civil\Inspection Report\CTP-DHJ-CIV-RPT-0003</t>
        </is>
      </c>
      <c r="O71">
        <f>IF(Search!$C$4="","",IF(ISNUMBER(SEARCH(Search!$C$4,A71&amp;" "&amp;B71&amp;" "&amp;C71&amp;" "&amp;D71&amp;" "&amp;G71&amp;" "&amp;I71)),ROW(),""))</f>
        <v/>
      </c>
    </row>
    <row r="72">
      <c r="A72" s="41" t="inlineStr">
        <is>
          <t>CTP-DHJ-CIV-MAT-0009</t>
        </is>
      </c>
      <c r="B72" s="41" t="inlineStr">
        <is>
          <t>Rebar 16 mm</t>
        </is>
      </c>
      <c r="C72" s="42" t="inlineStr">
        <is>
          <t>Material Submittal</t>
        </is>
      </c>
      <c r="D72" s="41" t="inlineStr">
        <is>
          <t>Civil</t>
        </is>
      </c>
      <c r="E72" s="42" t="inlineStr">
        <is>
          <t>B</t>
        </is>
      </c>
      <c r="F72" s="43" t="n">
        <v>46150</v>
      </c>
      <c r="G72" s="42" t="inlineStr">
        <is>
          <t>TRN-01185</t>
        </is>
      </c>
      <c r="H72" s="41" t="inlineStr">
        <is>
          <t>Meridian Engineering Partners</t>
        </is>
      </c>
      <c r="I72" s="41" t="inlineStr">
        <is>
          <t>Code A – Approved</t>
        </is>
      </c>
      <c r="J72" s="43" t="n">
        <v>46171</v>
      </c>
      <c r="K72" s="42">
        <f>IF(J72="",TODAY()-F72,J72-F72)</f>
        <v/>
      </c>
      <c r="L72" s="41" t="inlineStr">
        <is>
          <t>Issue for construction</t>
        </is>
      </c>
      <c r="M72" s="41" t="inlineStr">
        <is>
          <t>\\DC\Civil\Material Submittal\CTP-DHJ-CIV-MAT-0009</t>
        </is>
      </c>
      <c r="O72">
        <f>IF(Search!$C$4="","",IF(ISNUMBER(SEARCH(Search!$C$4,A72&amp;" "&amp;B72&amp;" "&amp;C72&amp;" "&amp;D72&amp;" "&amp;G72&amp;" "&amp;I72)),ROW(),""))</f>
        <v/>
      </c>
    </row>
    <row r="73">
      <c r="A73" s="44" t="inlineStr">
        <is>
          <t>CTP-DHJ-TUN-CAL-0002</t>
        </is>
      </c>
      <c r="B73" s="44" t="inlineStr">
        <is>
          <t>Temporary works design</t>
        </is>
      </c>
      <c r="C73" s="45" t="inlineStr">
        <is>
          <t>Calculation</t>
        </is>
      </c>
      <c r="D73" s="44" t="inlineStr">
        <is>
          <t>Tunnelling</t>
        </is>
      </c>
      <c r="E73" s="45" t="inlineStr">
        <is>
          <t>B</t>
        </is>
      </c>
      <c r="F73" s="46" t="n">
        <v>46151</v>
      </c>
      <c r="G73" s="45" t="inlineStr">
        <is>
          <t>TRN-01014</t>
        </is>
      </c>
      <c r="H73" s="44" t="inlineStr">
        <is>
          <t>Meridian Engineering Partners</t>
        </is>
      </c>
      <c r="I73" s="44" t="inlineStr">
        <is>
          <t>Code C – Revise &amp; Resubmit</t>
        </is>
      </c>
      <c r="J73" s="46" t="n">
        <v>46156</v>
      </c>
      <c r="K73" s="45">
        <f>IF(J73="",TODAY()-F73,J73-F73)</f>
        <v/>
      </c>
      <c r="L73" s="44" t="inlineStr">
        <is>
          <t>Revise and resubmit</t>
        </is>
      </c>
      <c r="M73" s="44" t="inlineStr">
        <is>
          <t>\\DC\Tunnelling\Calculation\CTP-DHJ-TUN-CAL-0002</t>
        </is>
      </c>
      <c r="O73">
        <f>IF(Search!$C$4="","",IF(ISNUMBER(SEARCH(Search!$C$4,A73&amp;" "&amp;B73&amp;" "&amp;C73&amp;" "&amp;D73&amp;" "&amp;G73&amp;" "&amp;I73)),ROW(),""))</f>
        <v/>
      </c>
    </row>
    <row r="74">
      <c r="A74" s="41" t="inlineStr">
        <is>
          <t>CTP-DHJ-MEP-DWG-0003</t>
        </is>
      </c>
      <c r="B74" s="41" t="inlineStr">
        <is>
          <t>Portal structure details</t>
        </is>
      </c>
      <c r="C74" s="42" t="inlineStr">
        <is>
          <t>Drawing</t>
        </is>
      </c>
      <c r="D74" s="41" t="inlineStr">
        <is>
          <t>MEP</t>
        </is>
      </c>
      <c r="E74" s="42" t="inlineStr">
        <is>
          <t>B</t>
        </is>
      </c>
      <c r="F74" s="43" t="n">
        <v>46152</v>
      </c>
      <c r="G74" s="42" t="inlineStr">
        <is>
          <t>TRN-01040</t>
        </is>
      </c>
      <c r="H74" s="41" t="inlineStr">
        <is>
          <t>Meridian Engineering Partners</t>
        </is>
      </c>
      <c r="I74" s="41" t="inlineStr">
        <is>
          <t>Code C – Revise &amp; Resubmit</t>
        </is>
      </c>
      <c r="J74" s="43" t="n">
        <v>46169</v>
      </c>
      <c r="K74" s="42">
        <f>IF(J74="",TODAY()-F74,J74-F74)</f>
        <v/>
      </c>
      <c r="L74" s="41" t="inlineStr">
        <is>
          <t>Revise and resubmit</t>
        </is>
      </c>
      <c r="M74" s="41" t="inlineStr">
        <is>
          <t>\\DC\MEP\Drawing\CTP-DHJ-MEP-DWG-0003</t>
        </is>
      </c>
      <c r="O74">
        <f>IF(Search!$C$4="","",IF(ISNUMBER(SEARCH(Search!$C$4,A74&amp;" "&amp;B74&amp;" "&amp;C74&amp;" "&amp;D74&amp;" "&amp;G74&amp;" "&amp;I74)),ROW(),""))</f>
        <v/>
      </c>
    </row>
    <row r="75">
      <c r="A75" s="44" t="inlineStr">
        <is>
          <t>CTP-DHJ-QAQ-MAT-0005</t>
        </is>
      </c>
      <c r="B75" s="44" t="inlineStr">
        <is>
          <t>Rebar 16 mm</t>
        </is>
      </c>
      <c r="C75" s="45" t="inlineStr">
        <is>
          <t>Material Submittal</t>
        </is>
      </c>
      <c r="D75" s="44" t="inlineStr">
        <is>
          <t>Quality</t>
        </is>
      </c>
      <c r="E75" s="45" t="inlineStr">
        <is>
          <t>0</t>
        </is>
      </c>
      <c r="F75" s="46" t="n">
        <v>46153</v>
      </c>
      <c r="G75" s="45" t="inlineStr">
        <is>
          <t>TRN-01114</t>
        </is>
      </c>
      <c r="H75" s="44" t="inlineStr">
        <is>
          <t>Meridian Engineering Partners</t>
        </is>
      </c>
      <c r="I75" s="44" t="inlineStr">
        <is>
          <t>Code A – Approved</t>
        </is>
      </c>
      <c r="J75" s="46" t="n">
        <v>46172</v>
      </c>
      <c r="K75" s="45">
        <f>IF(J75="",TODAY()-F75,J75-F75)</f>
        <v/>
      </c>
      <c r="L75" s="44" t="inlineStr">
        <is>
          <t>Issue for construction</t>
        </is>
      </c>
      <c r="M75" s="44" t="inlineStr">
        <is>
          <t>\\DC\Quality\Material Submittal\CTP-DHJ-QAQ-MAT-0005</t>
        </is>
      </c>
      <c r="O75">
        <f>IF(Search!$C$4="","",IF(ISNUMBER(SEARCH(Search!$C$4,A75&amp;" "&amp;B75&amp;" "&amp;C75&amp;" "&amp;D75&amp;" "&amp;G75&amp;" "&amp;I75)),ROW(),""))</f>
        <v/>
      </c>
    </row>
    <row r="76">
      <c r="A76" s="41" t="inlineStr">
        <is>
          <t>CTP-DHJ-HSE-RPT-0001</t>
        </is>
      </c>
      <c r="B76" s="41" t="inlineStr">
        <is>
          <t>Monthly settlement monitoring</t>
        </is>
      </c>
      <c r="C76" s="42" t="inlineStr">
        <is>
          <t>Inspection Report</t>
        </is>
      </c>
      <c r="D76" s="41" t="inlineStr">
        <is>
          <t>HSE</t>
        </is>
      </c>
      <c r="E76" s="42" t="inlineStr">
        <is>
          <t>A</t>
        </is>
      </c>
      <c r="F76" s="43" t="n">
        <v>46155</v>
      </c>
      <c r="G76" s="42" t="inlineStr">
        <is>
          <t>TRN-01007</t>
        </is>
      </c>
      <c r="H76" s="41" t="inlineStr">
        <is>
          <t>Meridian Engineering Partners</t>
        </is>
      </c>
      <c r="I76" s="41" t="inlineStr">
        <is>
          <t>Code A – Approved</t>
        </is>
      </c>
      <c r="J76" s="43" t="n">
        <v>46172</v>
      </c>
      <c r="K76" s="42">
        <f>IF(J76="",TODAY()-F76,J76-F76)</f>
        <v/>
      </c>
      <c r="L76" s="41" t="inlineStr">
        <is>
          <t>Issue for construction</t>
        </is>
      </c>
      <c r="M76" s="41" t="inlineStr">
        <is>
          <t>\\DC\HSE\Inspection Report\CTP-DHJ-HSE-RPT-0001</t>
        </is>
      </c>
      <c r="O76">
        <f>IF(Search!$C$4="","",IF(ISNUMBER(SEARCH(Search!$C$4,A76&amp;" "&amp;B76&amp;" "&amp;C76&amp;" "&amp;D76&amp;" "&amp;G76&amp;" "&amp;I76)),ROW(),""))</f>
        <v/>
      </c>
    </row>
    <row r="77">
      <c r="A77" s="44" t="inlineStr">
        <is>
          <t>CTP-DHJ-HSE-MST-0008</t>
        </is>
      </c>
      <c r="B77" s="44" t="inlineStr">
        <is>
          <t>Shaft excavation</t>
        </is>
      </c>
      <c r="C77" s="45" t="inlineStr">
        <is>
          <t>Method Statement</t>
        </is>
      </c>
      <c r="D77" s="44" t="inlineStr">
        <is>
          <t>HSE</t>
        </is>
      </c>
      <c r="E77" s="45" t="inlineStr">
        <is>
          <t>A</t>
        </is>
      </c>
      <c r="F77" s="46" t="n">
        <v>46156</v>
      </c>
      <c r="G77" s="45" t="inlineStr">
        <is>
          <t>TRN-01127</t>
        </is>
      </c>
      <c r="H77" s="44" t="inlineStr">
        <is>
          <t>Meridian Engineering Partners</t>
        </is>
      </c>
      <c r="I77" s="44" t="inlineStr">
        <is>
          <t>Code A – Approved</t>
        </is>
      </c>
      <c r="J77" s="46" t="n">
        <v>46176</v>
      </c>
      <c r="K77" s="45">
        <f>IF(J77="",TODAY()-F77,J77-F77)</f>
        <v/>
      </c>
      <c r="L77" s="44" t="inlineStr">
        <is>
          <t>Issue for construction</t>
        </is>
      </c>
      <c r="M77" s="44" t="inlineStr">
        <is>
          <t>\\DC\HSE\Method Statement\CTP-DHJ-HSE-MST-0008</t>
        </is>
      </c>
      <c r="O77">
        <f>IF(Search!$C$4="","",IF(ISNUMBER(SEARCH(Search!$C$4,A77&amp;" "&amp;B77&amp;" "&amp;C77&amp;" "&amp;D77&amp;" "&amp;G77&amp;" "&amp;I77)),ROW(),""))</f>
        <v/>
      </c>
    </row>
    <row r="78">
      <c r="A78" s="41" t="inlineStr">
        <is>
          <t>CTP-DHJ-HSE-RPT-0005</t>
        </is>
      </c>
      <c r="B78" s="41" t="inlineStr">
        <is>
          <t>Monthly settlement monitoring</t>
        </is>
      </c>
      <c r="C78" s="42" t="inlineStr">
        <is>
          <t>Inspection Report</t>
        </is>
      </c>
      <c r="D78" s="41" t="inlineStr">
        <is>
          <t>HSE</t>
        </is>
      </c>
      <c r="E78" s="42" t="inlineStr">
        <is>
          <t>B</t>
        </is>
      </c>
      <c r="F78" s="43" t="n">
        <v>46156</v>
      </c>
      <c r="G78" s="42" t="inlineStr">
        <is>
          <t>TRN-01193</t>
        </is>
      </c>
      <c r="H78" s="41" t="inlineStr">
        <is>
          <t>Meridian Engineering Partners</t>
        </is>
      </c>
      <c r="I78" s="41" t="inlineStr">
        <is>
          <t>Code A – Approved</t>
        </is>
      </c>
      <c r="J78" s="43" t="n">
        <v>46166</v>
      </c>
      <c r="K78" s="42">
        <f>IF(J78="",TODAY()-F78,J78-F78)</f>
        <v/>
      </c>
      <c r="L78" s="41" t="inlineStr">
        <is>
          <t>Issue for construction</t>
        </is>
      </c>
      <c r="M78" s="41" t="inlineStr">
        <is>
          <t>\\DC\HSE\Inspection Report\CTP-DHJ-HSE-RPT-0005</t>
        </is>
      </c>
      <c r="O78">
        <f>IF(Search!$C$4="","",IF(ISNUMBER(SEARCH(Search!$C$4,A78&amp;" "&amp;B78&amp;" "&amp;C78&amp;" "&amp;D78&amp;" "&amp;G78&amp;" "&amp;I78)),ROW(),""))</f>
        <v/>
      </c>
    </row>
    <row r="79">
      <c r="A79" s="44" t="inlineStr">
        <is>
          <t>CTP-DHJ-TUN-DWG-0010</t>
        </is>
      </c>
      <c r="B79" s="44" t="inlineStr">
        <is>
          <t>Portal structure details</t>
        </is>
      </c>
      <c r="C79" s="45" t="inlineStr">
        <is>
          <t>Drawing</t>
        </is>
      </c>
      <c r="D79" s="44" t="inlineStr">
        <is>
          <t>Tunnelling</t>
        </is>
      </c>
      <c r="E79" s="45" t="inlineStr">
        <is>
          <t>1</t>
        </is>
      </c>
      <c r="F79" s="46" t="n">
        <v>46157</v>
      </c>
      <c r="G79" s="45" t="inlineStr">
        <is>
          <t>TRN-01171</t>
        </is>
      </c>
      <c r="H79" s="44" t="inlineStr">
        <is>
          <t>Meridian Engineering Partners</t>
        </is>
      </c>
      <c r="I79" s="44" t="inlineStr">
        <is>
          <t>Code B – Approved with Comments</t>
        </is>
      </c>
      <c r="J79" s="46" t="n">
        <v>46174</v>
      </c>
      <c r="K79" s="45">
        <f>IF(J79="",TODAY()-F79,J79-F79)</f>
        <v/>
      </c>
      <c r="L79" s="44" t="inlineStr">
        <is>
          <t>Incorporate comments</t>
        </is>
      </c>
      <c r="M79" s="44" t="inlineStr">
        <is>
          <t>\\DC\Tunnelling\Drawing\CTP-DHJ-TUN-DWG-0010</t>
        </is>
      </c>
      <c r="O79">
        <f>IF(Search!$C$4="","",IF(ISNUMBER(SEARCH(Search!$C$4,A79&amp;" "&amp;B79&amp;" "&amp;C79&amp;" "&amp;D79&amp;" "&amp;G79&amp;" "&amp;I79)),ROW(),""))</f>
        <v/>
      </c>
    </row>
    <row r="80">
      <c r="A80" s="41" t="inlineStr">
        <is>
          <t>CTP-DHJ-QAQ-MAT-0006</t>
        </is>
      </c>
      <c r="B80" s="41" t="inlineStr">
        <is>
          <t>Ventilation fans</t>
        </is>
      </c>
      <c r="C80" s="42" t="inlineStr">
        <is>
          <t>Material Submittal</t>
        </is>
      </c>
      <c r="D80" s="41" t="inlineStr">
        <is>
          <t>Quality</t>
        </is>
      </c>
      <c r="E80" s="42" t="inlineStr">
        <is>
          <t>A</t>
        </is>
      </c>
      <c r="F80" s="43" t="n">
        <v>46158</v>
      </c>
      <c r="G80" s="42" t="inlineStr">
        <is>
          <t>TRN-01222</t>
        </is>
      </c>
      <c r="H80" s="41" t="inlineStr">
        <is>
          <t>Meridian Engineering Partners</t>
        </is>
      </c>
      <c r="I80" s="41" t="inlineStr">
        <is>
          <t>Code B – Approved with Comments</t>
        </is>
      </c>
      <c r="J80" s="43" t="n">
        <v>46169</v>
      </c>
      <c r="K80" s="42">
        <f>IF(J80="",TODAY()-F80,J80-F80)</f>
        <v/>
      </c>
      <c r="L80" s="41" t="inlineStr">
        <is>
          <t>Incorporate comments</t>
        </is>
      </c>
      <c r="M80" s="41" t="inlineStr">
        <is>
          <t>\\DC\Quality\Material Submittal\CTP-DHJ-QAQ-MAT-0006</t>
        </is>
      </c>
      <c r="O80">
        <f>IF(Search!$C$4="","",IF(ISNUMBER(SEARCH(Search!$C$4,A80&amp;" "&amp;B80&amp;" "&amp;C80&amp;" "&amp;D80&amp;" "&amp;G80&amp;" "&amp;I80)),ROW(),""))</f>
        <v/>
      </c>
    </row>
    <row r="81">
      <c r="A81" s="44" t="inlineStr">
        <is>
          <t>CTP-DHJ-HSE-MST-0009</t>
        </is>
      </c>
      <c r="B81" s="44" t="inlineStr">
        <is>
          <t>TBM launching</t>
        </is>
      </c>
      <c r="C81" s="45" t="inlineStr">
        <is>
          <t>Method Statement</t>
        </is>
      </c>
      <c r="D81" s="44" t="inlineStr">
        <is>
          <t>HSE</t>
        </is>
      </c>
      <c r="E81" s="45" t="inlineStr">
        <is>
          <t>A</t>
        </is>
      </c>
      <c r="F81" s="46" t="n">
        <v>46160</v>
      </c>
      <c r="G81" s="45" t="inlineStr">
        <is>
          <t>TRN-01142</t>
        </is>
      </c>
      <c r="H81" s="44" t="inlineStr">
        <is>
          <t>Meridian Engineering Partners</t>
        </is>
      </c>
      <c r="I81" s="44" t="inlineStr">
        <is>
          <t>Code D – Rejected</t>
        </is>
      </c>
      <c r="J81" s="46" t="n">
        <v>46176</v>
      </c>
      <c r="K81" s="45">
        <f>IF(J81="",TODAY()-F81,J81-F81)</f>
        <v/>
      </c>
      <c r="L81" s="44" t="inlineStr">
        <is>
          <t>Prepare new submission</t>
        </is>
      </c>
      <c r="M81" s="44" t="inlineStr">
        <is>
          <t>\\DC\HSE\Method Statement\CTP-DHJ-HSE-MST-0009</t>
        </is>
      </c>
      <c r="O81">
        <f>IF(Search!$C$4="","",IF(ISNUMBER(SEARCH(Search!$C$4,A81&amp;" "&amp;B81&amp;" "&amp;C81&amp;" "&amp;D81&amp;" "&amp;G81&amp;" "&amp;I81)),ROW(),""))</f>
        <v/>
      </c>
    </row>
    <row r="82">
      <c r="A82" s="41" t="inlineStr">
        <is>
          <t>CTP-DHJ-GEO-DWG-0011</t>
        </is>
      </c>
      <c r="B82" s="41" t="inlineStr">
        <is>
          <t>Cross passage reinforcement</t>
        </is>
      </c>
      <c r="C82" s="42" t="inlineStr">
        <is>
          <t>Drawing</t>
        </is>
      </c>
      <c r="D82" s="41" t="inlineStr">
        <is>
          <t>Geotechnical</t>
        </is>
      </c>
      <c r="E82" s="42" t="inlineStr">
        <is>
          <t>B</t>
        </is>
      </c>
      <c r="F82" s="43" t="n">
        <v>46160</v>
      </c>
      <c r="G82" s="42" t="inlineStr">
        <is>
          <t>TRN-01180</t>
        </is>
      </c>
      <c r="H82" s="41" t="inlineStr">
        <is>
          <t>Meridian Engineering Partners</t>
        </is>
      </c>
      <c r="I82" s="41" t="inlineStr">
        <is>
          <t>Code A – Approved</t>
        </is>
      </c>
      <c r="J82" s="43" t="n">
        <v>46180</v>
      </c>
      <c r="K82" s="42">
        <f>IF(J82="",TODAY()-F82,J82-F82)</f>
        <v/>
      </c>
      <c r="L82" s="41" t="inlineStr">
        <is>
          <t>Issue for construction</t>
        </is>
      </c>
      <c r="M82" s="41" t="inlineStr">
        <is>
          <t>\\DC\Geotechnical\Drawing\CTP-DHJ-GEO-DWG-0011</t>
        </is>
      </c>
      <c r="O82">
        <f>IF(Search!$C$4="","",IF(ISNUMBER(SEARCH(Search!$C$4,A82&amp;" "&amp;B82&amp;" "&amp;C82&amp;" "&amp;D82&amp;" "&amp;G82&amp;" "&amp;I82)),ROW(),""))</f>
        <v/>
      </c>
    </row>
    <row r="83">
      <c r="A83" s="44" t="inlineStr">
        <is>
          <t>CTP-DHJ-TUN-PRC-0002</t>
        </is>
      </c>
      <c r="B83" s="44" t="inlineStr">
        <is>
          <t>Document control procedure</t>
        </is>
      </c>
      <c r="C83" s="45" t="inlineStr">
        <is>
          <t>Procedure</t>
        </is>
      </c>
      <c r="D83" s="44" t="inlineStr">
        <is>
          <t>Tunnelling</t>
        </is>
      </c>
      <c r="E83" s="45" t="inlineStr">
        <is>
          <t>0</t>
        </is>
      </c>
      <c r="F83" s="46" t="n">
        <v>46161</v>
      </c>
      <c r="G83" s="45" t="inlineStr">
        <is>
          <t>TRN-01052</t>
        </is>
      </c>
      <c r="H83" s="44" t="inlineStr">
        <is>
          <t>Meridian Engineering Partners</t>
        </is>
      </c>
      <c r="I83" s="44" t="inlineStr">
        <is>
          <t>Code A – Approved</t>
        </is>
      </c>
      <c r="J83" s="46" t="n">
        <v>46174</v>
      </c>
      <c r="K83" s="45">
        <f>IF(J83="",TODAY()-F83,J83-F83)</f>
        <v/>
      </c>
      <c r="L83" s="44" t="inlineStr">
        <is>
          <t>Issue for construction</t>
        </is>
      </c>
      <c r="M83" s="44" t="inlineStr">
        <is>
          <t>\\DC\Tunnelling\Procedure\CTP-DHJ-TUN-PRC-0002</t>
        </is>
      </c>
      <c r="O83">
        <f>IF(Search!$C$4="","",IF(ISNUMBER(SEARCH(Search!$C$4,A83&amp;" "&amp;B83&amp;" "&amp;C83&amp;" "&amp;D83&amp;" "&amp;G83&amp;" "&amp;I83)),ROW(),""))</f>
        <v/>
      </c>
    </row>
    <row r="84">
      <c r="A84" s="41" t="inlineStr">
        <is>
          <t>CTP-DHJ-GEO-PRC-0003</t>
        </is>
      </c>
      <c r="B84" s="41" t="inlineStr">
        <is>
          <t>Permit to work</t>
        </is>
      </c>
      <c r="C84" s="42" t="inlineStr">
        <is>
          <t>Procedure</t>
        </is>
      </c>
      <c r="D84" s="41" t="inlineStr">
        <is>
          <t>Geotechnical</t>
        </is>
      </c>
      <c r="E84" s="42" t="inlineStr">
        <is>
          <t>B</t>
        </is>
      </c>
      <c r="F84" s="43" t="n">
        <v>46161</v>
      </c>
      <c r="G84" s="42" t="inlineStr">
        <is>
          <t>TRN-01207</t>
        </is>
      </c>
      <c r="H84" s="41" t="inlineStr">
        <is>
          <t>Meridian Engineering Partners</t>
        </is>
      </c>
      <c r="I84" s="41" t="inlineStr">
        <is>
          <t>Code A – Approved</t>
        </is>
      </c>
      <c r="J84" s="43" t="n">
        <v>46167</v>
      </c>
      <c r="K84" s="42">
        <f>IF(J84="",TODAY()-F84,J84-F84)</f>
        <v/>
      </c>
      <c r="L84" s="41" t="inlineStr">
        <is>
          <t>Issue for construction</t>
        </is>
      </c>
      <c r="M84" s="41" t="inlineStr">
        <is>
          <t>\\DC\Geotechnical\Procedure\CTP-DHJ-GEO-PRC-0003</t>
        </is>
      </c>
      <c r="O84">
        <f>IF(Search!$C$4="","",IF(ISNUMBER(SEARCH(Search!$C$4,A84&amp;" "&amp;B84&amp;" "&amp;C84&amp;" "&amp;D84&amp;" "&amp;G84&amp;" "&amp;I84)),ROW(),""))</f>
        <v/>
      </c>
    </row>
    <row r="85">
      <c r="A85" s="44" t="inlineStr">
        <is>
          <t>CTP-DHJ-QAQ-MAT-0004</t>
        </is>
      </c>
      <c r="B85" s="44" t="inlineStr">
        <is>
          <t>Rebar 16 mm</t>
        </is>
      </c>
      <c r="C85" s="45" t="inlineStr">
        <is>
          <t>Material Submittal</t>
        </is>
      </c>
      <c r="D85" s="44" t="inlineStr">
        <is>
          <t>Quality</t>
        </is>
      </c>
      <c r="E85" s="45" t="inlineStr">
        <is>
          <t>B</t>
        </is>
      </c>
      <c r="F85" s="46" t="n">
        <v>46165</v>
      </c>
      <c r="G85" s="45" t="inlineStr">
        <is>
          <t>TRN-01112</t>
        </is>
      </c>
      <c r="H85" s="44" t="inlineStr">
        <is>
          <t>Meridian Engineering Partners</t>
        </is>
      </c>
      <c r="I85" s="44" t="inlineStr">
        <is>
          <t>Code A – Approved</t>
        </is>
      </c>
      <c r="J85" s="46" t="n">
        <v>46177</v>
      </c>
      <c r="K85" s="45">
        <f>IF(J85="",TODAY()-F85,J85-F85)</f>
        <v/>
      </c>
      <c r="L85" s="44" t="inlineStr">
        <is>
          <t>Issue for construction</t>
        </is>
      </c>
      <c r="M85" s="44" t="inlineStr">
        <is>
          <t>\\DC\Quality\Material Submittal\CTP-DHJ-QAQ-MAT-0004</t>
        </is>
      </c>
      <c r="O85">
        <f>IF(Search!$C$4="","",IF(ISNUMBER(SEARCH(Search!$C$4,A85&amp;" "&amp;B85&amp;" "&amp;C85&amp;" "&amp;D85&amp;" "&amp;G85&amp;" "&amp;I85)),ROW(),""))</f>
        <v/>
      </c>
    </row>
    <row r="86">
      <c r="A86" s="41" t="inlineStr">
        <is>
          <t>CTP-DHJ-MEP-RPT-0005</t>
        </is>
      </c>
      <c r="B86" s="41" t="inlineStr">
        <is>
          <t>Air quality monitoring</t>
        </is>
      </c>
      <c r="C86" s="42" t="inlineStr">
        <is>
          <t>Inspection Report</t>
        </is>
      </c>
      <c r="D86" s="41" t="inlineStr">
        <is>
          <t>MEP</t>
        </is>
      </c>
      <c r="E86" s="42" t="inlineStr">
        <is>
          <t>A</t>
        </is>
      </c>
      <c r="F86" s="43" t="n">
        <v>46165</v>
      </c>
      <c r="G86" s="42" t="inlineStr">
        <is>
          <t>TRN-01216</t>
        </is>
      </c>
      <c r="H86" s="41" t="inlineStr">
        <is>
          <t>Meridian Engineering Partners</t>
        </is>
      </c>
      <c r="I86" s="41" t="inlineStr">
        <is>
          <t>Code A – Approved</t>
        </is>
      </c>
      <c r="J86" s="43" t="n">
        <v>46179</v>
      </c>
      <c r="K86" s="42">
        <f>IF(J86="",TODAY()-F86,J86-F86)</f>
        <v/>
      </c>
      <c r="L86" s="41" t="inlineStr">
        <is>
          <t>Issue for construction</t>
        </is>
      </c>
      <c r="M86" s="41" t="inlineStr">
        <is>
          <t>\\DC\MEP\Inspection Report\CTP-DHJ-MEP-RPT-0005</t>
        </is>
      </c>
      <c r="O86">
        <f>IF(Search!$C$4="","",IF(ISNUMBER(SEARCH(Search!$C$4,A86&amp;" "&amp;B86&amp;" "&amp;C86&amp;" "&amp;D86&amp;" "&amp;G86&amp;" "&amp;I86)),ROW(),""))</f>
        <v/>
      </c>
    </row>
    <row r="87">
      <c r="A87" s="44" t="inlineStr">
        <is>
          <t>CTP-DHJ-QAQ-DWG-0011</t>
        </is>
      </c>
      <c r="B87" s="44" t="inlineStr">
        <is>
          <t>Segment ring layout</t>
        </is>
      </c>
      <c r="C87" s="45" t="inlineStr">
        <is>
          <t>Drawing</t>
        </is>
      </c>
      <c r="D87" s="44" t="inlineStr">
        <is>
          <t>Quality</t>
        </is>
      </c>
      <c r="E87" s="45" t="inlineStr">
        <is>
          <t>A</t>
        </is>
      </c>
      <c r="F87" s="46" t="n">
        <v>46165</v>
      </c>
      <c r="G87" s="45" t="inlineStr">
        <is>
          <t>TRN-01229</t>
        </is>
      </c>
      <c r="H87" s="44" t="inlineStr">
        <is>
          <t>Meridian Engineering Partners</t>
        </is>
      </c>
      <c r="I87" s="44" t="inlineStr">
        <is>
          <t>Code C – Revise &amp; Resubmit</t>
        </is>
      </c>
      <c r="J87" s="46" t="n">
        <v>46170</v>
      </c>
      <c r="K87" s="45">
        <f>IF(J87="",TODAY()-F87,J87-F87)</f>
        <v/>
      </c>
      <c r="L87" s="44" t="inlineStr">
        <is>
          <t>Revise and resubmit</t>
        </is>
      </c>
      <c r="M87" s="44" t="inlineStr">
        <is>
          <t>\\DC\Quality\Drawing\CTP-DHJ-QAQ-DWG-0011</t>
        </is>
      </c>
      <c r="O87">
        <f>IF(Search!$C$4="","",IF(ISNUMBER(SEARCH(Search!$C$4,A87&amp;" "&amp;B87&amp;" "&amp;C87&amp;" "&amp;D87&amp;" "&amp;G87&amp;" "&amp;I87)),ROW(),""))</f>
        <v/>
      </c>
    </row>
    <row r="88">
      <c r="A88" s="41" t="inlineStr">
        <is>
          <t>CTP-DHJ-MEP-DWG-0001</t>
        </is>
      </c>
      <c r="B88" s="41" t="inlineStr">
        <is>
          <t>Segment ring layout</t>
        </is>
      </c>
      <c r="C88" s="42" t="inlineStr">
        <is>
          <t>Drawing</t>
        </is>
      </c>
      <c r="D88" s="41" t="inlineStr">
        <is>
          <t>MEP</t>
        </is>
      </c>
      <c r="E88" s="42" t="inlineStr">
        <is>
          <t>B</t>
        </is>
      </c>
      <c r="F88" s="43" t="n">
        <v>46166</v>
      </c>
      <c r="G88" s="42" t="inlineStr">
        <is>
          <t>TRN-01026</t>
        </is>
      </c>
      <c r="H88" s="41" t="inlineStr">
        <is>
          <t>Meridian Engineering Partners</t>
        </is>
      </c>
      <c r="I88" s="41" t="inlineStr">
        <is>
          <t>Code B – Approved with Comments</t>
        </is>
      </c>
      <c r="J88" s="43" t="n">
        <v>46172</v>
      </c>
      <c r="K88" s="42">
        <f>IF(J88="",TODAY()-F88,J88-F88)</f>
        <v/>
      </c>
      <c r="L88" s="41" t="inlineStr">
        <is>
          <t>Incorporate comments</t>
        </is>
      </c>
      <c r="M88" s="41" t="inlineStr">
        <is>
          <t>\\DC\MEP\Drawing\CTP-DHJ-MEP-DWG-0001</t>
        </is>
      </c>
      <c r="O88">
        <f>IF(Search!$C$4="","",IF(ISNUMBER(SEARCH(Search!$C$4,A88&amp;" "&amp;B88&amp;" "&amp;C88&amp;" "&amp;D88&amp;" "&amp;G88&amp;" "&amp;I88)),ROW(),""))</f>
        <v/>
      </c>
    </row>
    <row r="89">
      <c r="A89" s="44" t="inlineStr">
        <is>
          <t>CTP-DHJ-HSE-DWG-0011</t>
        </is>
      </c>
      <c r="B89" s="44" t="inlineStr">
        <is>
          <t>Segment ring layout</t>
        </is>
      </c>
      <c r="C89" s="45" t="inlineStr">
        <is>
          <t>Drawing</t>
        </is>
      </c>
      <c r="D89" s="44" t="inlineStr">
        <is>
          <t>HSE</t>
        </is>
      </c>
      <c r="E89" s="45" t="inlineStr">
        <is>
          <t>1</t>
        </is>
      </c>
      <c r="F89" s="46" t="n">
        <v>46166</v>
      </c>
      <c r="G89" s="45" t="inlineStr">
        <is>
          <t>TRN-01170</t>
        </is>
      </c>
      <c r="H89" s="44" t="inlineStr">
        <is>
          <t>Meridian Engineering Partners</t>
        </is>
      </c>
      <c r="I89" s="44" t="inlineStr">
        <is>
          <t>Code A – Approved</t>
        </is>
      </c>
      <c r="J89" s="46" t="n">
        <v>46184</v>
      </c>
      <c r="K89" s="45">
        <f>IF(J89="",TODAY()-F89,J89-F89)</f>
        <v/>
      </c>
      <c r="L89" s="44" t="inlineStr">
        <is>
          <t>Issue for construction</t>
        </is>
      </c>
      <c r="M89" s="44" t="inlineStr">
        <is>
          <t>\\DC\HSE\Drawing\CTP-DHJ-HSE-DWG-0011</t>
        </is>
      </c>
      <c r="O89">
        <f>IF(Search!$C$4="","",IF(ISNUMBER(SEARCH(Search!$C$4,A89&amp;" "&amp;B89&amp;" "&amp;C89&amp;" "&amp;D89&amp;" "&amp;G89&amp;" "&amp;I89)),ROW(),""))</f>
        <v/>
      </c>
    </row>
    <row r="90">
      <c r="A90" s="41" t="inlineStr">
        <is>
          <t>CTP-DHJ-CIV-MST-0002</t>
        </is>
      </c>
      <c r="B90" s="41" t="inlineStr">
        <is>
          <t>Shaft excavation</t>
        </is>
      </c>
      <c r="C90" s="42" t="inlineStr">
        <is>
          <t>Method Statement</t>
        </is>
      </c>
      <c r="D90" s="41" t="inlineStr">
        <is>
          <t>Civil</t>
        </is>
      </c>
      <c r="E90" s="42" t="inlineStr">
        <is>
          <t>1</t>
        </is>
      </c>
      <c r="F90" s="43" t="n">
        <v>46168</v>
      </c>
      <c r="G90" s="42" t="inlineStr">
        <is>
          <t>TRN-01062</t>
        </is>
      </c>
      <c r="H90" s="41" t="inlineStr">
        <is>
          <t>Meridian Engineering Partners</t>
        </is>
      </c>
      <c r="I90" s="41" t="inlineStr">
        <is>
          <t>Code A – Approved</t>
        </is>
      </c>
      <c r="J90" s="43" t="n">
        <v>46189</v>
      </c>
      <c r="K90" s="42">
        <f>IF(J90="",TODAY()-F90,J90-F90)</f>
        <v/>
      </c>
      <c r="L90" s="41" t="inlineStr">
        <is>
          <t>Issue for construction</t>
        </is>
      </c>
      <c r="M90" s="41" t="inlineStr">
        <is>
          <t>\\DC\Civil\Method Statement\CTP-DHJ-CIV-MST-0002</t>
        </is>
      </c>
      <c r="O90">
        <f>IF(Search!$C$4="","",IF(ISNUMBER(SEARCH(Search!$C$4,A90&amp;" "&amp;B90&amp;" "&amp;C90&amp;" "&amp;D90&amp;" "&amp;G90&amp;" "&amp;I90)),ROW(),""))</f>
        <v/>
      </c>
    </row>
    <row r="91">
      <c r="A91" s="44" t="inlineStr">
        <is>
          <t>CTP-DHJ-GEO-DWG-0004</t>
        </is>
      </c>
      <c r="B91" s="44" t="inlineStr">
        <is>
          <t>Portal structure details</t>
        </is>
      </c>
      <c r="C91" s="45" t="inlineStr">
        <is>
          <t>Drawing</t>
        </is>
      </c>
      <c r="D91" s="44" t="inlineStr">
        <is>
          <t>Geotechnical</t>
        </is>
      </c>
      <c r="E91" s="45" t="inlineStr">
        <is>
          <t>1</t>
        </is>
      </c>
      <c r="F91" s="46" t="n">
        <v>46169</v>
      </c>
      <c r="G91" s="45" t="inlineStr">
        <is>
          <t>TRN-01088</t>
        </is>
      </c>
      <c r="H91" s="44" t="inlineStr">
        <is>
          <t>Meridian Engineering Partners</t>
        </is>
      </c>
      <c r="I91" s="44" t="inlineStr">
        <is>
          <t>Code B – Approved with Comments</t>
        </is>
      </c>
      <c r="J91" s="46" t="n">
        <v>46190</v>
      </c>
      <c r="K91" s="45">
        <f>IF(J91="",TODAY()-F91,J91-F91)</f>
        <v/>
      </c>
      <c r="L91" s="44" t="inlineStr">
        <is>
          <t>Incorporate comments</t>
        </is>
      </c>
      <c r="M91" s="44" t="inlineStr">
        <is>
          <t>\\DC\Geotechnical\Drawing\CTP-DHJ-GEO-DWG-0004</t>
        </is>
      </c>
      <c r="O91">
        <f>IF(Search!$C$4="","",IF(ISNUMBER(SEARCH(Search!$C$4,A91&amp;" "&amp;B91&amp;" "&amp;C91&amp;" "&amp;D91&amp;" "&amp;G91&amp;" "&amp;I91)),ROW(),""))</f>
        <v/>
      </c>
    </row>
    <row r="92">
      <c r="A92" s="41" t="inlineStr">
        <is>
          <t>CTP-DHJ-MEP-MST-0007</t>
        </is>
      </c>
      <c r="B92" s="41" t="inlineStr">
        <is>
          <t>Annulus grouting</t>
        </is>
      </c>
      <c r="C92" s="42" t="inlineStr">
        <is>
          <t>Method Statement</t>
        </is>
      </c>
      <c r="D92" s="41" t="inlineStr">
        <is>
          <t>MEP</t>
        </is>
      </c>
      <c r="E92" s="42" t="inlineStr">
        <is>
          <t>A</t>
        </is>
      </c>
      <c r="F92" s="43" t="n">
        <v>46169</v>
      </c>
      <c r="G92" s="42" t="inlineStr">
        <is>
          <t>TRN-01132</t>
        </is>
      </c>
      <c r="H92" s="41" t="inlineStr">
        <is>
          <t>Meridian Engineering Partners</t>
        </is>
      </c>
      <c r="I92" s="41" t="inlineStr">
        <is>
          <t>Code B – Approved with Comments</t>
        </is>
      </c>
      <c r="J92" s="43" t="n">
        <v>46189</v>
      </c>
      <c r="K92" s="42">
        <f>IF(J92="",TODAY()-F92,J92-F92)</f>
        <v/>
      </c>
      <c r="L92" s="41" t="inlineStr">
        <is>
          <t>Incorporate comments</t>
        </is>
      </c>
      <c r="M92" s="41" t="inlineStr">
        <is>
          <t>\\DC\MEP\Method Statement\CTP-DHJ-MEP-MST-0007</t>
        </is>
      </c>
      <c r="O92">
        <f>IF(Search!$C$4="","",IF(ISNUMBER(SEARCH(Search!$C$4,A92&amp;" "&amp;B92&amp;" "&amp;C92&amp;" "&amp;D92&amp;" "&amp;G92&amp;" "&amp;I92)),ROW(),""))</f>
        <v/>
      </c>
    </row>
    <row r="93">
      <c r="A93" s="44" t="inlineStr">
        <is>
          <t>CTP-DHJ-MEP-MAT-0007</t>
        </is>
      </c>
      <c r="B93" s="44" t="inlineStr">
        <is>
          <t>Fire-rated cables</t>
        </is>
      </c>
      <c r="C93" s="45" t="inlineStr">
        <is>
          <t>Material Submittal</t>
        </is>
      </c>
      <c r="D93" s="44" t="inlineStr">
        <is>
          <t>MEP</t>
        </is>
      </c>
      <c r="E93" s="45" t="inlineStr">
        <is>
          <t>1</t>
        </is>
      </c>
      <c r="F93" s="46" t="n">
        <v>46170</v>
      </c>
      <c r="G93" s="45" t="inlineStr">
        <is>
          <t>TRN-01168</t>
        </is>
      </c>
      <c r="H93" s="44" t="inlineStr">
        <is>
          <t>Meridian Engineering Partners</t>
        </is>
      </c>
      <c r="I93" s="44" t="inlineStr">
        <is>
          <t>Code A – Approved</t>
        </is>
      </c>
      <c r="J93" s="46" t="n">
        <v>46184</v>
      </c>
      <c r="K93" s="45">
        <f>IF(J93="",TODAY()-F93,J93-F93)</f>
        <v/>
      </c>
      <c r="L93" s="44" t="inlineStr">
        <is>
          <t>Issue for construction</t>
        </is>
      </c>
      <c r="M93" s="44" t="inlineStr">
        <is>
          <t>\\DC\MEP\Material Submittal\CTP-DHJ-MEP-MAT-0007</t>
        </is>
      </c>
      <c r="O93">
        <f>IF(Search!$C$4="","",IF(ISNUMBER(SEARCH(Search!$C$4,A93&amp;" "&amp;B93&amp;" "&amp;C93&amp;" "&amp;D93&amp;" "&amp;G93&amp;" "&amp;I93)),ROW(),""))</f>
        <v/>
      </c>
    </row>
    <row r="94">
      <c r="A94" s="41" t="inlineStr">
        <is>
          <t>CTP-DHJ-CIV-DWG-0009</t>
        </is>
      </c>
      <c r="B94" s="41" t="inlineStr">
        <is>
          <t>Segment ring layout</t>
        </is>
      </c>
      <c r="C94" s="42" t="inlineStr">
        <is>
          <t>Drawing</t>
        </is>
      </c>
      <c r="D94" s="41" t="inlineStr">
        <is>
          <t>Civil</t>
        </is>
      </c>
      <c r="E94" s="42" t="inlineStr">
        <is>
          <t>B</t>
        </is>
      </c>
      <c r="F94" s="43" t="n">
        <v>46171</v>
      </c>
      <c r="G94" s="42" t="inlineStr">
        <is>
          <t>TRN-01226</t>
        </is>
      </c>
      <c r="H94" s="41" t="inlineStr">
        <is>
          <t>Meridian Engineering Partners</t>
        </is>
      </c>
      <c r="I94" s="41" t="inlineStr">
        <is>
          <t>Code B – Approved with Comments</t>
        </is>
      </c>
      <c r="J94" s="43" t="n">
        <v>46192</v>
      </c>
      <c r="K94" s="42">
        <f>IF(J94="",TODAY()-F94,J94-F94)</f>
        <v/>
      </c>
      <c r="L94" s="41" t="inlineStr">
        <is>
          <t>Incorporate comments</t>
        </is>
      </c>
      <c r="M94" s="41" t="inlineStr">
        <is>
          <t>\\DC\Civil\Drawing\CTP-DHJ-CIV-DWG-0009</t>
        </is>
      </c>
      <c r="O94">
        <f>IF(Search!$C$4="","",IF(ISNUMBER(SEARCH(Search!$C$4,A94&amp;" "&amp;B94&amp;" "&amp;C94&amp;" "&amp;D94&amp;" "&amp;G94&amp;" "&amp;I94)),ROW(),""))</f>
        <v/>
      </c>
    </row>
    <row r="95">
      <c r="A95" s="44" t="inlineStr">
        <is>
          <t>CTP-DHJ-HSE-MST-0006</t>
        </is>
      </c>
      <c r="B95" s="44" t="inlineStr">
        <is>
          <t>TBM launching</t>
        </is>
      </c>
      <c r="C95" s="45" t="inlineStr">
        <is>
          <t>Method Statement</t>
        </is>
      </c>
      <c r="D95" s="44" t="inlineStr">
        <is>
          <t>HSE</t>
        </is>
      </c>
      <c r="E95" s="45" t="inlineStr">
        <is>
          <t>0</t>
        </is>
      </c>
      <c r="F95" s="46" t="n">
        <v>46172</v>
      </c>
      <c r="G95" s="45" t="inlineStr">
        <is>
          <t>TRN-01077</t>
        </is>
      </c>
      <c r="H95" s="44" t="inlineStr">
        <is>
          <t>Meridian Engineering Partners</t>
        </is>
      </c>
      <c r="I95" s="44" t="inlineStr">
        <is>
          <t>Code A – Approved</t>
        </is>
      </c>
      <c r="J95" s="46" t="n">
        <v>46177</v>
      </c>
      <c r="K95" s="45">
        <f>IF(J95="",TODAY()-F95,J95-F95)</f>
        <v/>
      </c>
      <c r="L95" s="44" t="inlineStr">
        <is>
          <t>Issue for construction</t>
        </is>
      </c>
      <c r="M95" s="44" t="inlineStr">
        <is>
          <t>\\DC\HSE\Method Statement\CTP-DHJ-HSE-MST-0006</t>
        </is>
      </c>
      <c r="O95">
        <f>IF(Search!$C$4="","",IF(ISNUMBER(SEARCH(Search!$C$4,A95&amp;" "&amp;B95&amp;" "&amp;C95&amp;" "&amp;D95&amp;" "&amp;G95&amp;" "&amp;I95)),ROW(),""))</f>
        <v/>
      </c>
    </row>
    <row r="96">
      <c r="A96" s="41" t="inlineStr">
        <is>
          <t>CTP-DHJ-TUN-RPT-0004</t>
        </is>
      </c>
      <c r="B96" s="41" t="inlineStr">
        <is>
          <t>Air quality monitoring</t>
        </is>
      </c>
      <c r="C96" s="42" t="inlineStr">
        <is>
          <t>Inspection Report</t>
        </is>
      </c>
      <c r="D96" s="41" t="inlineStr">
        <is>
          <t>Tunnelling</t>
        </is>
      </c>
      <c r="E96" s="42" t="inlineStr">
        <is>
          <t>A</t>
        </is>
      </c>
      <c r="F96" s="43" t="n">
        <v>46172</v>
      </c>
      <c r="G96" s="42" t="inlineStr">
        <is>
          <t>TRN-01138</t>
        </is>
      </c>
      <c r="H96" s="41" t="inlineStr">
        <is>
          <t>Meridian Engineering Partners</t>
        </is>
      </c>
      <c r="I96" s="41" t="inlineStr">
        <is>
          <t>Code A – Approved</t>
        </is>
      </c>
      <c r="J96" s="43" t="n">
        <v>46192</v>
      </c>
      <c r="K96" s="42">
        <f>IF(J96="",TODAY()-F96,J96-F96)</f>
        <v/>
      </c>
      <c r="L96" s="41" t="inlineStr">
        <is>
          <t>Issue for construction</t>
        </is>
      </c>
      <c r="M96" s="41" t="inlineStr">
        <is>
          <t>\\DC\Tunnelling\Inspection Report\CTP-DHJ-TUN-RPT-0004</t>
        </is>
      </c>
      <c r="O96">
        <f>IF(Search!$C$4="","",IF(ISNUMBER(SEARCH(Search!$C$4,A96&amp;" "&amp;B96&amp;" "&amp;C96&amp;" "&amp;D96&amp;" "&amp;G96&amp;" "&amp;I96)),ROW(),""))</f>
        <v/>
      </c>
    </row>
    <row r="97">
      <c r="A97" s="44" t="inlineStr">
        <is>
          <t>CTP-DHJ-GEO-MST-0003</t>
        </is>
      </c>
      <c r="B97" s="44" t="inlineStr">
        <is>
          <t>Cable pulling</t>
        </is>
      </c>
      <c r="C97" s="45" t="inlineStr">
        <is>
          <t>Method Statement</t>
        </is>
      </c>
      <c r="D97" s="44" t="inlineStr">
        <is>
          <t>Geotechnical</t>
        </is>
      </c>
      <c r="E97" s="45" t="inlineStr">
        <is>
          <t>1</t>
        </is>
      </c>
      <c r="F97" s="46" t="n">
        <v>46175</v>
      </c>
      <c r="G97" s="45" t="inlineStr">
        <is>
          <t>TRN-01092</t>
        </is>
      </c>
      <c r="H97" s="44" t="inlineStr">
        <is>
          <t>Meridian Engineering Partners</t>
        </is>
      </c>
      <c r="I97" s="44" t="inlineStr">
        <is>
          <t>Code A – Approved</t>
        </is>
      </c>
      <c r="J97" s="46" t="n">
        <v>46188</v>
      </c>
      <c r="K97" s="45">
        <f>IF(J97="",TODAY()-F97,J97-F97)</f>
        <v/>
      </c>
      <c r="L97" s="44" t="inlineStr">
        <is>
          <t>Issue for construction</t>
        </is>
      </c>
      <c r="M97" s="44" t="inlineStr">
        <is>
          <t>\\DC\Geotechnical\Method Statement\CTP-DHJ-GEO-MST-0003</t>
        </is>
      </c>
      <c r="O97">
        <f>IF(Search!$C$4="","",IF(ISNUMBER(SEARCH(Search!$C$4,A97&amp;" "&amp;B97&amp;" "&amp;C97&amp;" "&amp;D97&amp;" "&amp;G97&amp;" "&amp;I97)),ROW(),""))</f>
        <v/>
      </c>
    </row>
    <row r="98">
      <c r="A98" s="41" t="inlineStr">
        <is>
          <t>CTP-DHJ-GEO-MAT-0002</t>
        </is>
      </c>
      <c r="B98" s="41" t="inlineStr">
        <is>
          <t>Ventilation fans</t>
        </is>
      </c>
      <c r="C98" s="42" t="inlineStr">
        <is>
          <t>Material Submittal</t>
        </is>
      </c>
      <c r="D98" s="41" t="inlineStr">
        <is>
          <t>Geotechnical</t>
        </is>
      </c>
      <c r="E98" s="42" t="inlineStr">
        <is>
          <t>B</t>
        </is>
      </c>
      <c r="F98" s="43" t="n">
        <v>46175</v>
      </c>
      <c r="G98" s="42" t="inlineStr">
        <is>
          <t>TRN-01113</t>
        </is>
      </c>
      <c r="H98" s="41" t="inlineStr">
        <is>
          <t>Meridian Engineering Partners</t>
        </is>
      </c>
      <c r="I98" s="41" t="inlineStr">
        <is>
          <t>Code C – Revise &amp; Resubmit</t>
        </is>
      </c>
      <c r="J98" s="43" t="n">
        <v>46194</v>
      </c>
      <c r="K98" s="42">
        <f>IF(J98="",TODAY()-F98,J98-F98)</f>
        <v/>
      </c>
      <c r="L98" s="41" t="inlineStr">
        <is>
          <t>Revise and resubmit</t>
        </is>
      </c>
      <c r="M98" s="41" t="inlineStr">
        <is>
          <t>\\DC\Geotechnical\Material Submittal\CTP-DHJ-GEO-MAT-0002</t>
        </is>
      </c>
      <c r="O98">
        <f>IF(Search!$C$4="","",IF(ISNUMBER(SEARCH(Search!$C$4,A98&amp;" "&amp;B98&amp;" "&amp;C98&amp;" "&amp;D98&amp;" "&amp;G98&amp;" "&amp;I98)),ROW(),""))</f>
        <v/>
      </c>
    </row>
    <row r="99">
      <c r="A99" s="44" t="inlineStr">
        <is>
          <t>CTP-DHJ-HSE-DWG-0005</t>
        </is>
      </c>
      <c r="B99" s="44" t="inlineStr">
        <is>
          <t>Shaft general arrangement</t>
        </is>
      </c>
      <c r="C99" s="45" t="inlineStr">
        <is>
          <t>Drawing</t>
        </is>
      </c>
      <c r="D99" s="44" t="inlineStr">
        <is>
          <t>HSE</t>
        </is>
      </c>
      <c r="E99" s="45" t="inlineStr">
        <is>
          <t>B</t>
        </is>
      </c>
      <c r="F99" s="46" t="n">
        <v>46176</v>
      </c>
      <c r="G99" s="45" t="inlineStr">
        <is>
          <t>TRN-01029</t>
        </is>
      </c>
      <c r="H99" s="44" t="inlineStr">
        <is>
          <t>Meridian Engineering Partners</t>
        </is>
      </c>
      <c r="I99" s="44" t="inlineStr">
        <is>
          <t>Code B – Approved with Comments</t>
        </is>
      </c>
      <c r="J99" s="46" t="n">
        <v>46191</v>
      </c>
      <c r="K99" s="45">
        <f>IF(J99="",TODAY()-F99,J99-F99)</f>
        <v/>
      </c>
      <c r="L99" s="44" t="inlineStr">
        <is>
          <t>Incorporate comments</t>
        </is>
      </c>
      <c r="M99" s="44" t="inlineStr">
        <is>
          <t>\\DC\HSE\Drawing\CTP-DHJ-HSE-DWG-0005</t>
        </is>
      </c>
      <c r="O99">
        <f>IF(Search!$C$4="","",IF(ISNUMBER(SEARCH(Search!$C$4,A99&amp;" "&amp;B99&amp;" "&amp;C99&amp;" "&amp;D99&amp;" "&amp;G99&amp;" "&amp;I99)),ROW(),""))</f>
        <v/>
      </c>
    </row>
    <row r="100">
      <c r="A100" s="41" t="inlineStr">
        <is>
          <t>CTP-DHJ-QAQ-PRC-0003</t>
        </is>
      </c>
      <c r="B100" s="41" t="inlineStr">
        <is>
          <t>Permit to work</t>
        </is>
      </c>
      <c r="C100" s="42" t="inlineStr">
        <is>
          <t>Procedure</t>
        </is>
      </c>
      <c r="D100" s="41" t="inlineStr">
        <is>
          <t>Quality</t>
        </is>
      </c>
      <c r="E100" s="42" t="inlineStr">
        <is>
          <t>B</t>
        </is>
      </c>
      <c r="F100" s="43" t="n">
        <v>46176</v>
      </c>
      <c r="G100" s="42" t="inlineStr">
        <is>
          <t>TRN-01082</t>
        </is>
      </c>
      <c r="H100" s="41" t="inlineStr">
        <is>
          <t>Meridian Engineering Partners</t>
        </is>
      </c>
      <c r="I100" s="41" t="inlineStr">
        <is>
          <t>Code B – Approved with Comments</t>
        </is>
      </c>
      <c r="J100" s="43" t="n">
        <v>46193</v>
      </c>
      <c r="K100" s="42">
        <f>IF(J100="",TODAY()-F100,J100-F100)</f>
        <v/>
      </c>
      <c r="L100" s="41" t="inlineStr">
        <is>
          <t>Incorporate comments</t>
        </is>
      </c>
      <c r="M100" s="41" t="inlineStr">
        <is>
          <t>\\DC\Quality\Procedure\CTP-DHJ-QAQ-PRC-0003</t>
        </is>
      </c>
      <c r="O100">
        <f>IF(Search!$C$4="","",IF(ISNUMBER(SEARCH(Search!$C$4,A100&amp;" "&amp;B100&amp;" "&amp;C100&amp;" "&amp;D100&amp;" "&amp;G100&amp;" "&amp;I100)),ROW(),""))</f>
        <v/>
      </c>
    </row>
    <row r="101">
      <c r="A101" s="44" t="inlineStr">
        <is>
          <t>CTP-DHJ-CIV-CAL-0002</t>
        </is>
      </c>
      <c r="B101" s="44" t="inlineStr">
        <is>
          <t>Pump capacity</t>
        </is>
      </c>
      <c r="C101" s="45" t="inlineStr">
        <is>
          <t>Calculation</t>
        </is>
      </c>
      <c r="D101" s="44" t="inlineStr">
        <is>
          <t>Civil</t>
        </is>
      </c>
      <c r="E101" s="45" t="inlineStr">
        <is>
          <t>A</t>
        </is>
      </c>
      <c r="F101" s="46" t="n">
        <v>46179</v>
      </c>
      <c r="G101" s="45" t="inlineStr">
        <is>
          <t>TRN-01209</t>
        </is>
      </c>
      <c r="H101" s="44" t="inlineStr">
        <is>
          <t>Meridian Engineering Partners</t>
        </is>
      </c>
      <c r="I101" s="44" t="inlineStr">
        <is>
          <t>Code A – Approved</t>
        </is>
      </c>
      <c r="J101" s="46" t="n">
        <v>46190</v>
      </c>
      <c r="K101" s="45">
        <f>IF(J101="",TODAY()-F101,J101-F101)</f>
        <v/>
      </c>
      <c r="L101" s="44" t="inlineStr">
        <is>
          <t>Issue for construction</t>
        </is>
      </c>
      <c r="M101" s="44" t="inlineStr">
        <is>
          <t>\\DC\Civil\Calculation\CTP-DHJ-CIV-CAL-0002</t>
        </is>
      </c>
      <c r="O101">
        <f>IF(Search!$C$4="","",IF(ISNUMBER(SEARCH(Search!$C$4,A101&amp;" "&amp;B101&amp;" "&amp;C101&amp;" "&amp;D101&amp;" "&amp;G101&amp;" "&amp;I101)),ROW(),""))</f>
        <v/>
      </c>
    </row>
    <row r="102">
      <c r="A102" s="41" t="inlineStr">
        <is>
          <t>CTP-DHJ-CIV-PRC-0004</t>
        </is>
      </c>
      <c r="B102" s="41" t="inlineStr">
        <is>
          <t>Material receiving</t>
        </is>
      </c>
      <c r="C102" s="42" t="inlineStr">
        <is>
          <t>Procedure</t>
        </is>
      </c>
      <c r="D102" s="41" t="inlineStr">
        <is>
          <t>Civil</t>
        </is>
      </c>
      <c r="E102" s="42" t="inlineStr">
        <is>
          <t>B</t>
        </is>
      </c>
      <c r="F102" s="43" t="n">
        <v>46180</v>
      </c>
      <c r="G102" s="42" t="inlineStr">
        <is>
          <t>TRN-01090</t>
        </is>
      </c>
      <c r="H102" s="41" t="inlineStr">
        <is>
          <t>Meridian Engineering Partners</t>
        </is>
      </c>
      <c r="I102" s="41" t="inlineStr">
        <is>
          <t>Code A – Approved</t>
        </is>
      </c>
      <c r="J102" s="43" t="n">
        <v>46200</v>
      </c>
      <c r="K102" s="42">
        <f>IF(J102="",TODAY()-F102,J102-F102)</f>
        <v/>
      </c>
      <c r="L102" s="41" t="inlineStr">
        <is>
          <t>Issue for construction</t>
        </is>
      </c>
      <c r="M102" s="41" t="inlineStr">
        <is>
          <t>\\DC\Civil\Procedure\CTP-DHJ-CIV-PRC-0004</t>
        </is>
      </c>
      <c r="O102">
        <f>IF(Search!$C$4="","",IF(ISNUMBER(SEARCH(Search!$C$4,A102&amp;" "&amp;B102&amp;" "&amp;C102&amp;" "&amp;D102&amp;" "&amp;G102&amp;" "&amp;I102)),ROW(),""))</f>
        <v/>
      </c>
    </row>
    <row r="103">
      <c r="A103" s="44" t="inlineStr">
        <is>
          <t>CTP-DHJ-MEP-PRC-0004</t>
        </is>
      </c>
      <c r="B103" s="44" t="inlineStr">
        <is>
          <t>Emergency response plan</t>
        </is>
      </c>
      <c r="C103" s="45" t="inlineStr">
        <is>
          <t>Procedure</t>
        </is>
      </c>
      <c r="D103" s="44" t="inlineStr">
        <is>
          <t>MEP</t>
        </is>
      </c>
      <c r="E103" s="45" t="inlineStr">
        <is>
          <t>B</t>
        </is>
      </c>
      <c r="F103" s="46" t="n">
        <v>46180</v>
      </c>
      <c r="G103" s="45" t="inlineStr">
        <is>
          <t>TRN-01233</t>
        </is>
      </c>
      <c r="H103" s="44" t="inlineStr">
        <is>
          <t>Meridian Engineering Partners</t>
        </is>
      </c>
      <c r="I103" s="44" t="inlineStr">
        <is>
          <t>Code A – Approved</t>
        </is>
      </c>
      <c r="J103" s="46" t="n">
        <v>46201</v>
      </c>
      <c r="K103" s="45">
        <f>IF(J103="",TODAY()-F103,J103-F103)</f>
        <v/>
      </c>
      <c r="L103" s="44" t="inlineStr">
        <is>
          <t>Issue for construction</t>
        </is>
      </c>
      <c r="M103" s="44" t="inlineStr">
        <is>
          <t>\\DC\MEP\Procedure\CTP-DHJ-MEP-PRC-0004</t>
        </is>
      </c>
      <c r="O103">
        <f>IF(Search!$C$4="","",IF(ISNUMBER(SEARCH(Search!$C$4,A103&amp;" "&amp;B103&amp;" "&amp;C103&amp;" "&amp;D103&amp;" "&amp;G103&amp;" "&amp;I103)),ROW(),""))</f>
        <v/>
      </c>
    </row>
    <row r="104">
      <c r="A104" s="41" t="inlineStr">
        <is>
          <t>CTP-DHJ-QAQ-PRC-0001</t>
        </is>
      </c>
      <c r="B104" s="41" t="inlineStr">
        <is>
          <t>Document control procedure</t>
        </is>
      </c>
      <c r="C104" s="42" t="inlineStr">
        <is>
          <t>Procedure</t>
        </is>
      </c>
      <c r="D104" s="41" t="inlineStr">
        <is>
          <t>Quality</t>
        </is>
      </c>
      <c r="E104" s="42" t="inlineStr">
        <is>
          <t>1</t>
        </is>
      </c>
      <c r="F104" s="43" t="n">
        <v>46181</v>
      </c>
      <c r="G104" s="42" t="inlineStr">
        <is>
          <t>TRN-01049</t>
        </is>
      </c>
      <c r="H104" s="41" t="inlineStr">
        <is>
          <t>Meridian Engineering Partners</t>
        </is>
      </c>
      <c r="I104" s="41" t="inlineStr">
        <is>
          <t>Code A – Approved</t>
        </is>
      </c>
      <c r="J104" s="43" t="n">
        <v>46192</v>
      </c>
      <c r="K104" s="42">
        <f>IF(J104="",TODAY()-F104,J104-F104)</f>
        <v/>
      </c>
      <c r="L104" s="41" t="inlineStr">
        <is>
          <t>Issue for construction</t>
        </is>
      </c>
      <c r="M104" s="41" t="inlineStr">
        <is>
          <t>\\DC\Quality\Procedure\CTP-DHJ-QAQ-PRC-0001</t>
        </is>
      </c>
      <c r="O104">
        <f>IF(Search!$C$4="","",IF(ISNUMBER(SEARCH(Search!$C$4,A104&amp;" "&amp;B104&amp;" "&amp;C104&amp;" "&amp;D104&amp;" "&amp;G104&amp;" "&amp;I104)),ROW(),""))</f>
        <v/>
      </c>
    </row>
    <row r="105">
      <c r="A105" s="44" t="inlineStr">
        <is>
          <t>CTP-DHJ-TUN-DWG-0005</t>
        </is>
      </c>
      <c r="B105" s="44" t="inlineStr">
        <is>
          <t>Segment ring layout</t>
        </is>
      </c>
      <c r="C105" s="45" t="inlineStr">
        <is>
          <t>Drawing</t>
        </is>
      </c>
      <c r="D105" s="44" t="inlineStr">
        <is>
          <t>Tunnelling</t>
        </is>
      </c>
      <c r="E105" s="45" t="inlineStr">
        <is>
          <t>1</t>
        </is>
      </c>
      <c r="F105" s="46" t="n">
        <v>46181</v>
      </c>
      <c r="G105" s="45" t="inlineStr">
        <is>
          <t>TRN-01085</t>
        </is>
      </c>
      <c r="H105" s="44" t="inlineStr">
        <is>
          <t>Meridian Engineering Partners</t>
        </is>
      </c>
      <c r="I105" s="44" t="inlineStr">
        <is>
          <t>Code A – Approved</t>
        </is>
      </c>
      <c r="J105" s="46" t="n">
        <v>46192</v>
      </c>
      <c r="K105" s="45">
        <f>IF(J105="",TODAY()-F105,J105-F105)</f>
        <v/>
      </c>
      <c r="L105" s="44" t="inlineStr">
        <is>
          <t>Issue for construction</t>
        </is>
      </c>
      <c r="M105" s="44" t="inlineStr">
        <is>
          <t>\\DC\Tunnelling\Drawing\CTP-DHJ-TUN-DWG-0005</t>
        </is>
      </c>
      <c r="O105">
        <f>IF(Search!$C$4="","",IF(ISNUMBER(SEARCH(Search!$C$4,A105&amp;" "&amp;B105&amp;" "&amp;C105&amp;" "&amp;D105&amp;" "&amp;G105&amp;" "&amp;I105)),ROW(),""))</f>
        <v/>
      </c>
    </row>
    <row r="106">
      <c r="A106" s="41" t="inlineStr">
        <is>
          <t>CTP-DHJ-GEO-MST-0004</t>
        </is>
      </c>
      <c r="B106" s="41" t="inlineStr">
        <is>
          <t>Cable pulling</t>
        </is>
      </c>
      <c r="C106" s="42" t="inlineStr">
        <is>
          <t>Method Statement</t>
        </is>
      </c>
      <c r="D106" s="41" t="inlineStr">
        <is>
          <t>Geotechnical</t>
        </is>
      </c>
      <c r="E106" s="42" t="inlineStr">
        <is>
          <t>B</t>
        </is>
      </c>
      <c r="F106" s="43" t="n">
        <v>46181</v>
      </c>
      <c r="G106" s="42" t="inlineStr">
        <is>
          <t>TRN-01108</t>
        </is>
      </c>
      <c r="H106" s="41" t="inlineStr">
        <is>
          <t>Meridian Engineering Partners</t>
        </is>
      </c>
      <c r="I106" s="41" t="inlineStr">
        <is>
          <t>Code C – Revise &amp; Resubmit</t>
        </is>
      </c>
      <c r="J106" s="43" t="n">
        <v>46190</v>
      </c>
      <c r="K106" s="42">
        <f>IF(J106="",TODAY()-F106,J106-F106)</f>
        <v/>
      </c>
      <c r="L106" s="41" t="inlineStr">
        <is>
          <t>Revise and resubmit</t>
        </is>
      </c>
      <c r="M106" s="41" t="inlineStr">
        <is>
          <t>\\DC\Geotechnical\Method Statement\CTP-DHJ-GEO-MST-0004</t>
        </is>
      </c>
      <c r="O106">
        <f>IF(Search!$C$4="","",IF(ISNUMBER(SEARCH(Search!$C$4,A106&amp;" "&amp;B106&amp;" "&amp;C106&amp;" "&amp;D106&amp;" "&amp;G106&amp;" "&amp;I106)),ROW(),""))</f>
        <v/>
      </c>
    </row>
    <row r="107">
      <c r="A107" s="44" t="inlineStr">
        <is>
          <t>CTP-DHJ-CIV-MAT-0005</t>
        </is>
      </c>
      <c r="B107" s="44" t="inlineStr">
        <is>
          <t>Fire-rated cables</t>
        </is>
      </c>
      <c r="C107" s="45" t="inlineStr">
        <is>
          <t>Material Submittal</t>
        </is>
      </c>
      <c r="D107" s="44" t="inlineStr">
        <is>
          <t>Civil</t>
        </is>
      </c>
      <c r="E107" s="45" t="inlineStr">
        <is>
          <t>A</t>
        </is>
      </c>
      <c r="F107" s="46" t="n">
        <v>46182</v>
      </c>
      <c r="G107" s="45" t="inlineStr">
        <is>
          <t>TRN-01048</t>
        </is>
      </c>
      <c r="H107" s="44" t="inlineStr">
        <is>
          <t>Meridian Engineering Partners</t>
        </is>
      </c>
      <c r="I107" s="44" t="inlineStr">
        <is>
          <t>Code C – Revise &amp; Resubmit</t>
        </is>
      </c>
      <c r="J107" s="46" t="n">
        <v>46189</v>
      </c>
      <c r="K107" s="45">
        <f>IF(J107="",TODAY()-F107,J107-F107)</f>
        <v/>
      </c>
      <c r="L107" s="44" t="inlineStr">
        <is>
          <t>Revise and resubmit</t>
        </is>
      </c>
      <c r="M107" s="44" t="inlineStr">
        <is>
          <t>\\DC\Civil\Material Submittal\CTP-DHJ-CIV-MAT-0005</t>
        </is>
      </c>
      <c r="O107">
        <f>IF(Search!$C$4="","",IF(ISNUMBER(SEARCH(Search!$C$4,A107&amp;" "&amp;B107&amp;" "&amp;C107&amp;" "&amp;D107&amp;" "&amp;G107&amp;" "&amp;I107)),ROW(),""))</f>
        <v/>
      </c>
    </row>
    <row r="108">
      <c r="A108" s="41" t="inlineStr">
        <is>
          <t>CTP-DHJ-MEP-MST-0006</t>
        </is>
      </c>
      <c r="B108" s="41" t="inlineStr">
        <is>
          <t>Waterproofing installation</t>
        </is>
      </c>
      <c r="C108" s="42" t="inlineStr">
        <is>
          <t>Method Statement</t>
        </is>
      </c>
      <c r="D108" s="41" t="inlineStr">
        <is>
          <t>MEP</t>
        </is>
      </c>
      <c r="E108" s="42" t="inlineStr">
        <is>
          <t>0</t>
        </is>
      </c>
      <c r="F108" s="43" t="n">
        <v>46182</v>
      </c>
      <c r="G108" s="42" t="inlineStr">
        <is>
          <t>TRN-01122</t>
        </is>
      </c>
      <c r="H108" s="41" t="inlineStr">
        <is>
          <t>Meridian Engineering Partners</t>
        </is>
      </c>
      <c r="I108" s="41" t="inlineStr">
        <is>
          <t>Code A – Approved</t>
        </is>
      </c>
      <c r="J108" s="43" t="n">
        <v>46191</v>
      </c>
      <c r="K108" s="42">
        <f>IF(J108="",TODAY()-F108,J108-F108)</f>
        <v/>
      </c>
      <c r="L108" s="41" t="inlineStr">
        <is>
          <t>Issue for construction</t>
        </is>
      </c>
      <c r="M108" s="41" t="inlineStr">
        <is>
          <t>\\DC\MEP\Method Statement\CTP-DHJ-MEP-MST-0006</t>
        </is>
      </c>
      <c r="O108">
        <f>IF(Search!$C$4="","",IF(ISNUMBER(SEARCH(Search!$C$4,A108&amp;" "&amp;B108&amp;" "&amp;C108&amp;" "&amp;D108&amp;" "&amp;G108&amp;" "&amp;I108)),ROW(),""))</f>
        <v/>
      </c>
    </row>
    <row r="109">
      <c r="A109" s="44" t="inlineStr">
        <is>
          <t>CTP-DHJ-GEO-PRC-0001</t>
        </is>
      </c>
      <c r="B109" s="44" t="inlineStr">
        <is>
          <t>Permit to work</t>
        </is>
      </c>
      <c r="C109" s="45" t="inlineStr">
        <is>
          <t>Procedure</t>
        </is>
      </c>
      <c r="D109" s="44" t="inlineStr">
        <is>
          <t>Geotechnical</t>
        </is>
      </c>
      <c r="E109" s="45" t="inlineStr">
        <is>
          <t>B</t>
        </is>
      </c>
      <c r="F109" s="46" t="n">
        <v>46185</v>
      </c>
      <c r="G109" s="45" t="inlineStr">
        <is>
          <t>TRN-01037</t>
        </is>
      </c>
      <c r="H109" s="44" t="inlineStr">
        <is>
          <t>Meridian Engineering Partners</t>
        </is>
      </c>
      <c r="I109" s="44" t="inlineStr">
        <is>
          <t>Code B – Approved with Comments</t>
        </is>
      </c>
      <c r="J109" s="46" t="n">
        <v>46203</v>
      </c>
      <c r="K109" s="45">
        <f>IF(J109="",TODAY()-F109,J109-F109)</f>
        <v/>
      </c>
      <c r="L109" s="44" t="inlineStr">
        <is>
          <t>Incorporate comments</t>
        </is>
      </c>
      <c r="M109" s="44" t="inlineStr">
        <is>
          <t>\\DC\Geotechnical\Procedure\CTP-DHJ-GEO-PRC-0001</t>
        </is>
      </c>
      <c r="O109">
        <f>IF(Search!$C$4="","",IF(ISNUMBER(SEARCH(Search!$C$4,A109&amp;" "&amp;B109&amp;" "&amp;C109&amp;" "&amp;D109&amp;" "&amp;G109&amp;" "&amp;I109)),ROW(),""))</f>
        <v/>
      </c>
    </row>
    <row r="110">
      <c r="A110" s="41" t="inlineStr">
        <is>
          <t>CTP-DHJ-GEO-MST-0005</t>
        </is>
      </c>
      <c r="B110" s="41" t="inlineStr">
        <is>
          <t>Shaft excavation</t>
        </is>
      </c>
      <c r="C110" s="42" t="inlineStr">
        <is>
          <t>Method Statement</t>
        </is>
      </c>
      <c r="D110" s="41" t="inlineStr">
        <is>
          <t>Geotechnical</t>
        </is>
      </c>
      <c r="E110" s="42" t="inlineStr">
        <is>
          <t>0</t>
        </is>
      </c>
      <c r="F110" s="43" t="n">
        <v>46185</v>
      </c>
      <c r="G110" s="42" t="inlineStr">
        <is>
          <t>TRN-01131</t>
        </is>
      </c>
      <c r="H110" s="41" t="inlineStr">
        <is>
          <t>Meridian Engineering Partners</t>
        </is>
      </c>
      <c r="I110" s="41" t="inlineStr">
        <is>
          <t>Code A – Approved</t>
        </is>
      </c>
      <c r="J110" s="43" t="n">
        <v>46205</v>
      </c>
      <c r="K110" s="42">
        <f>IF(J110="",TODAY()-F110,J110-F110)</f>
        <v/>
      </c>
      <c r="L110" s="41" t="inlineStr">
        <is>
          <t>Issue for construction</t>
        </is>
      </c>
      <c r="M110" s="41" t="inlineStr">
        <is>
          <t>\\DC\Geotechnical\Method Statement\CTP-DHJ-GEO-MST-0005</t>
        </is>
      </c>
      <c r="O110">
        <f>IF(Search!$C$4="","",IF(ISNUMBER(SEARCH(Search!$C$4,A110&amp;" "&amp;B110&amp;" "&amp;C110&amp;" "&amp;D110&amp;" "&amp;G110&amp;" "&amp;I110)),ROW(),""))</f>
        <v/>
      </c>
    </row>
    <row r="111">
      <c r="A111" s="44" t="inlineStr">
        <is>
          <t>CTP-DHJ-MEP-MAT-0011</t>
        </is>
      </c>
      <c r="B111" s="44" t="inlineStr">
        <is>
          <t>Precast segment gaskets</t>
        </is>
      </c>
      <c r="C111" s="45" t="inlineStr">
        <is>
          <t>Material Submittal</t>
        </is>
      </c>
      <c r="D111" s="44" t="inlineStr">
        <is>
          <t>MEP</t>
        </is>
      </c>
      <c r="E111" s="45" t="inlineStr">
        <is>
          <t>0</t>
        </is>
      </c>
      <c r="F111" s="46" t="n">
        <v>46185</v>
      </c>
      <c r="G111" s="45" t="inlineStr">
        <is>
          <t>TRN-01220</t>
        </is>
      </c>
      <c r="H111" s="44" t="inlineStr">
        <is>
          <t>Meridian Engineering Partners</t>
        </is>
      </c>
      <c r="I111" s="44" t="inlineStr">
        <is>
          <t>Code A – Approved</t>
        </is>
      </c>
      <c r="J111" s="46" t="n">
        <v>46197</v>
      </c>
      <c r="K111" s="45">
        <f>IF(J111="",TODAY()-F111,J111-F111)</f>
        <v/>
      </c>
      <c r="L111" s="44" t="inlineStr">
        <is>
          <t>Issue for construction</t>
        </is>
      </c>
      <c r="M111" s="44" t="inlineStr">
        <is>
          <t>\\DC\MEP\Material Submittal\CTP-DHJ-MEP-MAT-0011</t>
        </is>
      </c>
      <c r="O111">
        <f>IF(Search!$C$4="","",IF(ISNUMBER(SEARCH(Search!$C$4,A111&amp;" "&amp;B111&amp;" "&amp;C111&amp;" "&amp;D111&amp;" "&amp;G111&amp;" "&amp;I111)),ROW(),""))</f>
        <v/>
      </c>
    </row>
    <row r="112">
      <c r="A112" s="41" t="inlineStr">
        <is>
          <t>CTP-DHJ-TUN-DWG-0014</t>
        </is>
      </c>
      <c r="B112" s="41" t="inlineStr">
        <is>
          <t>Portal structure details</t>
        </is>
      </c>
      <c r="C112" s="42" t="inlineStr">
        <is>
          <t>Drawing</t>
        </is>
      </c>
      <c r="D112" s="41" t="inlineStr">
        <is>
          <t>Tunnelling</t>
        </is>
      </c>
      <c r="E112" s="42" t="inlineStr">
        <is>
          <t>1</t>
        </is>
      </c>
      <c r="F112" s="43" t="n">
        <v>46185</v>
      </c>
      <c r="G112" s="42" t="inlineStr">
        <is>
          <t>TRN-01228</t>
        </is>
      </c>
      <c r="H112" s="41" t="inlineStr">
        <is>
          <t>Meridian Engineering Partners</t>
        </is>
      </c>
      <c r="I112" s="41" t="inlineStr">
        <is>
          <t>Code A – Approved</t>
        </is>
      </c>
      <c r="J112" s="43" t="n">
        <v>46205</v>
      </c>
      <c r="K112" s="42">
        <f>IF(J112="",TODAY()-F112,J112-F112)</f>
        <v/>
      </c>
      <c r="L112" s="41" t="inlineStr">
        <is>
          <t>Issue for construction</t>
        </is>
      </c>
      <c r="M112" s="41" t="inlineStr">
        <is>
          <t>\\DC\Tunnelling\Drawing\CTP-DHJ-TUN-DWG-0014</t>
        </is>
      </c>
      <c r="O112">
        <f>IF(Search!$C$4="","",IF(ISNUMBER(SEARCH(Search!$C$4,A112&amp;" "&amp;B112&amp;" "&amp;C112&amp;" "&amp;D112&amp;" "&amp;G112&amp;" "&amp;I112)),ROW(),""))</f>
        <v/>
      </c>
    </row>
    <row r="113">
      <c r="A113" s="44" t="inlineStr">
        <is>
          <t>CTP-DHJ-CIV-RPT-0001</t>
        </is>
      </c>
      <c r="B113" s="44" t="inlineStr">
        <is>
          <t>Concrete cube results</t>
        </is>
      </c>
      <c r="C113" s="45" t="inlineStr">
        <is>
          <t>Inspection Report</t>
        </is>
      </c>
      <c r="D113" s="44" t="inlineStr">
        <is>
          <t>Civil</t>
        </is>
      </c>
      <c r="E113" s="45" t="inlineStr">
        <is>
          <t>0</t>
        </is>
      </c>
      <c r="F113" s="46" t="n">
        <v>46186</v>
      </c>
      <c r="G113" s="45" t="inlineStr">
        <is>
          <t>TRN-01078</t>
        </is>
      </c>
      <c r="H113" s="44" t="inlineStr">
        <is>
          <t>Meridian Engineering Partners</t>
        </is>
      </c>
      <c r="I113" s="44" t="inlineStr">
        <is>
          <t>Code A – Approved</t>
        </is>
      </c>
      <c r="J113" s="46" t="n">
        <v>46203</v>
      </c>
      <c r="K113" s="45">
        <f>IF(J113="",TODAY()-F113,J113-F113)</f>
        <v/>
      </c>
      <c r="L113" s="44" t="inlineStr">
        <is>
          <t>Issue for construction</t>
        </is>
      </c>
      <c r="M113" s="44" t="inlineStr">
        <is>
          <t>\\DC\Civil\Inspection Report\CTP-DHJ-CIV-RPT-0001</t>
        </is>
      </c>
      <c r="O113">
        <f>IF(Search!$C$4="","",IF(ISNUMBER(SEARCH(Search!$C$4,A113&amp;" "&amp;B113&amp;" "&amp;C113&amp;" "&amp;D113&amp;" "&amp;G113&amp;" "&amp;I113)),ROW(),""))</f>
        <v/>
      </c>
    </row>
    <row r="114">
      <c r="A114" s="41" t="inlineStr">
        <is>
          <t>CTP-DHJ-MEP-PRC-0002</t>
        </is>
      </c>
      <c r="B114" s="41" t="inlineStr">
        <is>
          <t>Permit to work</t>
        </is>
      </c>
      <c r="C114" s="42" t="inlineStr">
        <is>
          <t>Procedure</t>
        </is>
      </c>
      <c r="D114" s="41" t="inlineStr">
        <is>
          <t>MEP</t>
        </is>
      </c>
      <c r="E114" s="42" t="inlineStr">
        <is>
          <t>B</t>
        </is>
      </c>
      <c r="F114" s="43" t="n">
        <v>46187</v>
      </c>
      <c r="G114" s="42" t="inlineStr">
        <is>
          <t>TRN-01061</t>
        </is>
      </c>
      <c r="H114" s="41" t="inlineStr">
        <is>
          <t>Meridian Engineering Partners</t>
        </is>
      </c>
      <c r="I114" s="41" t="inlineStr">
        <is>
          <t>Code C – Revise &amp; Resubmit</t>
        </is>
      </c>
      <c r="J114" s="43" t="n">
        <v>46200</v>
      </c>
      <c r="K114" s="42">
        <f>IF(J114="",TODAY()-F114,J114-F114)</f>
        <v/>
      </c>
      <c r="L114" s="41" t="inlineStr">
        <is>
          <t>Revise and resubmit</t>
        </is>
      </c>
      <c r="M114" s="41" t="inlineStr">
        <is>
          <t>\\DC\MEP\Procedure\CTP-DHJ-MEP-PRC-0002</t>
        </is>
      </c>
      <c r="O114">
        <f>IF(Search!$C$4="","",IF(ISNUMBER(SEARCH(Search!$C$4,A114&amp;" "&amp;B114&amp;" "&amp;C114&amp;" "&amp;D114&amp;" "&amp;G114&amp;" "&amp;I114)),ROW(),""))</f>
        <v/>
      </c>
    </row>
    <row r="115">
      <c r="A115" s="44" t="inlineStr">
        <is>
          <t>CTP-DHJ-MEP-MST-0010</t>
        </is>
      </c>
      <c r="B115" s="44" t="inlineStr">
        <is>
          <t>TBM launching</t>
        </is>
      </c>
      <c r="C115" s="45" t="inlineStr">
        <is>
          <t>Method Statement</t>
        </is>
      </c>
      <c r="D115" s="44" t="inlineStr">
        <is>
          <t>MEP</t>
        </is>
      </c>
      <c r="E115" s="45" t="inlineStr">
        <is>
          <t>B</t>
        </is>
      </c>
      <c r="F115" s="46" t="n">
        <v>46188</v>
      </c>
      <c r="G115" s="45" t="inlineStr">
        <is>
          <t>TRN-01184</t>
        </is>
      </c>
      <c r="H115" s="44" t="inlineStr">
        <is>
          <t>Meridian Engineering Partners</t>
        </is>
      </c>
      <c r="I115" s="44" t="inlineStr">
        <is>
          <t>Code A – Approved</t>
        </is>
      </c>
      <c r="J115" s="46" t="n">
        <v>46202</v>
      </c>
      <c r="K115" s="45">
        <f>IF(J115="",TODAY()-F115,J115-F115)</f>
        <v/>
      </c>
      <c r="L115" s="44" t="inlineStr">
        <is>
          <t>Issue for construction</t>
        </is>
      </c>
      <c r="M115" s="44" t="inlineStr">
        <is>
          <t>\\DC\MEP\Method Statement\CTP-DHJ-MEP-MST-0010</t>
        </is>
      </c>
      <c r="O115">
        <f>IF(Search!$C$4="","",IF(ISNUMBER(SEARCH(Search!$C$4,A115&amp;" "&amp;B115&amp;" "&amp;C115&amp;" "&amp;D115&amp;" "&amp;G115&amp;" "&amp;I115)),ROW(),""))</f>
        <v/>
      </c>
    </row>
    <row r="116">
      <c r="A116" s="41" t="inlineStr">
        <is>
          <t>CTP-DHJ-GEO-DWG-0006</t>
        </is>
      </c>
      <c r="B116" s="41" t="inlineStr">
        <is>
          <t>Cross passage reinforcement</t>
        </is>
      </c>
      <c r="C116" s="42" t="inlineStr">
        <is>
          <t>Drawing</t>
        </is>
      </c>
      <c r="D116" s="41" t="inlineStr">
        <is>
          <t>Geotechnical</t>
        </is>
      </c>
      <c r="E116" s="42" t="inlineStr">
        <is>
          <t>A</t>
        </is>
      </c>
      <c r="F116" s="43" t="n">
        <v>46190</v>
      </c>
      <c r="G116" s="42" t="inlineStr">
        <is>
          <t>TRN-01104</t>
        </is>
      </c>
      <c r="H116" s="41" t="inlineStr">
        <is>
          <t>Meridian Engineering Partners</t>
        </is>
      </c>
      <c r="I116" s="41" t="inlineStr">
        <is>
          <t>Code A – Approved</t>
        </is>
      </c>
      <c r="J116" s="43" t="n">
        <v>46198</v>
      </c>
      <c r="K116" s="42">
        <f>IF(J116="",TODAY()-F116,J116-F116)</f>
        <v/>
      </c>
      <c r="L116" s="41" t="inlineStr">
        <is>
          <t>Issue for construction</t>
        </is>
      </c>
      <c r="M116" s="41" t="inlineStr">
        <is>
          <t>\\DC\Geotechnical\Drawing\CTP-DHJ-GEO-DWG-0006</t>
        </is>
      </c>
      <c r="O116">
        <f>IF(Search!$C$4="","",IF(ISNUMBER(SEARCH(Search!$C$4,A116&amp;" "&amp;B116&amp;" "&amp;C116&amp;" "&amp;D116&amp;" "&amp;G116&amp;" "&amp;I116)),ROW(),""))</f>
        <v/>
      </c>
    </row>
    <row r="117">
      <c r="A117" s="44" t="inlineStr">
        <is>
          <t>CTP-DHJ-QAQ-DWG-0006</t>
        </is>
      </c>
      <c r="B117" s="44" t="inlineStr">
        <is>
          <t>Portal structure details</t>
        </is>
      </c>
      <c r="C117" s="45" t="inlineStr">
        <is>
          <t>Drawing</t>
        </is>
      </c>
      <c r="D117" s="44" t="inlineStr">
        <is>
          <t>Quality</t>
        </is>
      </c>
      <c r="E117" s="45" t="inlineStr">
        <is>
          <t>B</t>
        </is>
      </c>
      <c r="F117" s="46" t="n">
        <v>46190</v>
      </c>
      <c r="G117" s="45" t="inlineStr">
        <is>
          <t>TRN-01121</t>
        </is>
      </c>
      <c r="H117" s="44" t="inlineStr">
        <is>
          <t>Meridian Engineering Partners</t>
        </is>
      </c>
      <c r="I117" s="44" t="inlineStr">
        <is>
          <t>Code A – Approved</t>
        </is>
      </c>
      <c r="J117" s="46" t="n">
        <v>46210</v>
      </c>
      <c r="K117" s="45">
        <f>IF(J117="",TODAY()-F117,J117-F117)</f>
        <v/>
      </c>
      <c r="L117" s="44" t="inlineStr">
        <is>
          <t>Issue for construction</t>
        </is>
      </c>
      <c r="M117" s="44" t="inlineStr">
        <is>
          <t>\\DC\Quality\Drawing\CTP-DHJ-QAQ-DWG-0006</t>
        </is>
      </c>
      <c r="O117">
        <f>IF(Search!$C$4="","",IF(ISNUMBER(SEARCH(Search!$C$4,A117&amp;" "&amp;B117&amp;" "&amp;C117&amp;" "&amp;D117&amp;" "&amp;G117&amp;" "&amp;I117)),ROW(),""))</f>
        <v/>
      </c>
    </row>
    <row r="118">
      <c r="A118" s="41" t="inlineStr">
        <is>
          <t>CTP-DHJ-GEO-DWG-0012</t>
        </is>
      </c>
      <c r="B118" s="41" t="inlineStr">
        <is>
          <t>Shaft general arrangement</t>
        </is>
      </c>
      <c r="C118" s="42" t="inlineStr">
        <is>
          <t>Drawing</t>
        </is>
      </c>
      <c r="D118" s="41" t="inlineStr">
        <is>
          <t>Geotechnical</t>
        </is>
      </c>
      <c r="E118" s="42" t="inlineStr">
        <is>
          <t>0</t>
        </is>
      </c>
      <c r="F118" s="43" t="n">
        <v>46190</v>
      </c>
      <c r="G118" s="42" t="inlineStr">
        <is>
          <t>TRN-01199</t>
        </is>
      </c>
      <c r="H118" s="41" t="inlineStr">
        <is>
          <t>Meridian Engineering Partners</t>
        </is>
      </c>
      <c r="I118" s="41" t="inlineStr">
        <is>
          <t>Code A – Approved</t>
        </is>
      </c>
      <c r="J118" s="43" t="n">
        <v>46211</v>
      </c>
      <c r="K118" s="42">
        <f>IF(J118="",TODAY()-F118,J118-F118)</f>
        <v/>
      </c>
      <c r="L118" s="41" t="inlineStr">
        <is>
          <t>Issue for construction</t>
        </is>
      </c>
      <c r="M118" s="41" t="inlineStr">
        <is>
          <t>\\DC\Geotechnical\Drawing\CTP-DHJ-GEO-DWG-0012</t>
        </is>
      </c>
      <c r="O118">
        <f>IF(Search!$C$4="","",IF(ISNUMBER(SEARCH(Search!$C$4,A118&amp;" "&amp;B118&amp;" "&amp;C118&amp;" "&amp;D118&amp;" "&amp;G118&amp;" "&amp;I118)),ROW(),""))</f>
        <v/>
      </c>
    </row>
    <row r="119">
      <c r="A119" s="44" t="inlineStr">
        <is>
          <t>CTP-DHJ-MEP-MAT-0008</t>
        </is>
      </c>
      <c r="B119" s="44" t="inlineStr">
        <is>
          <t>Rebar 16 mm</t>
        </is>
      </c>
      <c r="C119" s="45" t="inlineStr">
        <is>
          <t>Material Submittal</t>
        </is>
      </c>
      <c r="D119" s="44" t="inlineStr">
        <is>
          <t>MEP</t>
        </is>
      </c>
      <c r="E119" s="45" t="inlineStr">
        <is>
          <t>A</t>
        </is>
      </c>
      <c r="F119" s="46" t="n">
        <v>46190</v>
      </c>
      <c r="G119" s="45" t="inlineStr">
        <is>
          <t>TRN-01205</t>
        </is>
      </c>
      <c r="H119" s="44" t="inlineStr">
        <is>
          <t>Meridian Engineering Partners</t>
        </is>
      </c>
      <c r="I119" s="44" t="inlineStr">
        <is>
          <t>Code C – Revise &amp; Resubmit</t>
        </is>
      </c>
      <c r="J119" s="46" t="n">
        <v>46202</v>
      </c>
      <c r="K119" s="45">
        <f>IF(J119="",TODAY()-F119,J119-F119)</f>
        <v/>
      </c>
      <c r="L119" s="44" t="inlineStr">
        <is>
          <t>Revise and resubmit</t>
        </is>
      </c>
      <c r="M119" s="44" t="inlineStr">
        <is>
          <t>\\DC\MEP\Material Submittal\CTP-DHJ-MEP-MAT-0008</t>
        </is>
      </c>
      <c r="O119">
        <f>IF(Search!$C$4="","",IF(ISNUMBER(SEARCH(Search!$C$4,A119&amp;" "&amp;B119&amp;" "&amp;C119&amp;" "&amp;D119&amp;" "&amp;G119&amp;" "&amp;I119)),ROW(),""))</f>
        <v/>
      </c>
    </row>
    <row r="120">
      <c r="A120" s="41" t="inlineStr">
        <is>
          <t>CTP-DHJ-TUN-MAT-0004</t>
        </is>
      </c>
      <c r="B120" s="41" t="inlineStr">
        <is>
          <t>Ventilation fans</t>
        </is>
      </c>
      <c r="C120" s="42" t="inlineStr">
        <is>
          <t>Material Submittal</t>
        </is>
      </c>
      <c r="D120" s="41" t="inlineStr">
        <is>
          <t>Tunnelling</t>
        </is>
      </c>
      <c r="E120" s="42" t="inlineStr">
        <is>
          <t>1</t>
        </is>
      </c>
      <c r="F120" s="43" t="n">
        <v>46191</v>
      </c>
      <c r="G120" s="42" t="inlineStr">
        <is>
          <t>TRN-01091</t>
        </is>
      </c>
      <c r="H120" s="41" t="inlineStr">
        <is>
          <t>Meridian Engineering Partners</t>
        </is>
      </c>
      <c r="I120" s="41" t="inlineStr">
        <is>
          <t>Code D – Rejected</t>
        </is>
      </c>
      <c r="J120" s="43" t="n">
        <v>46205</v>
      </c>
      <c r="K120" s="42">
        <f>IF(J120="",TODAY()-F120,J120-F120)</f>
        <v/>
      </c>
      <c r="L120" s="41" t="inlineStr">
        <is>
          <t>Prepare new submission</t>
        </is>
      </c>
      <c r="M120" s="41" t="inlineStr">
        <is>
          <t>\\DC\Tunnelling\Material Submittal\CTP-DHJ-TUN-MAT-0004</t>
        </is>
      </c>
      <c r="O120">
        <f>IF(Search!$C$4="","",IF(ISNUMBER(SEARCH(Search!$C$4,A120&amp;" "&amp;B120&amp;" "&amp;C120&amp;" "&amp;D120&amp;" "&amp;G120&amp;" "&amp;I120)),ROW(),""))</f>
        <v/>
      </c>
    </row>
    <row r="121">
      <c r="A121" s="44" t="inlineStr">
        <is>
          <t>CTP-DHJ-TUN-DWG-0009</t>
        </is>
      </c>
      <c r="B121" s="44" t="inlineStr">
        <is>
          <t>Drainage layout</t>
        </is>
      </c>
      <c r="C121" s="45" t="inlineStr">
        <is>
          <t>Drawing</t>
        </is>
      </c>
      <c r="D121" s="44" t="inlineStr">
        <is>
          <t>Tunnelling</t>
        </is>
      </c>
      <c r="E121" s="45" t="inlineStr">
        <is>
          <t>A</t>
        </is>
      </c>
      <c r="F121" s="46" t="n">
        <v>46193</v>
      </c>
      <c r="G121" s="45" t="inlineStr">
        <is>
          <t>TRN-01151</t>
        </is>
      </c>
      <c r="H121" s="44" t="inlineStr">
        <is>
          <t>Meridian Engineering Partners</t>
        </is>
      </c>
      <c r="I121" s="44" t="inlineStr">
        <is>
          <t>Code A – Approved</t>
        </is>
      </c>
      <c r="J121" s="46" t="n">
        <v>46208</v>
      </c>
      <c r="K121" s="45">
        <f>IF(J121="",TODAY()-F121,J121-F121)</f>
        <v/>
      </c>
      <c r="L121" s="44" t="inlineStr">
        <is>
          <t>Issue for construction</t>
        </is>
      </c>
      <c r="M121" s="44" t="inlineStr">
        <is>
          <t>\\DC\Tunnelling\Drawing\CTP-DHJ-TUN-DWG-0009</t>
        </is>
      </c>
      <c r="O121">
        <f>IF(Search!$C$4="","",IF(ISNUMBER(SEARCH(Search!$C$4,A121&amp;" "&amp;B121&amp;" "&amp;C121&amp;" "&amp;D121&amp;" "&amp;G121&amp;" "&amp;I121)),ROW(),""))</f>
        <v/>
      </c>
    </row>
    <row r="122">
      <c r="A122" s="41" t="inlineStr">
        <is>
          <t>CTP-DHJ-GEO-DWG-0005</t>
        </is>
      </c>
      <c r="B122" s="41" t="inlineStr">
        <is>
          <t>Portal structure details</t>
        </is>
      </c>
      <c r="C122" s="42" t="inlineStr">
        <is>
          <t>Drawing</t>
        </is>
      </c>
      <c r="D122" s="41" t="inlineStr">
        <is>
          <t>Geotechnical</t>
        </is>
      </c>
      <c r="E122" s="42" t="inlineStr">
        <is>
          <t>1</t>
        </is>
      </c>
      <c r="F122" s="43" t="n">
        <v>46195</v>
      </c>
      <c r="G122" s="42" t="inlineStr">
        <is>
          <t>TRN-01099</t>
        </is>
      </c>
      <c r="H122" s="41" t="inlineStr">
        <is>
          <t>Meridian Engineering Partners</t>
        </is>
      </c>
      <c r="I122" s="41" t="inlineStr">
        <is>
          <t>Code A – Approved</t>
        </is>
      </c>
      <c r="J122" s="43" t="n">
        <v>46214</v>
      </c>
      <c r="K122" s="42">
        <f>IF(J122="",TODAY()-F122,J122-F122)</f>
        <v/>
      </c>
      <c r="L122" s="41" t="inlineStr">
        <is>
          <t>Issue for construction</t>
        </is>
      </c>
      <c r="M122" s="41" t="inlineStr">
        <is>
          <t>\\DC\Geotechnical\Drawing\CTP-DHJ-GEO-DWG-0005</t>
        </is>
      </c>
      <c r="O122">
        <f>IF(Search!$C$4="","",IF(ISNUMBER(SEARCH(Search!$C$4,A122&amp;" "&amp;B122&amp;" "&amp;C122&amp;" "&amp;D122&amp;" "&amp;G122&amp;" "&amp;I122)),ROW(),""))</f>
        <v/>
      </c>
    </row>
    <row r="123">
      <c r="A123" s="44" t="inlineStr">
        <is>
          <t>CTP-DHJ-TUN-MST-0004</t>
        </is>
      </c>
      <c r="B123" s="44" t="inlineStr">
        <is>
          <t>Cable pulling</t>
        </is>
      </c>
      <c r="C123" s="45" t="inlineStr">
        <is>
          <t>Method Statement</t>
        </is>
      </c>
      <c r="D123" s="44" t="inlineStr">
        <is>
          <t>Tunnelling</t>
        </is>
      </c>
      <c r="E123" s="45" t="inlineStr">
        <is>
          <t>B</t>
        </is>
      </c>
      <c r="F123" s="46" t="n">
        <v>46197</v>
      </c>
      <c r="G123" s="45" t="inlineStr">
        <is>
          <t>TRN-01160</t>
        </is>
      </c>
      <c r="H123" s="44" t="inlineStr">
        <is>
          <t>Meridian Engineering Partners</t>
        </is>
      </c>
      <c r="I123" s="44" t="inlineStr">
        <is>
          <t>Code D – Rejected</t>
        </is>
      </c>
      <c r="J123" s="46" t="n">
        <v>46209</v>
      </c>
      <c r="K123" s="45">
        <f>IF(J123="",TODAY()-F123,J123-F123)</f>
        <v/>
      </c>
      <c r="L123" s="44" t="inlineStr">
        <is>
          <t>Prepare new submission</t>
        </is>
      </c>
      <c r="M123" s="44" t="inlineStr">
        <is>
          <t>\\DC\Tunnelling\Method Statement\CTP-DHJ-TUN-MST-0004</t>
        </is>
      </c>
      <c r="O123">
        <f>IF(Search!$C$4="","",IF(ISNUMBER(SEARCH(Search!$C$4,A123&amp;" "&amp;B123&amp;" "&amp;C123&amp;" "&amp;D123&amp;" "&amp;G123&amp;" "&amp;I123)),ROW(),""))</f>
        <v/>
      </c>
    </row>
    <row r="124">
      <c r="A124" s="41" t="inlineStr">
        <is>
          <t>CTP-DHJ-QAQ-DWG-0010</t>
        </is>
      </c>
      <c r="B124" s="41" t="inlineStr">
        <is>
          <t>Shaft general arrangement</t>
        </is>
      </c>
      <c r="C124" s="42" t="inlineStr">
        <is>
          <t>Drawing</t>
        </is>
      </c>
      <c r="D124" s="41" t="inlineStr">
        <is>
          <t>Quality</t>
        </is>
      </c>
      <c r="E124" s="42" t="inlineStr">
        <is>
          <t>B</t>
        </is>
      </c>
      <c r="F124" s="43" t="n">
        <v>46197</v>
      </c>
      <c r="G124" s="42" t="inlineStr">
        <is>
          <t>TRN-01219</t>
        </is>
      </c>
      <c r="H124" s="41" t="inlineStr">
        <is>
          <t>Meridian Engineering Partners</t>
        </is>
      </c>
      <c r="I124" s="41" t="inlineStr">
        <is>
          <t>Code B – Approved with Comments</t>
        </is>
      </c>
      <c r="J124" s="43" t="n">
        <v>46208</v>
      </c>
      <c r="K124" s="42">
        <f>IF(J124="",TODAY()-F124,J124-F124)</f>
        <v/>
      </c>
      <c r="L124" s="41" t="inlineStr">
        <is>
          <t>Incorporate comments</t>
        </is>
      </c>
      <c r="M124" s="41" t="inlineStr">
        <is>
          <t>\\DC\Quality\Drawing\CTP-DHJ-QAQ-DWG-0010</t>
        </is>
      </c>
      <c r="O124">
        <f>IF(Search!$C$4="","",IF(ISNUMBER(SEARCH(Search!$C$4,A124&amp;" "&amp;B124&amp;" "&amp;C124&amp;" "&amp;D124&amp;" "&amp;G124&amp;" "&amp;I124)),ROW(),""))</f>
        <v/>
      </c>
    </row>
    <row r="125">
      <c r="A125" s="44" t="inlineStr">
        <is>
          <t>CTP-DHJ-QAQ-DWG-0002</t>
        </is>
      </c>
      <c r="B125" s="44" t="inlineStr">
        <is>
          <t>Drainage layout</t>
        </is>
      </c>
      <c r="C125" s="45" t="inlineStr">
        <is>
          <t>Drawing</t>
        </is>
      </c>
      <c r="D125" s="44" t="inlineStr">
        <is>
          <t>Quality</t>
        </is>
      </c>
      <c r="E125" s="45" t="inlineStr">
        <is>
          <t>A</t>
        </is>
      </c>
      <c r="F125" s="46" t="n">
        <v>46200</v>
      </c>
      <c r="G125" s="45" t="inlineStr">
        <is>
          <t>TRN-01076</t>
        </is>
      </c>
      <c r="H125" s="44" t="inlineStr">
        <is>
          <t>Meridian Engineering Partners</t>
        </is>
      </c>
      <c r="I125" s="44" t="inlineStr">
        <is>
          <t>Code A – Approved</t>
        </is>
      </c>
      <c r="J125" s="46" t="n">
        <v>46215</v>
      </c>
      <c r="K125" s="45">
        <f>IF(J125="",TODAY()-F125,J125-F125)</f>
        <v/>
      </c>
      <c r="L125" s="44" t="inlineStr">
        <is>
          <t>Issue for construction</t>
        </is>
      </c>
      <c r="M125" s="44" t="inlineStr">
        <is>
          <t>\\DC\Quality\Drawing\CTP-DHJ-QAQ-DWG-0002</t>
        </is>
      </c>
      <c r="O125">
        <f>IF(Search!$C$4="","",IF(ISNUMBER(SEARCH(Search!$C$4,A125&amp;" "&amp;B125&amp;" "&amp;C125&amp;" "&amp;D125&amp;" "&amp;G125&amp;" "&amp;I125)),ROW(),""))</f>
        <v/>
      </c>
    </row>
    <row r="126">
      <c r="A126" s="41" t="inlineStr">
        <is>
          <t>CTP-DHJ-QAQ-DWG-0003</t>
        </is>
      </c>
      <c r="B126" s="41" t="inlineStr">
        <is>
          <t>Segment ring layout</t>
        </is>
      </c>
      <c r="C126" s="42" t="inlineStr">
        <is>
          <t>Drawing</t>
        </is>
      </c>
      <c r="D126" s="41" t="inlineStr">
        <is>
          <t>Quality</t>
        </is>
      </c>
      <c r="E126" s="42" t="inlineStr">
        <is>
          <t>B</t>
        </is>
      </c>
      <c r="F126" s="43" t="n">
        <v>46201</v>
      </c>
      <c r="G126" s="42" t="inlineStr">
        <is>
          <t>TRN-01097</t>
        </is>
      </c>
      <c r="H126" s="41" t="inlineStr">
        <is>
          <t>Meridian Engineering Partners</t>
        </is>
      </c>
      <c r="I126" s="41" t="inlineStr">
        <is>
          <t>Code A – Approved</t>
        </is>
      </c>
      <c r="J126" s="43" t="n">
        <v>46209</v>
      </c>
      <c r="K126" s="42">
        <f>IF(J126="",TODAY()-F126,J126-F126)</f>
        <v/>
      </c>
      <c r="L126" s="41" t="inlineStr">
        <is>
          <t>Issue for construction</t>
        </is>
      </c>
      <c r="M126" s="41" t="inlineStr">
        <is>
          <t>\\DC\Quality\Drawing\CTP-DHJ-QAQ-DWG-0003</t>
        </is>
      </c>
      <c r="O126">
        <f>IF(Search!$C$4="","",IF(ISNUMBER(SEARCH(Search!$C$4,A126&amp;" "&amp;B126&amp;" "&amp;C126&amp;" "&amp;D126&amp;" "&amp;G126&amp;" "&amp;I126)),ROW(),""))</f>
        <v/>
      </c>
    </row>
    <row r="127">
      <c r="A127" s="44" t="inlineStr">
        <is>
          <t>CTP-DHJ-TUN-PRC-0001</t>
        </is>
      </c>
      <c r="B127" s="44" t="inlineStr">
        <is>
          <t>Document control procedure</t>
        </is>
      </c>
      <c r="C127" s="45" t="inlineStr">
        <is>
          <t>Procedure</t>
        </is>
      </c>
      <c r="D127" s="44" t="inlineStr">
        <is>
          <t>Tunnelling</t>
        </is>
      </c>
      <c r="E127" s="45" t="inlineStr">
        <is>
          <t>1</t>
        </is>
      </c>
      <c r="F127" s="46" t="n">
        <v>46202</v>
      </c>
      <c r="G127" s="45" t="inlineStr">
        <is>
          <t>TRN-01009</t>
        </is>
      </c>
      <c r="H127" s="44" t="inlineStr">
        <is>
          <t>Meridian Engineering Partners</t>
        </is>
      </c>
      <c r="I127" s="44" t="inlineStr">
        <is>
          <t>Code A – Approved</t>
        </is>
      </c>
      <c r="J127" s="46" t="n">
        <v>46220</v>
      </c>
      <c r="K127" s="45">
        <f>IF(J127="",TODAY()-F127,J127-F127)</f>
        <v/>
      </c>
      <c r="L127" s="44" t="inlineStr">
        <is>
          <t>Issue for construction</t>
        </is>
      </c>
      <c r="M127" s="44" t="inlineStr">
        <is>
          <t>\\DC\Tunnelling\Procedure\CTP-DHJ-TUN-PRC-0001</t>
        </is>
      </c>
      <c r="O127">
        <f>IF(Search!$C$4="","",IF(ISNUMBER(SEARCH(Search!$C$4,A127&amp;" "&amp;B127&amp;" "&amp;C127&amp;" "&amp;D127&amp;" "&amp;G127&amp;" "&amp;I127)),ROW(),""))</f>
        <v/>
      </c>
    </row>
    <row r="128">
      <c r="A128" s="41" t="inlineStr">
        <is>
          <t>CTP-DHJ-CIV-MST-0001</t>
        </is>
      </c>
      <c r="B128" s="41" t="inlineStr">
        <is>
          <t>Cable pulling</t>
        </is>
      </c>
      <c r="C128" s="42" t="inlineStr">
        <is>
          <t>Method Statement</t>
        </is>
      </c>
      <c r="D128" s="41" t="inlineStr">
        <is>
          <t>Civil</t>
        </is>
      </c>
      <c r="E128" s="42" t="inlineStr">
        <is>
          <t>1</t>
        </is>
      </c>
      <c r="F128" s="43" t="n">
        <v>46202</v>
      </c>
      <c r="G128" s="42" t="inlineStr">
        <is>
          <t>TRN-01055</t>
        </is>
      </c>
      <c r="H128" s="41" t="inlineStr">
        <is>
          <t>Meridian Engineering Partners</t>
        </is>
      </c>
      <c r="I128" s="41" t="inlineStr">
        <is>
          <t>Code A – Approved</t>
        </is>
      </c>
      <c r="J128" s="43" t="n">
        <v>46222</v>
      </c>
      <c r="K128" s="42">
        <f>IF(J128="",TODAY()-F128,J128-F128)</f>
        <v/>
      </c>
      <c r="L128" s="41" t="inlineStr">
        <is>
          <t>Issue for construction</t>
        </is>
      </c>
      <c r="M128" s="41" t="inlineStr">
        <is>
          <t>\\DC\Civil\Method Statement\CTP-DHJ-CIV-MST-0001</t>
        </is>
      </c>
      <c r="O128">
        <f>IF(Search!$C$4="","",IF(ISNUMBER(SEARCH(Search!$C$4,A128&amp;" "&amp;B128&amp;" "&amp;C128&amp;" "&amp;D128&amp;" "&amp;G128&amp;" "&amp;I128)),ROW(),""))</f>
        <v/>
      </c>
    </row>
    <row r="129">
      <c r="A129" s="44" t="inlineStr">
        <is>
          <t>CTP-DHJ-HSE-CAL-0001</t>
        </is>
      </c>
      <c r="B129" s="44" t="inlineStr">
        <is>
          <t>Pump capacity</t>
        </is>
      </c>
      <c r="C129" s="45" t="inlineStr">
        <is>
          <t>Calculation</t>
        </is>
      </c>
      <c r="D129" s="44" t="inlineStr">
        <is>
          <t>HSE</t>
        </is>
      </c>
      <c r="E129" s="45" t="inlineStr">
        <is>
          <t>0</t>
        </is>
      </c>
      <c r="F129" s="46" t="n">
        <v>46202</v>
      </c>
      <c r="G129" s="45" t="inlineStr">
        <is>
          <t>TRN-01148</t>
        </is>
      </c>
      <c r="H129" s="44" t="inlineStr">
        <is>
          <t>Meridian Engineering Partners</t>
        </is>
      </c>
      <c r="I129" s="44" t="inlineStr">
        <is>
          <t>Code B – Approved with Comments</t>
        </is>
      </c>
      <c r="J129" s="46" t="n">
        <v>46221</v>
      </c>
      <c r="K129" s="45">
        <f>IF(J129="",TODAY()-F129,J129-F129)</f>
        <v/>
      </c>
      <c r="L129" s="44" t="inlineStr">
        <is>
          <t>Incorporate comments</t>
        </is>
      </c>
      <c r="M129" s="44" t="inlineStr">
        <is>
          <t>\\DC\HSE\Calculation\CTP-DHJ-HSE-CAL-0001</t>
        </is>
      </c>
      <c r="O129">
        <f>IF(Search!$C$4="","",IF(ISNUMBER(SEARCH(Search!$C$4,A129&amp;" "&amp;B129&amp;" "&amp;C129&amp;" "&amp;D129&amp;" "&amp;G129&amp;" "&amp;I129)),ROW(),""))</f>
        <v/>
      </c>
    </row>
    <row r="130">
      <c r="A130" s="41" t="inlineStr">
        <is>
          <t>CTP-DHJ-GEO-MAT-0007</t>
        </is>
      </c>
      <c r="B130" s="41" t="inlineStr">
        <is>
          <t>Grout admixture</t>
        </is>
      </c>
      <c r="C130" s="42" t="inlineStr">
        <is>
          <t>Material Submittal</t>
        </is>
      </c>
      <c r="D130" s="41" t="inlineStr">
        <is>
          <t>Geotechnical</t>
        </is>
      </c>
      <c r="E130" s="42" t="inlineStr">
        <is>
          <t>B</t>
        </is>
      </c>
      <c r="F130" s="43" t="n">
        <v>46202</v>
      </c>
      <c r="G130" s="42" t="inlineStr">
        <is>
          <t>TRN-01211</t>
        </is>
      </c>
      <c r="H130" s="41" t="inlineStr">
        <is>
          <t>Meridian Engineering Partners</t>
        </is>
      </c>
      <c r="I130" s="41" t="inlineStr">
        <is>
          <t>Code A – Approved</t>
        </is>
      </c>
      <c r="J130" s="43" t="n">
        <v>46222</v>
      </c>
      <c r="K130" s="42">
        <f>IF(J130="",TODAY()-F130,J130-F130)</f>
        <v/>
      </c>
      <c r="L130" s="41" t="inlineStr">
        <is>
          <t>Issue for construction</t>
        </is>
      </c>
      <c r="M130" s="41" t="inlineStr">
        <is>
          <t>\\DC\Geotechnical\Material Submittal\CTP-DHJ-GEO-MAT-0007</t>
        </is>
      </c>
      <c r="O130">
        <f>IF(Search!$C$4="","",IF(ISNUMBER(SEARCH(Search!$C$4,A130&amp;" "&amp;B130&amp;" "&amp;C130&amp;" "&amp;D130&amp;" "&amp;G130&amp;" "&amp;I130)),ROW(),""))</f>
        <v/>
      </c>
    </row>
    <row r="131">
      <c r="A131" s="44" t="inlineStr">
        <is>
          <t>CTP-DHJ-GEO-DWG-0014</t>
        </is>
      </c>
      <c r="B131" s="44" t="inlineStr">
        <is>
          <t>Shaft general arrangement</t>
        </is>
      </c>
      <c r="C131" s="45" t="inlineStr">
        <is>
          <t>Drawing</t>
        </is>
      </c>
      <c r="D131" s="44" t="inlineStr">
        <is>
          <t>Geotechnical</t>
        </is>
      </c>
      <c r="E131" s="45" t="inlineStr">
        <is>
          <t>B</t>
        </is>
      </c>
      <c r="F131" s="46" t="n">
        <v>46203</v>
      </c>
      <c r="G131" s="45" t="inlineStr">
        <is>
          <t>TRN-01234</t>
        </is>
      </c>
      <c r="H131" s="44" t="inlineStr">
        <is>
          <t>Meridian Engineering Partners</t>
        </is>
      </c>
      <c r="I131" s="44" t="inlineStr">
        <is>
          <t>Code D – Rejected</t>
        </is>
      </c>
      <c r="J131" s="46" t="n">
        <v>46214</v>
      </c>
      <c r="K131" s="45">
        <f>IF(J131="",TODAY()-F131,J131-F131)</f>
        <v/>
      </c>
      <c r="L131" s="44" t="inlineStr">
        <is>
          <t>Prepare new submission</t>
        </is>
      </c>
      <c r="M131" s="44" t="inlineStr">
        <is>
          <t>\\DC\Geotechnical\Drawing\CTP-DHJ-GEO-DWG-0014</t>
        </is>
      </c>
      <c r="O131">
        <f>IF(Search!$C$4="","",IF(ISNUMBER(SEARCH(Search!$C$4,A131&amp;" "&amp;B131&amp;" "&amp;C131&amp;" "&amp;D131&amp;" "&amp;G131&amp;" "&amp;I131)),ROW(),""))</f>
        <v/>
      </c>
    </row>
    <row r="132">
      <c r="A132" s="41" t="inlineStr">
        <is>
          <t>CTP-DHJ-MEP-DWG-0015</t>
        </is>
      </c>
      <c r="B132" s="41" t="inlineStr">
        <is>
          <t>Portal structure details</t>
        </is>
      </c>
      <c r="C132" s="42" t="inlineStr">
        <is>
          <t>Drawing</t>
        </is>
      </c>
      <c r="D132" s="41" t="inlineStr">
        <is>
          <t>MEP</t>
        </is>
      </c>
      <c r="E132" s="42" t="inlineStr">
        <is>
          <t>B</t>
        </is>
      </c>
      <c r="F132" s="43" t="n">
        <v>46204</v>
      </c>
      <c r="G132" s="42" t="inlineStr">
        <is>
          <t>TRN-01218</t>
        </is>
      </c>
      <c r="H132" s="41" t="inlineStr">
        <is>
          <t>Meridian Engineering Partners</t>
        </is>
      </c>
      <c r="I132" s="41" t="inlineStr">
        <is>
          <t>Code A – Approved</t>
        </is>
      </c>
      <c r="J132" s="43" t="n">
        <v>46225</v>
      </c>
      <c r="K132" s="42">
        <f>IF(J132="",TODAY()-F132,J132-F132)</f>
        <v/>
      </c>
      <c r="L132" s="41" t="inlineStr">
        <is>
          <t>Issue for construction</t>
        </is>
      </c>
      <c r="M132" s="41" t="inlineStr">
        <is>
          <t>\\DC\MEP\Drawing\CTP-DHJ-MEP-DWG-0015</t>
        </is>
      </c>
      <c r="O132">
        <f>IF(Search!$C$4="","",IF(ISNUMBER(SEARCH(Search!$C$4,A132&amp;" "&amp;B132&amp;" "&amp;C132&amp;" "&amp;D132&amp;" "&amp;G132&amp;" "&amp;I132)),ROW(),""))</f>
        <v/>
      </c>
    </row>
    <row r="133">
      <c r="A133" s="44" t="inlineStr">
        <is>
          <t>CTP-DHJ-HSE-MST-0003</t>
        </is>
      </c>
      <c r="B133" s="44" t="inlineStr">
        <is>
          <t>Annulus grouting</t>
        </is>
      </c>
      <c r="C133" s="45" t="inlineStr">
        <is>
          <t>Method Statement</t>
        </is>
      </c>
      <c r="D133" s="44" t="inlineStr">
        <is>
          <t>HSE</t>
        </is>
      </c>
      <c r="E133" s="45" t="inlineStr">
        <is>
          <t>A</t>
        </is>
      </c>
      <c r="F133" s="46" t="n">
        <v>46205</v>
      </c>
      <c r="G133" s="45" t="inlineStr">
        <is>
          <t>TRN-01018</t>
        </is>
      </c>
      <c r="H133" s="44" t="inlineStr">
        <is>
          <t>Meridian Engineering Partners</t>
        </is>
      </c>
      <c r="I133" s="44" t="inlineStr">
        <is>
          <t>Code C – Revise &amp; Resubmit</t>
        </is>
      </c>
      <c r="J133" s="46" t="n">
        <v>46222</v>
      </c>
      <c r="K133" s="45">
        <f>IF(J133="",TODAY()-F133,J133-F133)</f>
        <v/>
      </c>
      <c r="L133" s="44" t="inlineStr">
        <is>
          <t>Revise and resubmit</t>
        </is>
      </c>
      <c r="M133" s="44" t="inlineStr">
        <is>
          <t>\\DC\HSE\Method Statement\CTP-DHJ-HSE-MST-0003</t>
        </is>
      </c>
      <c r="O133">
        <f>IF(Search!$C$4="","",IF(ISNUMBER(SEARCH(Search!$C$4,A133&amp;" "&amp;B133&amp;" "&amp;C133&amp;" "&amp;D133&amp;" "&amp;G133&amp;" "&amp;I133)),ROW(),""))</f>
        <v/>
      </c>
    </row>
    <row r="134">
      <c r="A134" s="41" t="inlineStr">
        <is>
          <t>CTP-DHJ-GEO-DWG-0007</t>
        </is>
      </c>
      <c r="B134" s="41" t="inlineStr">
        <is>
          <t>Shaft general arrangement</t>
        </is>
      </c>
      <c r="C134" s="42" t="inlineStr">
        <is>
          <t>Drawing</t>
        </is>
      </c>
      <c r="D134" s="41" t="inlineStr">
        <is>
          <t>Geotechnical</t>
        </is>
      </c>
      <c r="E134" s="42" t="inlineStr">
        <is>
          <t>B</t>
        </is>
      </c>
      <c r="F134" s="43" t="n">
        <v>46205</v>
      </c>
      <c r="G134" s="42" t="inlineStr">
        <is>
          <t>TRN-01106</t>
        </is>
      </c>
      <c r="H134" s="41" t="inlineStr">
        <is>
          <t>Meridian Engineering Partners</t>
        </is>
      </c>
      <c r="I134" s="41" t="inlineStr">
        <is>
          <t>Code A – Approved</t>
        </is>
      </c>
      <c r="J134" s="43" t="n">
        <v>46220</v>
      </c>
      <c r="K134" s="42">
        <f>IF(J134="",TODAY()-F134,J134-F134)</f>
        <v/>
      </c>
      <c r="L134" s="41" t="inlineStr">
        <is>
          <t>Issue for construction</t>
        </is>
      </c>
      <c r="M134" s="41" t="inlineStr">
        <is>
          <t>\\DC\Geotechnical\Drawing\CTP-DHJ-GEO-DWG-0007</t>
        </is>
      </c>
      <c r="O134">
        <f>IF(Search!$C$4="","",IF(ISNUMBER(SEARCH(Search!$C$4,A134&amp;" "&amp;B134&amp;" "&amp;C134&amp;" "&amp;D134&amp;" "&amp;G134&amp;" "&amp;I134)),ROW(),""))</f>
        <v/>
      </c>
    </row>
    <row r="135">
      <c r="A135" s="44" t="inlineStr">
        <is>
          <t>CTP-DHJ-HSE-DWG-0003</t>
        </is>
      </c>
      <c r="B135" s="44" t="inlineStr">
        <is>
          <t>Cross passage reinforcement</t>
        </is>
      </c>
      <c r="C135" s="45" t="inlineStr">
        <is>
          <t>Drawing</t>
        </is>
      </c>
      <c r="D135" s="44" t="inlineStr">
        <is>
          <t>HSE</t>
        </is>
      </c>
      <c r="E135" s="45" t="inlineStr">
        <is>
          <t>B</t>
        </is>
      </c>
      <c r="F135" s="46" t="n">
        <v>46207</v>
      </c>
      <c r="G135" s="45" t="inlineStr">
        <is>
          <t>TRN-01022</t>
        </is>
      </c>
      <c r="H135" s="44" t="inlineStr">
        <is>
          <t>Meridian Engineering Partners</t>
        </is>
      </c>
      <c r="I135" s="44" t="inlineStr">
        <is>
          <t>Code A – Approved</t>
        </is>
      </c>
      <c r="J135" s="46" t="n">
        <v>46214</v>
      </c>
      <c r="K135" s="45">
        <f>IF(J135="",TODAY()-F135,J135-F135)</f>
        <v/>
      </c>
      <c r="L135" s="44" t="inlineStr">
        <is>
          <t>Issue for construction</t>
        </is>
      </c>
      <c r="M135" s="44" t="inlineStr">
        <is>
          <t>\\DC\HSE\Drawing\CTP-DHJ-HSE-DWG-0003</t>
        </is>
      </c>
      <c r="O135">
        <f>IF(Search!$C$4="","",IF(ISNUMBER(SEARCH(Search!$C$4,A135&amp;" "&amp;B135&amp;" "&amp;C135&amp;" "&amp;D135&amp;" "&amp;G135&amp;" "&amp;I135)),ROW(),""))</f>
        <v/>
      </c>
    </row>
    <row r="136">
      <c r="A136" s="41" t="inlineStr">
        <is>
          <t>CTP-DHJ-HSE-MAT-0006</t>
        </is>
      </c>
      <c r="B136" s="41" t="inlineStr">
        <is>
          <t>Rebar 16 mm</t>
        </is>
      </c>
      <c r="C136" s="42" t="inlineStr">
        <is>
          <t>Material Submittal</t>
        </is>
      </c>
      <c r="D136" s="41" t="inlineStr">
        <is>
          <t>HSE</t>
        </is>
      </c>
      <c r="E136" s="42" t="inlineStr">
        <is>
          <t>0</t>
        </is>
      </c>
      <c r="F136" s="43" t="n">
        <v>46208</v>
      </c>
      <c r="G136" s="42" t="inlineStr">
        <is>
          <t>TRN-01141</t>
        </is>
      </c>
      <c r="H136" s="41" t="inlineStr">
        <is>
          <t>Meridian Engineering Partners</t>
        </is>
      </c>
      <c r="I136" s="41" t="inlineStr">
        <is>
          <t>Code A – Approved</t>
        </is>
      </c>
      <c r="J136" s="43" t="n">
        <v>46223</v>
      </c>
      <c r="K136" s="42">
        <f>IF(J136="",TODAY()-F136,J136-F136)</f>
        <v/>
      </c>
      <c r="L136" s="41" t="inlineStr">
        <is>
          <t>Issue for construction</t>
        </is>
      </c>
      <c r="M136" s="41" t="inlineStr">
        <is>
          <t>\\DC\HSE\Material Submittal\CTP-DHJ-HSE-MAT-0006</t>
        </is>
      </c>
      <c r="O136">
        <f>IF(Search!$C$4="","",IF(ISNUMBER(SEARCH(Search!$C$4,A136&amp;" "&amp;B136&amp;" "&amp;C136&amp;" "&amp;D136&amp;" "&amp;G136&amp;" "&amp;I136)),ROW(),""))</f>
        <v/>
      </c>
    </row>
    <row r="137">
      <c r="A137" s="44" t="inlineStr">
        <is>
          <t>CTP-DHJ-GEO-PRC-0004</t>
        </is>
      </c>
      <c r="B137" s="44" t="inlineStr">
        <is>
          <t>NCR handling</t>
        </is>
      </c>
      <c r="C137" s="45" t="inlineStr">
        <is>
          <t>Procedure</t>
        </is>
      </c>
      <c r="D137" s="44" t="inlineStr">
        <is>
          <t>Geotechnical</t>
        </is>
      </c>
      <c r="E137" s="45" t="inlineStr">
        <is>
          <t>B</t>
        </is>
      </c>
      <c r="F137" s="46" t="n">
        <v>46209</v>
      </c>
      <c r="G137" s="45" t="inlineStr">
        <is>
          <t>TRN-01225</t>
        </is>
      </c>
      <c r="H137" s="44" t="inlineStr">
        <is>
          <t>Meridian Engineering Partners</t>
        </is>
      </c>
      <c r="I137" s="44" t="inlineStr">
        <is>
          <t>Code B – Approved with Comments</t>
        </is>
      </c>
      <c r="J137" s="46" t="n">
        <v>46219</v>
      </c>
      <c r="K137" s="45">
        <f>IF(J137="",TODAY()-F137,J137-F137)</f>
        <v/>
      </c>
      <c r="L137" s="44" t="inlineStr">
        <is>
          <t>Incorporate comments</t>
        </is>
      </c>
      <c r="M137" s="44" t="inlineStr">
        <is>
          <t>\\DC\Geotechnical\Procedure\CTP-DHJ-GEO-PRC-0004</t>
        </is>
      </c>
      <c r="O137">
        <f>IF(Search!$C$4="","",IF(ISNUMBER(SEARCH(Search!$C$4,A137&amp;" "&amp;B137&amp;" "&amp;C137&amp;" "&amp;D137&amp;" "&amp;G137&amp;" "&amp;I137)),ROW(),""))</f>
        <v/>
      </c>
    </row>
    <row r="138">
      <c r="A138" s="41" t="inlineStr">
        <is>
          <t>CTP-DHJ-TUN-DWG-0006</t>
        </is>
      </c>
      <c r="B138" s="41" t="inlineStr">
        <is>
          <t>Shaft general arrangement</t>
        </is>
      </c>
      <c r="C138" s="42" t="inlineStr">
        <is>
          <t>Drawing</t>
        </is>
      </c>
      <c r="D138" s="41" t="inlineStr">
        <is>
          <t>Tunnelling</t>
        </is>
      </c>
      <c r="E138" s="42" t="inlineStr">
        <is>
          <t>B</t>
        </is>
      </c>
      <c r="F138" s="43" t="n">
        <v>46210</v>
      </c>
      <c r="G138" s="42" t="inlineStr">
        <is>
          <t>TRN-01101</t>
        </is>
      </c>
      <c r="H138" s="41" t="inlineStr">
        <is>
          <t>Meridian Engineering Partners</t>
        </is>
      </c>
      <c r="I138" s="41" t="inlineStr">
        <is>
          <t>Code C – Revise &amp; Resubmit</t>
        </is>
      </c>
      <c r="J138" s="43" t="n">
        <v>46223</v>
      </c>
      <c r="K138" s="42">
        <f>IF(J138="",TODAY()-F138,J138-F138)</f>
        <v/>
      </c>
      <c r="L138" s="41" t="inlineStr">
        <is>
          <t>Revise and resubmit</t>
        </is>
      </c>
      <c r="M138" s="41" t="inlineStr">
        <is>
          <t>\\DC\Tunnelling\Drawing\CTP-DHJ-TUN-DWG-0006</t>
        </is>
      </c>
      <c r="O138">
        <f>IF(Search!$C$4="","",IF(ISNUMBER(SEARCH(Search!$C$4,A138&amp;" "&amp;B138&amp;" "&amp;C138&amp;" "&amp;D138&amp;" "&amp;G138&amp;" "&amp;I138)),ROW(),""))</f>
        <v/>
      </c>
    </row>
    <row r="139">
      <c r="A139" s="44" t="inlineStr">
        <is>
          <t>CTP-DHJ-CIV-DWG-0005</t>
        </is>
      </c>
      <c r="B139" s="44" t="inlineStr">
        <is>
          <t>Segment ring layout</t>
        </is>
      </c>
      <c r="C139" s="45" t="inlineStr">
        <is>
          <t>Drawing</t>
        </is>
      </c>
      <c r="D139" s="44" t="inlineStr">
        <is>
          <t>Civil</t>
        </is>
      </c>
      <c r="E139" s="45" t="inlineStr">
        <is>
          <t>B</t>
        </is>
      </c>
      <c r="F139" s="46" t="n">
        <v>46210</v>
      </c>
      <c r="G139" s="45" t="inlineStr">
        <is>
          <t>TRN-01103</t>
        </is>
      </c>
      <c r="H139" s="44" t="inlineStr">
        <is>
          <t>Meridian Engineering Partners</t>
        </is>
      </c>
      <c r="I139" s="44" t="inlineStr">
        <is>
          <t>Code D – Rejected</t>
        </is>
      </c>
      <c r="J139" s="46" t="n">
        <v>46216</v>
      </c>
      <c r="K139" s="45">
        <f>IF(J139="",TODAY()-F139,J139-F139)</f>
        <v/>
      </c>
      <c r="L139" s="44" t="inlineStr">
        <is>
          <t>Prepare new submission</t>
        </is>
      </c>
      <c r="M139" s="44" t="inlineStr">
        <is>
          <t>\\DC\Civil\Drawing\CTP-DHJ-CIV-DWG-0005</t>
        </is>
      </c>
      <c r="O139">
        <f>IF(Search!$C$4="","",IF(ISNUMBER(SEARCH(Search!$C$4,A139&amp;" "&amp;B139&amp;" "&amp;C139&amp;" "&amp;D139&amp;" "&amp;G139&amp;" "&amp;I139)),ROW(),""))</f>
        <v/>
      </c>
    </row>
    <row r="140">
      <c r="A140" s="41" t="inlineStr">
        <is>
          <t>CTP-DHJ-HSE-DWG-0010</t>
        </is>
      </c>
      <c r="B140" s="41" t="inlineStr">
        <is>
          <t>Cross passage reinforcement</t>
        </is>
      </c>
      <c r="C140" s="42" t="inlineStr">
        <is>
          <t>Drawing</t>
        </is>
      </c>
      <c r="D140" s="41" t="inlineStr">
        <is>
          <t>HSE</t>
        </is>
      </c>
      <c r="E140" s="42" t="inlineStr">
        <is>
          <t>B</t>
        </is>
      </c>
      <c r="F140" s="43" t="n">
        <v>46210</v>
      </c>
      <c r="G140" s="42" t="inlineStr">
        <is>
          <t>TRN-01157</t>
        </is>
      </c>
      <c r="H140" s="41" t="inlineStr">
        <is>
          <t>Meridian Engineering Partners</t>
        </is>
      </c>
      <c r="I140" s="41" t="inlineStr">
        <is>
          <t>Code A – Approved</t>
        </is>
      </c>
      <c r="J140" s="43" t="n">
        <v>46231</v>
      </c>
      <c r="K140" s="42">
        <f>IF(J140="",TODAY()-F140,J140-F140)</f>
        <v/>
      </c>
      <c r="L140" s="41" t="inlineStr">
        <is>
          <t>Issue for construction</t>
        </is>
      </c>
      <c r="M140" s="41" t="inlineStr">
        <is>
          <t>\\DC\HSE\Drawing\CTP-DHJ-HSE-DWG-0010</t>
        </is>
      </c>
      <c r="O140">
        <f>IF(Search!$C$4="","",IF(ISNUMBER(SEARCH(Search!$C$4,A140&amp;" "&amp;B140&amp;" "&amp;C140&amp;" "&amp;D140&amp;" "&amp;G140&amp;" "&amp;I140)),ROW(),""))</f>
        <v/>
      </c>
    </row>
    <row r="141">
      <c r="A141" s="44" t="inlineStr">
        <is>
          <t>CTP-DHJ-CIV-MAT-0007</t>
        </is>
      </c>
      <c r="B141" s="44" t="inlineStr">
        <is>
          <t>Rebar 16 mm</t>
        </is>
      </c>
      <c r="C141" s="45" t="inlineStr">
        <is>
          <t>Material Submittal</t>
        </is>
      </c>
      <c r="D141" s="44" t="inlineStr">
        <is>
          <t>Civil</t>
        </is>
      </c>
      <c r="E141" s="45" t="inlineStr">
        <is>
          <t>0</t>
        </is>
      </c>
      <c r="F141" s="46" t="n">
        <v>46211</v>
      </c>
      <c r="G141" s="45" t="inlineStr">
        <is>
          <t>TRN-01080</t>
        </is>
      </c>
      <c r="H141" s="44" t="inlineStr">
        <is>
          <t>Meridian Engineering Partners</t>
        </is>
      </c>
      <c r="I141" s="44" t="inlineStr">
        <is>
          <t>Code B – Approved with Comments</t>
        </is>
      </c>
      <c r="J141" s="46" t="n">
        <v>46224</v>
      </c>
      <c r="K141" s="45">
        <f>IF(J141="",TODAY()-F141,J141-F141)</f>
        <v/>
      </c>
      <c r="L141" s="44" t="inlineStr">
        <is>
          <t>Incorporate comments</t>
        </is>
      </c>
      <c r="M141" s="44" t="inlineStr">
        <is>
          <t>\\DC\Civil\Material Submittal\CTP-DHJ-CIV-MAT-0007</t>
        </is>
      </c>
      <c r="O141">
        <f>IF(Search!$C$4="","",IF(ISNUMBER(SEARCH(Search!$C$4,A141&amp;" "&amp;B141&amp;" "&amp;C141&amp;" "&amp;D141&amp;" "&amp;G141&amp;" "&amp;I141)),ROW(),""))</f>
        <v/>
      </c>
    </row>
    <row r="142">
      <c r="A142" s="41" t="inlineStr">
        <is>
          <t>CTP-DHJ-TUN-MAT-0002</t>
        </is>
      </c>
      <c r="B142" s="41" t="inlineStr">
        <is>
          <t>Fire-rated cables</t>
        </is>
      </c>
      <c r="C142" s="42" t="inlineStr">
        <is>
          <t>Material Submittal</t>
        </is>
      </c>
      <c r="D142" s="41" t="inlineStr">
        <is>
          <t>Tunnelling</t>
        </is>
      </c>
      <c r="E142" s="42" t="inlineStr">
        <is>
          <t>0</t>
        </is>
      </c>
      <c r="F142" s="43" t="n">
        <v>46213</v>
      </c>
      <c r="G142" s="42" t="inlineStr">
        <is>
          <t>TRN-01079</t>
        </is>
      </c>
      <c r="H142" s="41" t="inlineStr">
        <is>
          <t>Meridian Engineering Partners</t>
        </is>
      </c>
      <c r="I142" s="41" t="inlineStr">
        <is>
          <t>Code B – Approved with Comments</t>
        </is>
      </c>
      <c r="J142" s="43" t="n">
        <v>46220</v>
      </c>
      <c r="K142" s="42">
        <f>IF(J142="",TODAY()-F142,J142-F142)</f>
        <v/>
      </c>
      <c r="L142" s="41" t="inlineStr">
        <is>
          <t>Incorporate comments</t>
        </is>
      </c>
      <c r="M142" s="41" t="inlineStr">
        <is>
          <t>\\DC\Tunnelling\Material Submittal\CTP-DHJ-TUN-MAT-0002</t>
        </is>
      </c>
      <c r="O142">
        <f>IF(Search!$C$4="","",IF(ISNUMBER(SEARCH(Search!$C$4,A142&amp;" "&amp;B142&amp;" "&amp;C142&amp;" "&amp;D142&amp;" "&amp;G142&amp;" "&amp;I142)),ROW(),""))</f>
        <v/>
      </c>
    </row>
    <row r="143">
      <c r="A143" s="44" t="inlineStr">
        <is>
          <t>CTP-DHJ-CIV-MAT-0001</t>
        </is>
      </c>
      <c r="B143" s="44" t="inlineStr">
        <is>
          <t>Precast segment gaskets</t>
        </is>
      </c>
      <c r="C143" s="45" t="inlineStr">
        <is>
          <t>Material Submittal</t>
        </is>
      </c>
      <c r="D143" s="44" t="inlineStr">
        <is>
          <t>Civil</t>
        </is>
      </c>
      <c r="E143" s="45" t="inlineStr">
        <is>
          <t>0</t>
        </is>
      </c>
      <c r="F143" s="46" t="n">
        <v>46214</v>
      </c>
      <c r="G143" s="45" t="inlineStr">
        <is>
          <t>TRN-01005</t>
        </is>
      </c>
      <c r="H143" s="44" t="inlineStr">
        <is>
          <t>Meridian Engineering Partners</t>
        </is>
      </c>
      <c r="I143" s="44" t="inlineStr">
        <is>
          <t>Code A – Approved</t>
        </is>
      </c>
      <c r="J143" s="46" t="n">
        <v>46234</v>
      </c>
      <c r="K143" s="45">
        <f>IF(J143="",TODAY()-F143,J143-F143)</f>
        <v/>
      </c>
      <c r="L143" s="44" t="inlineStr">
        <is>
          <t>Issue for construction</t>
        </is>
      </c>
      <c r="M143" s="44" t="inlineStr">
        <is>
          <t>\\DC\Civil\Material Submittal\CTP-DHJ-CIV-MAT-0001</t>
        </is>
      </c>
      <c r="O143">
        <f>IF(Search!$C$4="","",IF(ISNUMBER(SEARCH(Search!$C$4,A143&amp;" "&amp;B143&amp;" "&amp;C143&amp;" "&amp;D143&amp;" "&amp;G143&amp;" "&amp;I143)),ROW(),""))</f>
        <v/>
      </c>
    </row>
    <row r="144">
      <c r="A144" s="41" t="inlineStr">
        <is>
          <t>CTP-DHJ-CIV-MAT-0003</t>
        </is>
      </c>
      <c r="B144" s="41" t="inlineStr">
        <is>
          <t>Fire-rated cables</t>
        </is>
      </c>
      <c r="C144" s="42" t="inlineStr">
        <is>
          <t>Material Submittal</t>
        </is>
      </c>
      <c r="D144" s="41" t="inlineStr">
        <is>
          <t>Civil</t>
        </is>
      </c>
      <c r="E144" s="42" t="inlineStr">
        <is>
          <t>0</t>
        </is>
      </c>
      <c r="F144" s="43" t="n">
        <v>46214</v>
      </c>
      <c r="G144" s="42" t="inlineStr">
        <is>
          <t>TRN-01036</t>
        </is>
      </c>
      <c r="H144" s="41" t="inlineStr">
        <is>
          <t>Meridian Engineering Partners</t>
        </is>
      </c>
      <c r="I144" s="41" t="inlineStr">
        <is>
          <t>Code A – Approved</t>
        </is>
      </c>
      <c r="J144" s="43" t="n">
        <v>46233</v>
      </c>
      <c r="K144" s="42">
        <f>IF(J144="",TODAY()-F144,J144-F144)</f>
        <v/>
      </c>
      <c r="L144" s="41" t="inlineStr">
        <is>
          <t>Issue for construction</t>
        </is>
      </c>
      <c r="M144" s="41" t="inlineStr">
        <is>
          <t>\\DC\Civil\Material Submittal\CTP-DHJ-CIV-MAT-0003</t>
        </is>
      </c>
      <c r="O144">
        <f>IF(Search!$C$4="","",IF(ISNUMBER(SEARCH(Search!$C$4,A144&amp;" "&amp;B144&amp;" "&amp;C144&amp;" "&amp;D144&amp;" "&amp;G144&amp;" "&amp;I144)),ROW(),""))</f>
        <v/>
      </c>
    </row>
    <row r="145">
      <c r="A145" s="44" t="inlineStr">
        <is>
          <t>CTP-DHJ-QAQ-DWG-0004</t>
        </is>
      </c>
      <c r="B145" s="44" t="inlineStr">
        <is>
          <t>Segment ring layout</t>
        </is>
      </c>
      <c r="C145" s="45" t="inlineStr">
        <is>
          <t>Drawing</t>
        </is>
      </c>
      <c r="D145" s="44" t="inlineStr">
        <is>
          <t>Quality</t>
        </is>
      </c>
      <c r="E145" s="45" t="inlineStr">
        <is>
          <t>0</t>
        </is>
      </c>
      <c r="F145" s="46" t="n">
        <v>46214</v>
      </c>
      <c r="G145" s="45" t="inlineStr">
        <is>
          <t>TRN-01115</t>
        </is>
      </c>
      <c r="H145" s="44" t="inlineStr">
        <is>
          <t>Meridian Engineering Partners</t>
        </is>
      </c>
      <c r="I145" s="44" t="inlineStr">
        <is>
          <t>Code A – Approved</t>
        </is>
      </c>
      <c r="J145" s="46" t="n">
        <v>46230</v>
      </c>
      <c r="K145" s="45">
        <f>IF(J145="",TODAY()-F145,J145-F145)</f>
        <v/>
      </c>
      <c r="L145" s="44" t="inlineStr">
        <is>
          <t>Issue for construction</t>
        </is>
      </c>
      <c r="M145" s="44" t="inlineStr">
        <is>
          <t>\\DC\Quality\Drawing\CTP-DHJ-QAQ-DWG-0004</t>
        </is>
      </c>
      <c r="O145">
        <f>IF(Search!$C$4="","",IF(ISNUMBER(SEARCH(Search!$C$4,A145&amp;" "&amp;B145&amp;" "&amp;C145&amp;" "&amp;D145&amp;" "&amp;G145&amp;" "&amp;I145)),ROW(),""))</f>
        <v/>
      </c>
    </row>
    <row r="146">
      <c r="A146" s="41" t="inlineStr">
        <is>
          <t>CTP-DHJ-CIV-RPT-0002</t>
        </is>
      </c>
      <c r="B146" s="41" t="inlineStr">
        <is>
          <t>Monthly settlement monitoring</t>
        </is>
      </c>
      <c r="C146" s="42" t="inlineStr">
        <is>
          <t>Inspection Report</t>
        </is>
      </c>
      <c r="D146" s="41" t="inlineStr">
        <is>
          <t>Civil</t>
        </is>
      </c>
      <c r="E146" s="42" t="inlineStr">
        <is>
          <t>B</t>
        </is>
      </c>
      <c r="F146" s="43" t="n">
        <v>46214</v>
      </c>
      <c r="G146" s="42" t="inlineStr">
        <is>
          <t>TRN-01118</t>
        </is>
      </c>
      <c r="H146" s="41" t="inlineStr">
        <is>
          <t>Meridian Engineering Partners</t>
        </is>
      </c>
      <c r="I146" s="41" t="inlineStr">
        <is>
          <t>Code A – Approved</t>
        </is>
      </c>
      <c r="J146" s="43" t="n">
        <v>46228</v>
      </c>
      <c r="K146" s="42">
        <f>IF(J146="",TODAY()-F146,J146-F146)</f>
        <v/>
      </c>
      <c r="L146" s="41" t="inlineStr">
        <is>
          <t>Issue for construction</t>
        </is>
      </c>
      <c r="M146" s="41" t="inlineStr">
        <is>
          <t>\\DC\Civil\Inspection Report\CTP-DHJ-CIV-RPT-0002</t>
        </is>
      </c>
      <c r="O146">
        <f>IF(Search!$C$4="","",IF(ISNUMBER(SEARCH(Search!$C$4,A146&amp;" "&amp;B146&amp;" "&amp;C146&amp;" "&amp;D146&amp;" "&amp;G146&amp;" "&amp;I146)),ROW(),""))</f>
        <v/>
      </c>
    </row>
    <row r="147">
      <c r="A147" s="44" t="inlineStr">
        <is>
          <t>CTP-DHJ-GEO-MST-0006</t>
        </is>
      </c>
      <c r="B147" s="44" t="inlineStr">
        <is>
          <t>TBM launching</t>
        </is>
      </c>
      <c r="C147" s="45" t="inlineStr">
        <is>
          <t>Method Statement</t>
        </is>
      </c>
      <c r="D147" s="44" t="inlineStr">
        <is>
          <t>Geotechnical</t>
        </is>
      </c>
      <c r="E147" s="45" t="inlineStr">
        <is>
          <t>B</t>
        </is>
      </c>
      <c r="F147" s="46" t="n">
        <v>46215</v>
      </c>
      <c r="G147" s="45" t="inlineStr">
        <is>
          <t>TRN-01166</t>
        </is>
      </c>
      <c r="H147" s="44" t="inlineStr">
        <is>
          <t>Meridian Engineering Partners</t>
        </is>
      </c>
      <c r="I147" s="44" t="inlineStr">
        <is>
          <t>Code A – Approved</t>
        </is>
      </c>
      <c r="J147" s="46" t="n">
        <v>46230</v>
      </c>
      <c r="K147" s="45">
        <f>IF(J147="",TODAY()-F147,J147-F147)</f>
        <v/>
      </c>
      <c r="L147" s="44" t="inlineStr">
        <is>
          <t>Issue for construction</t>
        </is>
      </c>
      <c r="M147" s="44" t="inlineStr">
        <is>
          <t>\\DC\Geotechnical\Method Statement\CTP-DHJ-GEO-MST-0006</t>
        </is>
      </c>
      <c r="O147">
        <f>IF(Search!$C$4="","",IF(ISNUMBER(SEARCH(Search!$C$4,A147&amp;" "&amp;B147&amp;" "&amp;C147&amp;" "&amp;D147&amp;" "&amp;G147&amp;" "&amp;I147)),ROW(),""))</f>
        <v/>
      </c>
    </row>
    <row r="148">
      <c r="A148" s="41" t="inlineStr">
        <is>
          <t>CTP-DHJ-HSE-RPT-0003</t>
        </is>
      </c>
      <c r="B148" s="41" t="inlineStr">
        <is>
          <t>Air quality monitoring</t>
        </is>
      </c>
      <c r="C148" s="42" t="inlineStr">
        <is>
          <t>Inspection Report</t>
        </is>
      </c>
      <c r="D148" s="41" t="inlineStr">
        <is>
          <t>HSE</t>
        </is>
      </c>
      <c r="E148" s="42" t="inlineStr">
        <is>
          <t>1</t>
        </is>
      </c>
      <c r="F148" s="43" t="n">
        <v>46216</v>
      </c>
      <c r="G148" s="42" t="inlineStr">
        <is>
          <t>TRN-01058</t>
        </is>
      </c>
      <c r="H148" s="41" t="inlineStr">
        <is>
          <t>Meridian Engineering Partners</t>
        </is>
      </c>
      <c r="I148" s="41" t="inlineStr">
        <is>
          <t>Code A – Approved</t>
        </is>
      </c>
      <c r="J148" s="43" t="n">
        <v>46227</v>
      </c>
      <c r="K148" s="42">
        <f>IF(J148="",TODAY()-F148,J148-F148)</f>
        <v/>
      </c>
      <c r="L148" s="41" t="inlineStr">
        <is>
          <t>Issue for construction</t>
        </is>
      </c>
      <c r="M148" s="41" t="inlineStr">
        <is>
          <t>\\DC\HSE\Inspection Report\CTP-DHJ-HSE-RPT-0003</t>
        </is>
      </c>
      <c r="O148">
        <f>IF(Search!$C$4="","",IF(ISNUMBER(SEARCH(Search!$C$4,A148&amp;" "&amp;B148&amp;" "&amp;C148&amp;" "&amp;D148&amp;" "&amp;G148&amp;" "&amp;I148)),ROW(),""))</f>
        <v/>
      </c>
    </row>
    <row r="149">
      <c r="A149" s="44" t="inlineStr">
        <is>
          <t>CTP-DHJ-HSE-MAT-0008</t>
        </is>
      </c>
      <c r="B149" s="44" t="inlineStr">
        <is>
          <t>Rebar 16 mm</t>
        </is>
      </c>
      <c r="C149" s="45" t="inlineStr">
        <is>
          <t>Material Submittal</t>
        </is>
      </c>
      <c r="D149" s="44" t="inlineStr">
        <is>
          <t>HSE</t>
        </is>
      </c>
      <c r="E149" s="45" t="inlineStr">
        <is>
          <t>0</t>
        </is>
      </c>
      <c r="F149" s="46" t="n">
        <v>46217</v>
      </c>
      <c r="G149" s="45" t="inlineStr">
        <is>
          <t>TRN-01154</t>
        </is>
      </c>
      <c r="H149" s="44" t="inlineStr">
        <is>
          <t>Meridian Engineering Partners</t>
        </is>
      </c>
      <c r="I149" s="44" t="inlineStr">
        <is>
          <t>Code A – Approved</t>
        </is>
      </c>
      <c r="J149" s="46" t="n">
        <v>46228</v>
      </c>
      <c r="K149" s="45">
        <f>IF(J149="",TODAY()-F149,J149-F149)</f>
        <v/>
      </c>
      <c r="L149" s="44" t="inlineStr">
        <is>
          <t>Issue for construction</t>
        </is>
      </c>
      <c r="M149" s="44" t="inlineStr">
        <is>
          <t>\\DC\HSE\Material Submittal\CTP-DHJ-HSE-MAT-0008</t>
        </is>
      </c>
      <c r="O149">
        <f>IF(Search!$C$4="","",IF(ISNUMBER(SEARCH(Search!$C$4,A149&amp;" "&amp;B149&amp;" "&amp;C149&amp;" "&amp;D149&amp;" "&amp;G149&amp;" "&amp;I149)),ROW(),""))</f>
        <v/>
      </c>
    </row>
    <row r="150">
      <c r="A150" s="41" t="inlineStr">
        <is>
          <t>CTP-DHJ-TUN-DWG-0011</t>
        </is>
      </c>
      <c r="B150" s="41" t="inlineStr">
        <is>
          <t>Drainage layout</t>
        </is>
      </c>
      <c r="C150" s="42" t="inlineStr">
        <is>
          <t>Drawing</t>
        </is>
      </c>
      <c r="D150" s="41" t="inlineStr">
        <is>
          <t>Tunnelling</t>
        </is>
      </c>
      <c r="E150" s="42" t="inlineStr">
        <is>
          <t>0</t>
        </is>
      </c>
      <c r="F150" s="43" t="n">
        <v>46224</v>
      </c>
      <c r="G150" s="42" t="inlineStr">
        <is>
          <t>TRN-01192</t>
        </is>
      </c>
      <c r="H150" s="41" t="inlineStr">
        <is>
          <t>Meridian Engineering Partners</t>
        </is>
      </c>
      <c r="I150" s="41" t="inlineStr">
        <is>
          <t>Code B – Approved with Comments</t>
        </is>
      </c>
      <c r="J150" s="43" t="n">
        <v>46239</v>
      </c>
      <c r="K150" s="42">
        <f>IF(J150="",TODAY()-F150,J150-F150)</f>
        <v/>
      </c>
      <c r="L150" s="41" t="inlineStr">
        <is>
          <t>Incorporate comments</t>
        </is>
      </c>
      <c r="M150" s="41" t="inlineStr">
        <is>
          <t>\\DC\Tunnelling\Drawing\CTP-DHJ-TUN-DWG-0011</t>
        </is>
      </c>
      <c r="O150">
        <f>IF(Search!$C$4="","",IF(ISNUMBER(SEARCH(Search!$C$4,A150&amp;" "&amp;B150&amp;" "&amp;C150&amp;" "&amp;D150&amp;" "&amp;G150&amp;" "&amp;I150)),ROW(),""))</f>
        <v/>
      </c>
    </row>
    <row r="151">
      <c r="A151" s="44" t="inlineStr">
        <is>
          <t>CTP-DHJ-QAQ-DWG-0009</t>
        </is>
      </c>
      <c r="B151" s="44" t="inlineStr">
        <is>
          <t>Segment ring layout</t>
        </is>
      </c>
      <c r="C151" s="45" t="inlineStr">
        <is>
          <t>Drawing</t>
        </is>
      </c>
      <c r="D151" s="44" t="inlineStr">
        <is>
          <t>Quality</t>
        </is>
      </c>
      <c r="E151" s="45" t="inlineStr">
        <is>
          <t>B</t>
        </is>
      </c>
      <c r="F151" s="46" t="n">
        <v>46225</v>
      </c>
      <c r="G151" s="45" t="inlineStr">
        <is>
          <t>TRN-01182</t>
        </is>
      </c>
      <c r="H151" s="44" t="inlineStr">
        <is>
          <t>Meridian Engineering Partners</t>
        </is>
      </c>
      <c r="I151" s="44" t="inlineStr">
        <is>
          <t>Code A – Approved</t>
        </is>
      </c>
      <c r="J151" s="46" t="n">
        <v>46236</v>
      </c>
      <c r="K151" s="45">
        <f>IF(J151="",TODAY()-F151,J151-F151)</f>
        <v/>
      </c>
      <c r="L151" s="44" t="inlineStr">
        <is>
          <t>Issue for construction</t>
        </is>
      </c>
      <c r="M151" s="44" t="inlineStr">
        <is>
          <t>\\DC\Quality\Drawing\CTP-DHJ-QAQ-DWG-0009</t>
        </is>
      </c>
      <c r="O151">
        <f>IF(Search!$C$4="","",IF(ISNUMBER(SEARCH(Search!$C$4,A151&amp;" "&amp;B151&amp;" "&amp;C151&amp;" "&amp;D151&amp;" "&amp;G151&amp;" "&amp;I151)),ROW(),""))</f>
        <v/>
      </c>
    </row>
    <row r="152">
      <c r="A152" s="41" t="inlineStr">
        <is>
          <t>CTP-DHJ-QAQ-MAT-0003</t>
        </is>
      </c>
      <c r="B152" s="41" t="inlineStr">
        <is>
          <t>Grout admixture</t>
        </is>
      </c>
      <c r="C152" s="42" t="inlineStr">
        <is>
          <t>Material Submittal</t>
        </is>
      </c>
      <c r="D152" s="41" t="inlineStr">
        <is>
          <t>Quality</t>
        </is>
      </c>
      <c r="E152" s="42" t="inlineStr">
        <is>
          <t>B</t>
        </is>
      </c>
      <c r="F152" s="43" t="n">
        <v>46226</v>
      </c>
      <c r="G152" s="42" t="inlineStr">
        <is>
          <t>TRN-01102</t>
        </is>
      </c>
      <c r="H152" s="41" t="inlineStr">
        <is>
          <t>Meridian Engineering Partners</t>
        </is>
      </c>
      <c r="I152" s="41" t="inlineStr">
        <is>
          <t>Code B – Approved with Comments</t>
        </is>
      </c>
      <c r="J152" s="43" t="n">
        <v>46239</v>
      </c>
      <c r="K152" s="42">
        <f>IF(J152="",TODAY()-F152,J152-F152)</f>
        <v/>
      </c>
      <c r="L152" s="41" t="inlineStr">
        <is>
          <t>Incorporate comments</t>
        </is>
      </c>
      <c r="M152" s="41" t="inlineStr">
        <is>
          <t>\\DC\Quality\Material Submittal\CTP-DHJ-QAQ-MAT-0003</t>
        </is>
      </c>
      <c r="O152">
        <f>IF(Search!$C$4="","",IF(ISNUMBER(SEARCH(Search!$C$4,A152&amp;" "&amp;B152&amp;" "&amp;C152&amp;" "&amp;D152&amp;" "&amp;G152&amp;" "&amp;I152)),ROW(),""))</f>
        <v/>
      </c>
    </row>
    <row r="153">
      <c r="A153" s="44" t="inlineStr">
        <is>
          <t>CTP-DHJ-HSE-MAT-0005</t>
        </is>
      </c>
      <c r="B153" s="44" t="inlineStr">
        <is>
          <t>Rebar 16 mm</t>
        </is>
      </c>
      <c r="C153" s="45" t="inlineStr">
        <is>
          <t>Material Submittal</t>
        </is>
      </c>
      <c r="D153" s="44" t="inlineStr">
        <is>
          <t>HSE</t>
        </is>
      </c>
      <c r="E153" s="45" t="inlineStr">
        <is>
          <t>A</t>
        </is>
      </c>
      <c r="F153" s="46" t="n">
        <v>46226</v>
      </c>
      <c r="G153" s="45" t="inlineStr">
        <is>
          <t>TRN-01117</t>
        </is>
      </c>
      <c r="H153" s="44" t="inlineStr">
        <is>
          <t>Meridian Engineering Partners</t>
        </is>
      </c>
      <c r="I153" s="44" t="inlineStr">
        <is>
          <t>Code A – Approved</t>
        </is>
      </c>
      <c r="J153" s="46" t="n">
        <v>46245</v>
      </c>
      <c r="K153" s="45">
        <f>IF(J153="",TODAY()-F153,J153-F153)</f>
        <v/>
      </c>
      <c r="L153" s="44" t="inlineStr">
        <is>
          <t>Issue for construction</t>
        </is>
      </c>
      <c r="M153" s="44" t="inlineStr">
        <is>
          <t>\\DC\HSE\Material Submittal\CTP-DHJ-HSE-MAT-0005</t>
        </is>
      </c>
      <c r="O153">
        <f>IF(Search!$C$4="","",IF(ISNUMBER(SEARCH(Search!$C$4,A153&amp;" "&amp;B153&amp;" "&amp;C153&amp;" "&amp;D153&amp;" "&amp;G153&amp;" "&amp;I153)),ROW(),""))</f>
        <v/>
      </c>
    </row>
    <row r="154">
      <c r="A154" s="41" t="inlineStr">
        <is>
          <t>CTP-DHJ-GEO-MST-0008</t>
        </is>
      </c>
      <c r="B154" s="41" t="inlineStr">
        <is>
          <t>Waterproofing installation</t>
        </is>
      </c>
      <c r="C154" s="42" t="inlineStr">
        <is>
          <t>Method Statement</t>
        </is>
      </c>
      <c r="D154" s="41" t="inlineStr">
        <is>
          <t>Geotechnical</t>
        </is>
      </c>
      <c r="E154" s="42" t="inlineStr">
        <is>
          <t>B</t>
        </is>
      </c>
      <c r="F154" s="43" t="n">
        <v>46226</v>
      </c>
      <c r="G154" s="42" t="inlineStr">
        <is>
          <t>TRN-01230</t>
        </is>
      </c>
      <c r="H154" s="41" t="inlineStr">
        <is>
          <t>Meridian Engineering Partners</t>
        </is>
      </c>
      <c r="I154" s="41" t="inlineStr">
        <is>
          <t>Code A – Approved</t>
        </is>
      </c>
      <c r="J154" s="43" t="n">
        <v>46246</v>
      </c>
      <c r="K154" s="42">
        <f>IF(J154="",TODAY()-F154,J154-F154)</f>
        <v/>
      </c>
      <c r="L154" s="41" t="inlineStr">
        <is>
          <t>Issue for construction</t>
        </is>
      </c>
      <c r="M154" s="41" t="inlineStr">
        <is>
          <t>\\DC\Geotechnical\Method Statement\CTP-DHJ-GEO-MST-0008</t>
        </is>
      </c>
      <c r="O154">
        <f>IF(Search!$C$4="","",IF(ISNUMBER(SEARCH(Search!$C$4,A154&amp;" "&amp;B154&amp;" "&amp;C154&amp;" "&amp;D154&amp;" "&amp;G154&amp;" "&amp;I154)),ROW(),""))</f>
        <v/>
      </c>
    </row>
    <row r="155">
      <c r="A155" s="44" t="inlineStr">
        <is>
          <t>CTP-DHJ-CIV-MAT-0008</t>
        </is>
      </c>
      <c r="B155" s="44" t="inlineStr">
        <is>
          <t>Grout admixture</t>
        </is>
      </c>
      <c r="C155" s="45" t="inlineStr">
        <is>
          <t>Material Submittal</t>
        </is>
      </c>
      <c r="D155" s="44" t="inlineStr">
        <is>
          <t>Civil</t>
        </is>
      </c>
      <c r="E155" s="45" t="inlineStr">
        <is>
          <t>A</t>
        </is>
      </c>
      <c r="F155" s="46" t="n">
        <v>46228</v>
      </c>
      <c r="G155" s="45" t="inlineStr">
        <is>
          <t>TRN-01137</t>
        </is>
      </c>
      <c r="H155" s="44" t="inlineStr">
        <is>
          <t>Meridian Engineering Partners</t>
        </is>
      </c>
      <c r="I155" s="44" t="inlineStr">
        <is>
          <t>Code B – Approved with Comments</t>
        </is>
      </c>
      <c r="J155" s="46" t="n">
        <v>46239</v>
      </c>
      <c r="K155" s="45">
        <f>IF(J155="",TODAY()-F155,J155-F155)</f>
        <v/>
      </c>
      <c r="L155" s="44" t="inlineStr">
        <is>
          <t>Incorporate comments</t>
        </is>
      </c>
      <c r="M155" s="44" t="inlineStr">
        <is>
          <t>\\DC\Civil\Material Submittal\CTP-DHJ-CIV-MAT-0008</t>
        </is>
      </c>
      <c r="O155">
        <f>IF(Search!$C$4="","",IF(ISNUMBER(SEARCH(Search!$C$4,A155&amp;" "&amp;B155&amp;" "&amp;C155&amp;" "&amp;D155&amp;" "&amp;G155&amp;" "&amp;I155)),ROW(),""))</f>
        <v/>
      </c>
    </row>
    <row r="156">
      <c r="A156" s="41" t="inlineStr">
        <is>
          <t>CTP-DHJ-TUN-RPT-0002</t>
        </is>
      </c>
      <c r="B156" s="41" t="inlineStr">
        <is>
          <t>Concrete cube results</t>
        </is>
      </c>
      <c r="C156" s="42" t="inlineStr">
        <is>
          <t>Inspection Report</t>
        </is>
      </c>
      <c r="D156" s="41" t="inlineStr">
        <is>
          <t>Tunnelling</t>
        </is>
      </c>
      <c r="E156" s="42" t="inlineStr">
        <is>
          <t>0</t>
        </is>
      </c>
      <c r="F156" s="43" t="n">
        <v>46230</v>
      </c>
      <c r="G156" s="42" t="inlineStr">
        <is>
          <t>TRN-01095</t>
        </is>
      </c>
      <c r="H156" s="41" t="inlineStr">
        <is>
          <t>Meridian Engineering Partners</t>
        </is>
      </c>
      <c r="I156" s="41" t="inlineStr">
        <is>
          <t>Code D – Rejected</t>
        </is>
      </c>
      <c r="J156" s="43" t="n">
        <v>46237</v>
      </c>
      <c r="K156" s="42">
        <f>IF(J156="",TODAY()-F156,J156-F156)</f>
        <v/>
      </c>
      <c r="L156" s="41" t="inlineStr">
        <is>
          <t>Prepare new submission</t>
        </is>
      </c>
      <c r="M156" s="41" t="inlineStr">
        <is>
          <t>\\DC\Tunnelling\Inspection Report\CTP-DHJ-TUN-RPT-0002</t>
        </is>
      </c>
      <c r="O156">
        <f>IF(Search!$C$4="","",IF(ISNUMBER(SEARCH(Search!$C$4,A156&amp;" "&amp;B156&amp;" "&amp;C156&amp;" "&amp;D156&amp;" "&amp;G156&amp;" "&amp;I156)),ROW(),""))</f>
        <v/>
      </c>
    </row>
    <row r="157">
      <c r="A157" s="44" t="inlineStr">
        <is>
          <t>CTP-DHJ-MEP-MST-0005</t>
        </is>
      </c>
      <c r="B157" s="44" t="inlineStr">
        <is>
          <t>Waterproofing installation</t>
        </is>
      </c>
      <c r="C157" s="45" t="inlineStr">
        <is>
          <t>Method Statement</t>
        </is>
      </c>
      <c r="D157" s="44" t="inlineStr">
        <is>
          <t>MEP</t>
        </is>
      </c>
      <c r="E157" s="45" t="inlineStr">
        <is>
          <t>B</t>
        </is>
      </c>
      <c r="F157" s="46" t="n">
        <v>46231</v>
      </c>
      <c r="G157" s="45" t="inlineStr">
        <is>
          <t>TRN-01116</t>
        </is>
      </c>
      <c r="H157" s="44" t="inlineStr">
        <is>
          <t>Meridian Engineering Partners</t>
        </is>
      </c>
      <c r="I157" s="44" t="inlineStr">
        <is>
          <t>Code A – Approved</t>
        </is>
      </c>
      <c r="J157" s="46" t="n">
        <v>46247</v>
      </c>
      <c r="K157" s="45">
        <f>IF(J157="",TODAY()-F157,J157-F157)</f>
        <v/>
      </c>
      <c r="L157" s="44" t="inlineStr">
        <is>
          <t>Issue for construction</t>
        </is>
      </c>
      <c r="M157" s="44" t="inlineStr">
        <is>
          <t>\\DC\MEP\Method Statement\CTP-DHJ-MEP-MST-0005</t>
        </is>
      </c>
      <c r="O157">
        <f>IF(Search!$C$4="","",IF(ISNUMBER(SEARCH(Search!$C$4,A157&amp;" "&amp;B157&amp;" "&amp;C157&amp;" "&amp;D157&amp;" "&amp;G157&amp;" "&amp;I157)),ROW(),""))</f>
        <v/>
      </c>
    </row>
    <row r="158">
      <c r="A158" s="41" t="inlineStr">
        <is>
          <t>CTP-DHJ-CIV-DWG-0007</t>
        </is>
      </c>
      <c r="B158" s="41" t="inlineStr">
        <is>
          <t>Cross passage reinforcement</t>
        </is>
      </c>
      <c r="C158" s="42" t="inlineStr">
        <is>
          <t>Drawing</t>
        </is>
      </c>
      <c r="D158" s="41" t="inlineStr">
        <is>
          <t>Civil</t>
        </is>
      </c>
      <c r="E158" s="42" t="inlineStr">
        <is>
          <t>1</t>
        </is>
      </c>
      <c r="F158" s="43" t="n">
        <v>46232</v>
      </c>
      <c r="G158" s="42" t="inlineStr">
        <is>
          <t>TRN-01130</t>
        </is>
      </c>
      <c r="H158" s="41" t="inlineStr">
        <is>
          <t>Meridian Engineering Partners</t>
        </is>
      </c>
      <c r="I158" s="41" t="inlineStr">
        <is>
          <t>Code A – Approved</t>
        </is>
      </c>
      <c r="J158" s="43" t="n">
        <v>46253</v>
      </c>
      <c r="K158" s="42">
        <f>IF(J158="",TODAY()-F158,J158-F158)</f>
        <v/>
      </c>
      <c r="L158" s="41" t="inlineStr">
        <is>
          <t>Issue for construction</t>
        </is>
      </c>
      <c r="M158" s="41" t="inlineStr">
        <is>
          <t>\\DC\Civil\Drawing\CTP-DHJ-CIV-DWG-0007</t>
        </is>
      </c>
      <c r="O158">
        <f>IF(Search!$C$4="","",IF(ISNUMBER(SEARCH(Search!$C$4,A158&amp;" "&amp;B158&amp;" "&amp;C158&amp;" "&amp;D158&amp;" "&amp;G158&amp;" "&amp;I158)),ROW(),""))</f>
        <v/>
      </c>
    </row>
    <row r="159">
      <c r="A159" s="44" t="inlineStr">
        <is>
          <t>CTP-DHJ-QAQ-DWG-0007</t>
        </is>
      </c>
      <c r="B159" s="44" t="inlineStr">
        <is>
          <t>Cross passage reinforcement</t>
        </is>
      </c>
      <c r="C159" s="45" t="inlineStr">
        <is>
          <t>Drawing</t>
        </is>
      </c>
      <c r="D159" s="44" t="inlineStr">
        <is>
          <t>Quality</t>
        </is>
      </c>
      <c r="E159" s="45" t="inlineStr">
        <is>
          <t>0</t>
        </is>
      </c>
      <c r="F159" s="46" t="n">
        <v>46232</v>
      </c>
      <c r="G159" s="45" t="inlineStr">
        <is>
          <t>TRN-01139</t>
        </is>
      </c>
      <c r="H159" s="44" t="inlineStr">
        <is>
          <t>Meridian Engineering Partners</t>
        </is>
      </c>
      <c r="I159" s="44" t="inlineStr">
        <is>
          <t>Code A – Approved</t>
        </is>
      </c>
      <c r="J159" s="46" t="n">
        <v>46237</v>
      </c>
      <c r="K159" s="45">
        <f>IF(J159="",TODAY()-F159,J159-F159)</f>
        <v/>
      </c>
      <c r="L159" s="44" t="inlineStr">
        <is>
          <t>Issue for construction</t>
        </is>
      </c>
      <c r="M159" s="44" t="inlineStr">
        <is>
          <t>\\DC\Quality\Drawing\CTP-DHJ-QAQ-DWG-0007</t>
        </is>
      </c>
      <c r="O159">
        <f>IF(Search!$C$4="","",IF(ISNUMBER(SEARCH(Search!$C$4,A159&amp;" "&amp;B159&amp;" "&amp;C159&amp;" "&amp;D159&amp;" "&amp;G159&amp;" "&amp;I159)),ROW(),""))</f>
        <v/>
      </c>
    </row>
    <row r="160">
      <c r="A160" s="41" t="inlineStr">
        <is>
          <t>CTP-DHJ-MEP-MST-0008</t>
        </is>
      </c>
      <c r="B160" s="41" t="inlineStr">
        <is>
          <t>TBM launching</t>
        </is>
      </c>
      <c r="C160" s="42" t="inlineStr">
        <is>
          <t>Method Statement</t>
        </is>
      </c>
      <c r="D160" s="41" t="inlineStr">
        <is>
          <t>MEP</t>
        </is>
      </c>
      <c r="E160" s="42" t="inlineStr">
        <is>
          <t>A</t>
        </is>
      </c>
      <c r="F160" s="43" t="n">
        <v>46233</v>
      </c>
      <c r="G160" s="42" t="inlineStr">
        <is>
          <t>TRN-01150</t>
        </is>
      </c>
      <c r="H160" s="41" t="inlineStr">
        <is>
          <t>Meridian Engineering Partners</t>
        </is>
      </c>
      <c r="I160" s="41" t="inlineStr">
        <is>
          <t>Code B – Approved with Comments</t>
        </is>
      </c>
      <c r="J160" s="43" t="n">
        <v>46245</v>
      </c>
      <c r="K160" s="42">
        <f>IF(J160="",TODAY()-F160,J160-F160)</f>
        <v/>
      </c>
      <c r="L160" s="41" t="inlineStr">
        <is>
          <t>Incorporate comments</t>
        </is>
      </c>
      <c r="M160" s="41" t="inlineStr">
        <is>
          <t>\\DC\MEP\Method Statement\CTP-DHJ-MEP-MST-0008</t>
        </is>
      </c>
      <c r="O160">
        <f>IF(Search!$C$4="","",IF(ISNUMBER(SEARCH(Search!$C$4,A160&amp;" "&amp;B160&amp;" "&amp;C160&amp;" "&amp;D160&amp;" "&amp;G160&amp;" "&amp;I160)),ROW(),""))</f>
        <v/>
      </c>
    </row>
    <row r="161">
      <c r="A161" s="44" t="inlineStr">
        <is>
          <t>CTP-DHJ-CIV-DWG-0001</t>
        </is>
      </c>
      <c r="B161" s="44" t="inlineStr">
        <is>
          <t>Drainage layout</t>
        </is>
      </c>
      <c r="C161" s="45" t="inlineStr">
        <is>
          <t>Drawing</t>
        </is>
      </c>
      <c r="D161" s="44" t="inlineStr">
        <is>
          <t>Civil</t>
        </is>
      </c>
      <c r="E161" s="45" t="inlineStr">
        <is>
          <t>1</t>
        </is>
      </c>
      <c r="F161" s="46" t="n">
        <v>46235</v>
      </c>
      <c r="G161" s="45" t="inlineStr">
        <is>
          <t>TRN-01004</t>
        </is>
      </c>
      <c r="H161" s="44" t="inlineStr">
        <is>
          <t>Meridian Engineering Partners</t>
        </is>
      </c>
      <c r="I161" s="44" t="inlineStr">
        <is>
          <t>Code A – Approved</t>
        </is>
      </c>
      <c r="J161" s="46" t="n">
        <v>46250</v>
      </c>
      <c r="K161" s="45">
        <f>IF(J161="",TODAY()-F161,J161-F161)</f>
        <v/>
      </c>
      <c r="L161" s="44" t="inlineStr">
        <is>
          <t>Issue for construction</t>
        </is>
      </c>
      <c r="M161" s="44" t="inlineStr">
        <is>
          <t>\\DC\Civil\Drawing\CTP-DHJ-CIV-DWG-0001</t>
        </is>
      </c>
      <c r="O161">
        <f>IF(Search!$C$4="","",IF(ISNUMBER(SEARCH(Search!$C$4,A161&amp;" "&amp;B161&amp;" "&amp;C161&amp;" "&amp;D161&amp;" "&amp;G161&amp;" "&amp;I161)),ROW(),""))</f>
        <v/>
      </c>
    </row>
    <row r="162">
      <c r="A162" s="41" t="inlineStr">
        <is>
          <t>CTP-DHJ-GEO-PRC-0002</t>
        </is>
      </c>
      <c r="B162" s="41" t="inlineStr">
        <is>
          <t>Permit to work</t>
        </is>
      </c>
      <c r="C162" s="42" t="inlineStr">
        <is>
          <t>Procedure</t>
        </is>
      </c>
      <c r="D162" s="41" t="inlineStr">
        <is>
          <t>Geotechnical</t>
        </is>
      </c>
      <c r="E162" s="42" t="inlineStr">
        <is>
          <t>B</t>
        </is>
      </c>
      <c r="F162" s="43" t="n">
        <v>46236</v>
      </c>
      <c r="G162" s="42" t="inlineStr">
        <is>
          <t>TRN-01069</t>
        </is>
      </c>
      <c r="H162" s="41" t="inlineStr">
        <is>
          <t>Meridian Engineering Partners</t>
        </is>
      </c>
      <c r="I162" s="41" t="inlineStr">
        <is>
          <t>Code A – Approved</t>
        </is>
      </c>
      <c r="J162" s="43" t="n">
        <v>46247</v>
      </c>
      <c r="K162" s="42">
        <f>IF(J162="",TODAY()-F162,J162-F162)</f>
        <v/>
      </c>
      <c r="L162" s="41" t="inlineStr">
        <is>
          <t>Issue for construction</t>
        </is>
      </c>
      <c r="M162" s="41" t="inlineStr">
        <is>
          <t>\\DC\Geotechnical\Procedure\CTP-DHJ-GEO-PRC-0002</t>
        </is>
      </c>
      <c r="O162">
        <f>IF(Search!$C$4="","",IF(ISNUMBER(SEARCH(Search!$C$4,A162&amp;" "&amp;B162&amp;" "&amp;C162&amp;" "&amp;D162&amp;" "&amp;G162&amp;" "&amp;I162)),ROW(),""))</f>
        <v/>
      </c>
    </row>
    <row r="163">
      <c r="A163" s="44" t="inlineStr">
        <is>
          <t>CTP-DHJ-TUN-DWG-0012</t>
        </is>
      </c>
      <c r="B163" s="44" t="inlineStr">
        <is>
          <t>Drainage layout</t>
        </is>
      </c>
      <c r="C163" s="45" t="inlineStr">
        <is>
          <t>Drawing</t>
        </is>
      </c>
      <c r="D163" s="44" t="inlineStr">
        <is>
          <t>Tunnelling</t>
        </is>
      </c>
      <c r="E163" s="45" t="inlineStr">
        <is>
          <t>1</t>
        </is>
      </c>
      <c r="F163" s="46" t="n">
        <v>46237</v>
      </c>
      <c r="G163" s="45" t="inlineStr">
        <is>
          <t>TRN-01197</t>
        </is>
      </c>
      <c r="H163" s="44" t="inlineStr">
        <is>
          <t>Meridian Engineering Partners</t>
        </is>
      </c>
      <c r="I163" s="44" t="inlineStr">
        <is>
          <t>Code A – Approved</t>
        </is>
      </c>
      <c r="J163" s="46" t="n">
        <v>46258</v>
      </c>
      <c r="K163" s="45">
        <f>IF(J163="",TODAY()-F163,J163-F163)</f>
        <v/>
      </c>
      <c r="L163" s="44" t="inlineStr">
        <is>
          <t>Issue for construction</t>
        </is>
      </c>
      <c r="M163" s="44" t="inlineStr">
        <is>
          <t>\\DC\Tunnelling\Drawing\CTP-DHJ-TUN-DWG-0012</t>
        </is>
      </c>
      <c r="O163">
        <f>IF(Search!$C$4="","",IF(ISNUMBER(SEARCH(Search!$C$4,A163&amp;" "&amp;B163&amp;" "&amp;C163&amp;" "&amp;D163&amp;" "&amp;G163&amp;" "&amp;I163)),ROW(),""))</f>
        <v/>
      </c>
    </row>
    <row r="164">
      <c r="A164" s="41" t="inlineStr">
        <is>
          <t>CTP-DHJ-HSE-DWG-0007</t>
        </is>
      </c>
      <c r="B164" s="41" t="inlineStr">
        <is>
          <t>Shaft general arrangement</t>
        </is>
      </c>
      <c r="C164" s="42" t="inlineStr">
        <is>
          <t>Drawing</t>
        </is>
      </c>
      <c r="D164" s="41" t="inlineStr">
        <is>
          <t>HSE</t>
        </is>
      </c>
      <c r="E164" s="42" t="inlineStr">
        <is>
          <t>B</t>
        </is>
      </c>
      <c r="F164" s="43" t="n">
        <v>46238</v>
      </c>
      <c r="G164" s="42" t="inlineStr">
        <is>
          <t>TRN-01068</t>
        </is>
      </c>
      <c r="H164" s="41" t="inlineStr">
        <is>
          <t>Meridian Engineering Partners</t>
        </is>
      </c>
      <c r="I164" s="41" t="inlineStr">
        <is>
          <t>Code B – Approved with Comments</t>
        </is>
      </c>
      <c r="J164" s="43" t="n">
        <v>46250</v>
      </c>
      <c r="K164" s="42">
        <f>IF(J164="",TODAY()-F164,J164-F164)</f>
        <v/>
      </c>
      <c r="L164" s="41" t="inlineStr">
        <is>
          <t>Incorporate comments</t>
        </is>
      </c>
      <c r="M164" s="41" t="inlineStr">
        <is>
          <t>\\DC\HSE\Drawing\CTP-DHJ-HSE-DWG-0007</t>
        </is>
      </c>
      <c r="O164">
        <f>IF(Search!$C$4="","",IF(ISNUMBER(SEARCH(Search!$C$4,A164&amp;" "&amp;B164&amp;" "&amp;C164&amp;" "&amp;D164&amp;" "&amp;G164&amp;" "&amp;I164)),ROW(),""))</f>
        <v/>
      </c>
    </row>
    <row r="165">
      <c r="A165" s="44" t="inlineStr">
        <is>
          <t>CTP-DHJ-TUN-RPT-0005</t>
        </is>
      </c>
      <c r="B165" s="44" t="inlineStr">
        <is>
          <t>Survey control check</t>
        </is>
      </c>
      <c r="C165" s="45" t="inlineStr">
        <is>
          <t>Inspection Report</t>
        </is>
      </c>
      <c r="D165" s="44" t="inlineStr">
        <is>
          <t>Tunnelling</t>
        </is>
      </c>
      <c r="E165" s="45" t="inlineStr">
        <is>
          <t>0</t>
        </is>
      </c>
      <c r="F165" s="46" t="n">
        <v>46238</v>
      </c>
      <c r="G165" s="45" t="inlineStr">
        <is>
          <t>TRN-01156</t>
        </is>
      </c>
      <c r="H165" s="44" t="inlineStr">
        <is>
          <t>Meridian Engineering Partners</t>
        </is>
      </c>
      <c r="I165" s="44" t="inlineStr">
        <is>
          <t>Code B – Approved with Comments</t>
        </is>
      </c>
      <c r="J165" s="46" t="n">
        <v>46252</v>
      </c>
      <c r="K165" s="45">
        <f>IF(J165="",TODAY()-F165,J165-F165)</f>
        <v/>
      </c>
      <c r="L165" s="44" t="inlineStr">
        <is>
          <t>Incorporate comments</t>
        </is>
      </c>
      <c r="M165" s="44" t="inlineStr">
        <is>
          <t>\\DC\Tunnelling\Inspection Report\CTP-DHJ-TUN-RPT-0005</t>
        </is>
      </c>
      <c r="O165">
        <f>IF(Search!$C$4="","",IF(ISNUMBER(SEARCH(Search!$C$4,A165&amp;" "&amp;B165&amp;" "&amp;C165&amp;" "&amp;D165&amp;" "&amp;G165&amp;" "&amp;I165)),ROW(),""))</f>
        <v/>
      </c>
    </row>
    <row r="166">
      <c r="A166" s="41" t="inlineStr">
        <is>
          <t>CTP-DHJ-GEO-DWG-0013</t>
        </is>
      </c>
      <c r="B166" s="41" t="inlineStr">
        <is>
          <t>Drainage layout</t>
        </is>
      </c>
      <c r="C166" s="42" t="inlineStr">
        <is>
          <t>Drawing</t>
        </is>
      </c>
      <c r="D166" s="41" t="inlineStr">
        <is>
          <t>Geotechnical</t>
        </is>
      </c>
      <c r="E166" s="42" t="inlineStr">
        <is>
          <t>A</t>
        </is>
      </c>
      <c r="F166" s="43" t="n">
        <v>46238</v>
      </c>
      <c r="G166" s="42" t="inlineStr">
        <is>
          <t>TRN-01221</t>
        </is>
      </c>
      <c r="H166" s="41" t="inlineStr">
        <is>
          <t>Meridian Engineering Partners</t>
        </is>
      </c>
      <c r="I166" s="41" t="inlineStr">
        <is>
          <t>Code A – Approved</t>
        </is>
      </c>
      <c r="J166" s="43" t="n">
        <v>46243</v>
      </c>
      <c r="K166" s="42">
        <f>IF(J166="",TODAY()-F166,J166-F166)</f>
        <v/>
      </c>
      <c r="L166" s="41" t="inlineStr">
        <is>
          <t>Issue for construction</t>
        </is>
      </c>
      <c r="M166" s="41" t="inlineStr">
        <is>
          <t>\\DC\Geotechnical\Drawing\CTP-DHJ-GEO-DWG-0013</t>
        </is>
      </c>
      <c r="O166">
        <f>IF(Search!$C$4="","",IF(ISNUMBER(SEARCH(Search!$C$4,A166&amp;" "&amp;B166&amp;" "&amp;C166&amp;" "&amp;D166&amp;" "&amp;G166&amp;" "&amp;I166)),ROW(),""))</f>
        <v/>
      </c>
    </row>
    <row r="167">
      <c r="A167" s="44" t="inlineStr">
        <is>
          <t>CTP-DHJ-MEP-MAT-0012</t>
        </is>
      </c>
      <c r="B167" s="44" t="inlineStr">
        <is>
          <t>Fire-rated cables</t>
        </is>
      </c>
      <c r="C167" s="45" t="inlineStr">
        <is>
          <t>Material Submittal</t>
        </is>
      </c>
      <c r="D167" s="44" t="inlineStr">
        <is>
          <t>MEP</t>
        </is>
      </c>
      <c r="E167" s="45" t="inlineStr">
        <is>
          <t>0</t>
        </is>
      </c>
      <c r="F167" s="46" t="n">
        <v>46238</v>
      </c>
      <c r="G167" s="45" t="inlineStr">
        <is>
          <t>TRN-01232</t>
        </is>
      </c>
      <c r="H167" s="44" t="inlineStr">
        <is>
          <t>Meridian Engineering Partners</t>
        </is>
      </c>
      <c r="I167" s="44" t="inlineStr">
        <is>
          <t>Code A – Approved</t>
        </is>
      </c>
      <c r="J167" s="46" t="n">
        <v>46245</v>
      </c>
      <c r="K167" s="45">
        <f>IF(J167="",TODAY()-F167,J167-F167)</f>
        <v/>
      </c>
      <c r="L167" s="44" t="inlineStr">
        <is>
          <t>Issue for construction</t>
        </is>
      </c>
      <c r="M167" s="44" t="inlineStr">
        <is>
          <t>\\DC\MEP\Material Submittal\CTP-DHJ-MEP-MAT-0012</t>
        </is>
      </c>
      <c r="O167">
        <f>IF(Search!$C$4="","",IF(ISNUMBER(SEARCH(Search!$C$4,A167&amp;" "&amp;B167&amp;" "&amp;C167&amp;" "&amp;D167&amp;" "&amp;G167&amp;" "&amp;I167)),ROW(),""))</f>
        <v/>
      </c>
    </row>
    <row r="168">
      <c r="A168" s="41" t="inlineStr">
        <is>
          <t>CTP-DHJ-HSE-MAT-0004</t>
        </is>
      </c>
      <c r="B168" s="41" t="inlineStr">
        <is>
          <t>Ventilation fans</t>
        </is>
      </c>
      <c r="C168" s="42" t="inlineStr">
        <is>
          <t>Material Submittal</t>
        </is>
      </c>
      <c r="D168" s="41" t="inlineStr">
        <is>
          <t>HSE</t>
        </is>
      </c>
      <c r="E168" s="42" t="inlineStr">
        <is>
          <t>B</t>
        </is>
      </c>
      <c r="F168" s="43" t="n">
        <v>46239</v>
      </c>
      <c r="G168" s="42" t="inlineStr">
        <is>
          <t>TRN-01067</t>
        </is>
      </c>
      <c r="H168" s="41" t="inlineStr">
        <is>
          <t>Meridian Engineering Partners</t>
        </is>
      </c>
      <c r="I168" s="41" t="inlineStr">
        <is>
          <t>Code A – Approved</t>
        </is>
      </c>
      <c r="J168" s="43" t="n">
        <v>46250</v>
      </c>
      <c r="K168" s="42">
        <f>IF(J168="",TODAY()-F168,J168-F168)</f>
        <v/>
      </c>
      <c r="L168" s="41" t="inlineStr">
        <is>
          <t>Issue for construction</t>
        </is>
      </c>
      <c r="M168" s="41" t="inlineStr">
        <is>
          <t>\\DC\HSE\Material Submittal\CTP-DHJ-HSE-MAT-0004</t>
        </is>
      </c>
      <c r="O168">
        <f>IF(Search!$C$4="","",IF(ISNUMBER(SEARCH(Search!$C$4,A168&amp;" "&amp;B168&amp;" "&amp;C168&amp;" "&amp;D168&amp;" "&amp;G168&amp;" "&amp;I168)),ROW(),""))</f>
        <v/>
      </c>
    </row>
    <row r="169">
      <c r="A169" s="44" t="inlineStr">
        <is>
          <t>CTP-DHJ-MEP-DWG-0005</t>
        </is>
      </c>
      <c r="B169" s="44" t="inlineStr">
        <is>
          <t>Segment ring layout</t>
        </is>
      </c>
      <c r="C169" s="45" t="inlineStr">
        <is>
          <t>Drawing</t>
        </is>
      </c>
      <c r="D169" s="44" t="inlineStr">
        <is>
          <t>MEP</t>
        </is>
      </c>
      <c r="E169" s="45" t="inlineStr">
        <is>
          <t>0</t>
        </is>
      </c>
      <c r="F169" s="46" t="n">
        <v>46240</v>
      </c>
      <c r="G169" s="45" t="inlineStr">
        <is>
          <t>TRN-01063</t>
        </is>
      </c>
      <c r="H169" s="44" t="inlineStr">
        <is>
          <t>Meridian Engineering Partners</t>
        </is>
      </c>
      <c r="I169" s="44" t="inlineStr">
        <is>
          <t>Code A – Approved</t>
        </is>
      </c>
      <c r="J169" s="46" t="n">
        <v>46249</v>
      </c>
      <c r="K169" s="45">
        <f>IF(J169="",TODAY()-F169,J169-F169)</f>
        <v/>
      </c>
      <c r="L169" s="44" t="inlineStr">
        <is>
          <t>Issue for construction</t>
        </is>
      </c>
      <c r="M169" s="44" t="inlineStr">
        <is>
          <t>\\DC\MEP\Drawing\CTP-DHJ-MEP-DWG-0005</t>
        </is>
      </c>
      <c r="O169">
        <f>IF(Search!$C$4="","",IF(ISNUMBER(SEARCH(Search!$C$4,A169&amp;" "&amp;B169&amp;" "&amp;C169&amp;" "&amp;D169&amp;" "&amp;G169&amp;" "&amp;I169)),ROW(),""))</f>
        <v/>
      </c>
    </row>
    <row r="170">
      <c r="A170" s="41" t="inlineStr">
        <is>
          <t>CTP-DHJ-CIV-DWG-0008</t>
        </is>
      </c>
      <c r="B170" s="41" t="inlineStr">
        <is>
          <t>Cross passage reinforcement</t>
        </is>
      </c>
      <c r="C170" s="42" t="inlineStr">
        <is>
          <t>Drawing</t>
        </is>
      </c>
      <c r="D170" s="41" t="inlineStr">
        <is>
          <t>Civil</t>
        </is>
      </c>
      <c r="E170" s="42" t="inlineStr">
        <is>
          <t>B</t>
        </is>
      </c>
      <c r="F170" s="43" t="n">
        <v>46241</v>
      </c>
      <c r="G170" s="42" t="inlineStr">
        <is>
          <t>TRN-01149</t>
        </is>
      </c>
      <c r="H170" s="41" t="inlineStr">
        <is>
          <t>Meridian Engineering Partners</t>
        </is>
      </c>
      <c r="I170" s="41" t="inlineStr">
        <is>
          <t>Code A – Approved</t>
        </is>
      </c>
      <c r="J170" s="43" t="n">
        <v>46251</v>
      </c>
      <c r="K170" s="42">
        <f>IF(J170="",TODAY()-F170,J170-F170)</f>
        <v/>
      </c>
      <c r="L170" s="41" t="inlineStr">
        <is>
          <t>Issue for construction</t>
        </is>
      </c>
      <c r="M170" s="41" t="inlineStr">
        <is>
          <t>\\DC\Civil\Drawing\CTP-DHJ-CIV-DWG-0008</t>
        </is>
      </c>
      <c r="O170">
        <f>IF(Search!$C$4="","",IF(ISNUMBER(SEARCH(Search!$C$4,A170&amp;" "&amp;B170&amp;" "&amp;C170&amp;" "&amp;D170&amp;" "&amp;G170&amp;" "&amp;I170)),ROW(),""))</f>
        <v/>
      </c>
    </row>
    <row r="171">
      <c r="A171" s="44" t="inlineStr">
        <is>
          <t>CTP-DHJ-MEP-DWG-0009</t>
        </is>
      </c>
      <c r="B171" s="44" t="inlineStr">
        <is>
          <t>Cross passage reinforcement</t>
        </is>
      </c>
      <c r="C171" s="45" t="inlineStr">
        <is>
          <t>Drawing</t>
        </is>
      </c>
      <c r="D171" s="44" t="inlineStr">
        <is>
          <t>MEP</t>
        </is>
      </c>
      <c r="E171" s="45" t="inlineStr">
        <is>
          <t>1</t>
        </is>
      </c>
      <c r="F171" s="46" t="n">
        <v>46241</v>
      </c>
      <c r="G171" s="45" t="inlineStr">
        <is>
          <t>TRN-01153</t>
        </is>
      </c>
      <c r="H171" s="44" t="inlineStr">
        <is>
          <t>Meridian Engineering Partners</t>
        </is>
      </c>
      <c r="I171" s="44" t="inlineStr">
        <is>
          <t>Code A – Approved</t>
        </is>
      </c>
      <c r="J171" s="46" t="n">
        <v>46256</v>
      </c>
      <c r="K171" s="45">
        <f>IF(J171="",TODAY()-F171,J171-F171)</f>
        <v/>
      </c>
      <c r="L171" s="44" t="inlineStr">
        <is>
          <t>Issue for construction</t>
        </is>
      </c>
      <c r="M171" s="44" t="inlineStr">
        <is>
          <t>\\DC\MEP\Drawing\CTP-DHJ-MEP-DWG-0009</t>
        </is>
      </c>
      <c r="O171">
        <f>IF(Search!$C$4="","",IF(ISNUMBER(SEARCH(Search!$C$4,A171&amp;" "&amp;B171&amp;" "&amp;C171&amp;" "&amp;D171&amp;" "&amp;G171&amp;" "&amp;I171)),ROW(),""))</f>
        <v/>
      </c>
    </row>
    <row r="172">
      <c r="A172" s="41" t="inlineStr">
        <is>
          <t>CTP-DHJ-TUN-CAL-0004</t>
        </is>
      </c>
      <c r="B172" s="41" t="inlineStr">
        <is>
          <t>Pump capacity</t>
        </is>
      </c>
      <c r="C172" s="42" t="inlineStr">
        <is>
          <t>Calculation</t>
        </is>
      </c>
      <c r="D172" s="41" t="inlineStr">
        <is>
          <t>Tunnelling</t>
        </is>
      </c>
      <c r="E172" s="42" t="inlineStr">
        <is>
          <t>1</t>
        </is>
      </c>
      <c r="F172" s="43" t="n">
        <v>46241</v>
      </c>
      <c r="G172" s="42" t="inlineStr">
        <is>
          <t>TRN-01191</t>
        </is>
      </c>
      <c r="H172" s="41" t="inlineStr">
        <is>
          <t>Meridian Engineering Partners</t>
        </is>
      </c>
      <c r="I172" s="41" t="inlineStr">
        <is>
          <t>Code A – Approved</t>
        </is>
      </c>
      <c r="J172" s="43" t="n">
        <v>46246</v>
      </c>
      <c r="K172" s="42">
        <f>IF(J172="",TODAY()-F172,J172-F172)</f>
        <v/>
      </c>
      <c r="L172" s="41" t="inlineStr">
        <is>
          <t>Issue for construction</t>
        </is>
      </c>
      <c r="M172" s="41" t="inlineStr">
        <is>
          <t>\\DC\Tunnelling\Calculation\CTP-DHJ-TUN-CAL-0004</t>
        </is>
      </c>
      <c r="O172">
        <f>IF(Search!$C$4="","",IF(ISNUMBER(SEARCH(Search!$C$4,A172&amp;" "&amp;B172&amp;" "&amp;C172&amp;" "&amp;D172&amp;" "&amp;G172&amp;" "&amp;I172)),ROW(),""))</f>
        <v/>
      </c>
    </row>
    <row r="173">
      <c r="A173" s="44" t="inlineStr">
        <is>
          <t>CTP-DHJ-TUN-MAT-0007</t>
        </is>
      </c>
      <c r="B173" s="44" t="inlineStr">
        <is>
          <t>Grout admixture</t>
        </is>
      </c>
      <c r="C173" s="45" t="inlineStr">
        <is>
          <t>Material Submittal</t>
        </is>
      </c>
      <c r="D173" s="44" t="inlineStr">
        <is>
          <t>Tunnelling</t>
        </is>
      </c>
      <c r="E173" s="45" t="inlineStr">
        <is>
          <t>A</t>
        </is>
      </c>
      <c r="F173" s="46" t="n">
        <v>46242</v>
      </c>
      <c r="G173" s="45" t="inlineStr">
        <is>
          <t>TRN-01158</t>
        </is>
      </c>
      <c r="H173" s="44" t="inlineStr">
        <is>
          <t>Meridian Engineering Partners</t>
        </is>
      </c>
      <c r="I173" s="44" t="inlineStr">
        <is>
          <t>Code B – Approved with Comments</t>
        </is>
      </c>
      <c r="J173" s="46" t="n">
        <v>46251</v>
      </c>
      <c r="K173" s="45">
        <f>IF(J173="",TODAY()-F173,J173-F173)</f>
        <v/>
      </c>
      <c r="L173" s="44" t="inlineStr">
        <is>
          <t>Incorporate comments</t>
        </is>
      </c>
      <c r="M173" s="44" t="inlineStr">
        <is>
          <t>\\DC\Tunnelling\Material Submittal\CTP-DHJ-TUN-MAT-0007</t>
        </is>
      </c>
      <c r="O173">
        <f>IF(Search!$C$4="","",IF(ISNUMBER(SEARCH(Search!$C$4,A173&amp;" "&amp;B173&amp;" "&amp;C173&amp;" "&amp;D173&amp;" "&amp;G173&amp;" "&amp;I173)),ROW(),""))</f>
        <v/>
      </c>
    </row>
    <row r="174">
      <c r="A174" s="41" t="inlineStr">
        <is>
          <t>CTP-DHJ-QAQ-RPT-0001</t>
        </is>
      </c>
      <c r="B174" s="41" t="inlineStr">
        <is>
          <t>Survey control check</t>
        </is>
      </c>
      <c r="C174" s="42" t="inlineStr">
        <is>
          <t>Inspection Report</t>
        </is>
      </c>
      <c r="D174" s="41" t="inlineStr">
        <is>
          <t>Quality</t>
        </is>
      </c>
      <c r="E174" s="42" t="inlineStr">
        <is>
          <t>1</t>
        </is>
      </c>
      <c r="F174" s="43" t="n">
        <v>46244</v>
      </c>
      <c r="G174" s="42" t="inlineStr">
        <is>
          <t>TRN-01002</t>
        </is>
      </c>
      <c r="H174" s="41" t="inlineStr">
        <is>
          <t>Meridian Engineering Partners</t>
        </is>
      </c>
      <c r="I174" s="41" t="inlineStr">
        <is>
          <t>Code A – Approved</t>
        </is>
      </c>
      <c r="J174" s="43" t="n">
        <v>46263</v>
      </c>
      <c r="K174" s="42">
        <f>IF(J174="",TODAY()-F174,J174-F174)</f>
        <v/>
      </c>
      <c r="L174" s="41" t="inlineStr">
        <is>
          <t>Issue for construction</t>
        </is>
      </c>
      <c r="M174" s="41" t="inlineStr">
        <is>
          <t>\\DC\Quality\Inspection Report\CTP-DHJ-QAQ-RPT-0001</t>
        </is>
      </c>
      <c r="O174">
        <f>IF(Search!$C$4="","",IF(ISNUMBER(SEARCH(Search!$C$4,A174&amp;" "&amp;B174&amp;" "&amp;C174&amp;" "&amp;D174&amp;" "&amp;G174&amp;" "&amp;I174)),ROW(),""))</f>
        <v/>
      </c>
    </row>
    <row r="175">
      <c r="A175" s="44" t="inlineStr">
        <is>
          <t>CTP-DHJ-HSE-DWG-0002</t>
        </is>
      </c>
      <c r="B175" s="44" t="inlineStr">
        <is>
          <t>Portal structure details</t>
        </is>
      </c>
      <c r="C175" s="45" t="inlineStr">
        <is>
          <t>Drawing</t>
        </is>
      </c>
      <c r="D175" s="44" t="inlineStr">
        <is>
          <t>HSE</t>
        </is>
      </c>
      <c r="E175" s="45" t="inlineStr">
        <is>
          <t>0</t>
        </is>
      </c>
      <c r="F175" s="46" t="n">
        <v>46244</v>
      </c>
      <c r="G175" s="45" t="inlineStr">
        <is>
          <t>TRN-01017</t>
        </is>
      </c>
      <c r="H175" s="44" t="inlineStr">
        <is>
          <t>Meridian Engineering Partners</t>
        </is>
      </c>
      <c r="I175" s="44" t="inlineStr">
        <is>
          <t>Code A – Approved</t>
        </is>
      </c>
      <c r="J175" s="46" t="n">
        <v>46260</v>
      </c>
      <c r="K175" s="45">
        <f>IF(J175="",TODAY()-F175,J175-F175)</f>
        <v/>
      </c>
      <c r="L175" s="44" t="inlineStr">
        <is>
          <t>Issue for construction</t>
        </is>
      </c>
      <c r="M175" s="44" t="inlineStr">
        <is>
          <t>\\DC\HSE\Drawing\CTP-DHJ-HSE-DWG-0002</t>
        </is>
      </c>
      <c r="O175">
        <f>IF(Search!$C$4="","",IF(ISNUMBER(SEARCH(Search!$C$4,A175&amp;" "&amp;B175&amp;" "&amp;C175&amp;" "&amp;D175&amp;" "&amp;G175&amp;" "&amp;I175)),ROW(),""))</f>
        <v/>
      </c>
    </row>
    <row r="176">
      <c r="A176" s="41" t="inlineStr">
        <is>
          <t>CTP-DHJ-CIV-DWG-0006</t>
        </is>
      </c>
      <c r="B176" s="41" t="inlineStr">
        <is>
          <t>Cross passage reinforcement</t>
        </is>
      </c>
      <c r="C176" s="42" t="inlineStr">
        <is>
          <t>Drawing</t>
        </is>
      </c>
      <c r="D176" s="41" t="inlineStr">
        <is>
          <t>Civil</t>
        </is>
      </c>
      <c r="E176" s="42" t="inlineStr">
        <is>
          <t>B</t>
        </is>
      </c>
      <c r="F176" s="43" t="n">
        <v>46244</v>
      </c>
      <c r="G176" s="42" t="inlineStr">
        <is>
          <t>TRN-01126</t>
        </is>
      </c>
      <c r="H176" s="41" t="inlineStr">
        <is>
          <t>Meridian Engineering Partners</t>
        </is>
      </c>
      <c r="I176" s="41" t="inlineStr">
        <is>
          <t>Code A – Approved</t>
        </is>
      </c>
      <c r="J176" s="43" t="n">
        <v>46259</v>
      </c>
      <c r="K176" s="42">
        <f>IF(J176="",TODAY()-F176,J176-F176)</f>
        <v/>
      </c>
      <c r="L176" s="41" t="inlineStr">
        <is>
          <t>Issue for construction</t>
        </is>
      </c>
      <c r="M176" s="41" t="inlineStr">
        <is>
          <t>\\DC\Civil\Drawing\CTP-DHJ-CIV-DWG-0006</t>
        </is>
      </c>
      <c r="O176">
        <f>IF(Search!$C$4="","",IF(ISNUMBER(SEARCH(Search!$C$4,A176&amp;" "&amp;B176&amp;" "&amp;C176&amp;" "&amp;D176&amp;" "&amp;G176&amp;" "&amp;I176)),ROW(),""))</f>
        <v/>
      </c>
    </row>
    <row r="177">
      <c r="A177" s="44" t="inlineStr">
        <is>
          <t>CTP-DHJ-TUN-RPT-0001</t>
        </is>
      </c>
      <c r="B177" s="44" t="inlineStr">
        <is>
          <t>Air quality monitoring</t>
        </is>
      </c>
      <c r="C177" s="45" t="inlineStr">
        <is>
          <t>Inspection Report</t>
        </is>
      </c>
      <c r="D177" s="44" t="inlineStr">
        <is>
          <t>Tunnelling</t>
        </is>
      </c>
      <c r="E177" s="45" t="inlineStr">
        <is>
          <t>A</t>
        </is>
      </c>
      <c r="F177" s="46" t="n">
        <v>46245</v>
      </c>
      <c r="G177" s="45" t="inlineStr">
        <is>
          <t>TRN-01089</t>
        </is>
      </c>
      <c r="H177" s="44" t="inlineStr">
        <is>
          <t>Meridian Engineering Partners</t>
        </is>
      </c>
      <c r="I177" s="44" t="inlineStr">
        <is>
          <t>Code A – Approved</t>
        </is>
      </c>
      <c r="J177" s="46" t="n">
        <v>46251</v>
      </c>
      <c r="K177" s="45">
        <f>IF(J177="",TODAY()-F177,J177-F177)</f>
        <v/>
      </c>
      <c r="L177" s="44" t="inlineStr">
        <is>
          <t>Issue for construction</t>
        </is>
      </c>
      <c r="M177" s="44" t="inlineStr">
        <is>
          <t>\\DC\Tunnelling\Inspection Report\CTP-DHJ-TUN-RPT-0001</t>
        </is>
      </c>
      <c r="O177">
        <f>IF(Search!$C$4="","",IF(ISNUMBER(SEARCH(Search!$C$4,A177&amp;" "&amp;B177&amp;" "&amp;C177&amp;" "&amp;D177&amp;" "&amp;G177&amp;" "&amp;I177)),ROW(),""))</f>
        <v/>
      </c>
    </row>
    <row r="178">
      <c r="A178" s="41" t="inlineStr">
        <is>
          <t>CTP-DHJ-HSE-DWG-0001</t>
        </is>
      </c>
      <c r="B178" s="41" t="inlineStr">
        <is>
          <t>Cross passage reinforcement</t>
        </is>
      </c>
      <c r="C178" s="42" t="inlineStr">
        <is>
          <t>Drawing</t>
        </is>
      </c>
      <c r="D178" s="41" t="inlineStr">
        <is>
          <t>HSE</t>
        </is>
      </c>
      <c r="E178" s="42" t="inlineStr">
        <is>
          <t>A</t>
        </is>
      </c>
      <c r="F178" s="43" t="n">
        <v>46246</v>
      </c>
      <c r="G178" s="42" t="inlineStr">
        <is>
          <t>TRN-01015</t>
        </is>
      </c>
      <c r="H178" s="41" t="inlineStr">
        <is>
          <t>Meridian Engineering Partners</t>
        </is>
      </c>
      <c r="I178" s="41" t="inlineStr">
        <is>
          <t>Code B – Approved with Comments</t>
        </is>
      </c>
      <c r="J178" s="43" t="n">
        <v>46255</v>
      </c>
      <c r="K178" s="42">
        <f>IF(J178="",TODAY()-F178,J178-F178)</f>
        <v/>
      </c>
      <c r="L178" s="41" t="inlineStr">
        <is>
          <t>Incorporate comments</t>
        </is>
      </c>
      <c r="M178" s="41" t="inlineStr">
        <is>
          <t>\\DC\HSE\Drawing\CTP-DHJ-HSE-DWG-0001</t>
        </is>
      </c>
      <c r="O178">
        <f>IF(Search!$C$4="","",IF(ISNUMBER(SEARCH(Search!$C$4,A178&amp;" "&amp;B178&amp;" "&amp;C178&amp;" "&amp;D178&amp;" "&amp;G178&amp;" "&amp;I178)),ROW(),""))</f>
        <v/>
      </c>
    </row>
    <row r="179">
      <c r="A179" s="44" t="inlineStr">
        <is>
          <t>CTP-DHJ-GEO-MAT-0003</t>
        </is>
      </c>
      <c r="B179" s="44" t="inlineStr">
        <is>
          <t>Fire-rated cables</t>
        </is>
      </c>
      <c r="C179" s="45" t="inlineStr">
        <is>
          <t>Material Submittal</t>
        </is>
      </c>
      <c r="D179" s="44" t="inlineStr">
        <is>
          <t>Geotechnical</t>
        </is>
      </c>
      <c r="E179" s="45" t="inlineStr">
        <is>
          <t>B</t>
        </is>
      </c>
      <c r="F179" s="46" t="n">
        <v>46247</v>
      </c>
      <c r="G179" s="45" t="inlineStr">
        <is>
          <t>TRN-01128</t>
        </is>
      </c>
      <c r="H179" s="44" t="inlineStr">
        <is>
          <t>Meridian Engineering Partners</t>
        </is>
      </c>
      <c r="I179" s="44" t="inlineStr">
        <is>
          <t>Code A – Approved</t>
        </is>
      </c>
      <c r="J179" s="46" t="n">
        <v>46253</v>
      </c>
      <c r="K179" s="45">
        <f>IF(J179="",TODAY()-F179,J179-F179)</f>
        <v/>
      </c>
      <c r="L179" s="44" t="inlineStr">
        <is>
          <t>Issue for construction</t>
        </is>
      </c>
      <c r="M179" s="44" t="inlineStr">
        <is>
          <t>\\DC\Geotechnical\Material Submittal\CTP-DHJ-GEO-MAT-0003</t>
        </is>
      </c>
      <c r="O179">
        <f>IF(Search!$C$4="","",IF(ISNUMBER(SEARCH(Search!$C$4,A179&amp;" "&amp;B179&amp;" "&amp;C179&amp;" "&amp;D179&amp;" "&amp;G179&amp;" "&amp;I179)),ROW(),""))</f>
        <v/>
      </c>
    </row>
    <row r="180">
      <c r="A180" s="41" t="inlineStr">
        <is>
          <t>CTP-DHJ-CIV-PRC-0005</t>
        </is>
      </c>
      <c r="B180" s="41" t="inlineStr">
        <is>
          <t>NCR handling</t>
        </is>
      </c>
      <c r="C180" s="42" t="inlineStr">
        <is>
          <t>Procedure</t>
        </is>
      </c>
      <c r="D180" s="41" t="inlineStr">
        <is>
          <t>Civil</t>
        </is>
      </c>
      <c r="E180" s="42" t="inlineStr">
        <is>
          <t>B</t>
        </is>
      </c>
      <c r="F180" s="43" t="n">
        <v>46247</v>
      </c>
      <c r="G180" s="42" t="inlineStr">
        <is>
          <t>TRN-01152</t>
        </is>
      </c>
      <c r="H180" s="41" t="inlineStr">
        <is>
          <t>Meridian Engineering Partners</t>
        </is>
      </c>
      <c r="I180" s="41" t="inlineStr">
        <is>
          <t>Code A – Approved</t>
        </is>
      </c>
      <c r="J180" s="43" t="n">
        <v>46264</v>
      </c>
      <c r="K180" s="42">
        <f>IF(J180="",TODAY()-F180,J180-F180)</f>
        <v/>
      </c>
      <c r="L180" s="41" t="inlineStr">
        <is>
          <t>Issue for construction</t>
        </is>
      </c>
      <c r="M180" s="41" t="inlineStr">
        <is>
          <t>\\DC\Civil\Procedure\CTP-DHJ-CIV-PRC-0005</t>
        </is>
      </c>
      <c r="O180">
        <f>IF(Search!$C$4="","",IF(ISNUMBER(SEARCH(Search!$C$4,A180&amp;" "&amp;B180&amp;" "&amp;C180&amp;" "&amp;D180&amp;" "&amp;G180&amp;" "&amp;I180)),ROW(),""))</f>
        <v/>
      </c>
    </row>
    <row r="181">
      <c r="A181" s="44" t="inlineStr">
        <is>
          <t>CTP-DHJ-CIV-RPT-0004</t>
        </is>
      </c>
      <c r="B181" s="44" t="inlineStr">
        <is>
          <t>Monthly settlement monitoring</t>
        </is>
      </c>
      <c r="C181" s="45" t="inlineStr">
        <is>
          <t>Inspection Report</t>
        </is>
      </c>
      <c r="D181" s="44" t="inlineStr">
        <is>
          <t>Civil</t>
        </is>
      </c>
      <c r="E181" s="45" t="inlineStr">
        <is>
          <t>A</t>
        </is>
      </c>
      <c r="F181" s="46" t="n">
        <v>46248</v>
      </c>
      <c r="G181" s="45" t="inlineStr">
        <is>
          <t>TRN-01176</t>
        </is>
      </c>
      <c r="H181" s="44" t="inlineStr">
        <is>
          <t>Meridian Engineering Partners</t>
        </is>
      </c>
      <c r="I181" s="44" t="inlineStr">
        <is>
          <t>Code B – Approved with Comments</t>
        </is>
      </c>
      <c r="J181" s="46" t="n">
        <v>46255</v>
      </c>
      <c r="K181" s="45">
        <f>IF(J181="",TODAY()-F181,J181-F181)</f>
        <v/>
      </c>
      <c r="L181" s="44" t="inlineStr">
        <is>
          <t>Incorporate comments</t>
        </is>
      </c>
      <c r="M181" s="44" t="inlineStr">
        <is>
          <t>\\DC\Civil\Inspection Report\CTP-DHJ-CIV-RPT-0004</t>
        </is>
      </c>
      <c r="O181">
        <f>IF(Search!$C$4="","",IF(ISNUMBER(SEARCH(Search!$C$4,A181&amp;" "&amp;B181&amp;" "&amp;C181&amp;" "&amp;D181&amp;" "&amp;G181&amp;" "&amp;I181)),ROW(),""))</f>
        <v/>
      </c>
    </row>
    <row r="182">
      <c r="A182" s="41" t="inlineStr">
        <is>
          <t>CTP-DHJ-MEP-MAT-0001</t>
        </is>
      </c>
      <c r="B182" s="41" t="inlineStr">
        <is>
          <t>Rebar 16 mm</t>
        </is>
      </c>
      <c r="C182" s="42" t="inlineStr">
        <is>
          <t>Material Submittal</t>
        </is>
      </c>
      <c r="D182" s="41" t="inlineStr">
        <is>
          <t>MEP</t>
        </is>
      </c>
      <c r="E182" s="42" t="inlineStr">
        <is>
          <t>A</t>
        </is>
      </c>
      <c r="F182" s="43" t="n">
        <v>46249</v>
      </c>
      <c r="G182" s="42" t="inlineStr">
        <is>
          <t>TRN-01006</t>
        </is>
      </c>
      <c r="H182" s="41" t="inlineStr">
        <is>
          <t>Meridian Engineering Partners</t>
        </is>
      </c>
      <c r="I182" s="41" t="inlineStr">
        <is>
          <t>Code A – Approved</t>
        </is>
      </c>
      <c r="J182" s="43" t="n">
        <v>46262</v>
      </c>
      <c r="K182" s="42">
        <f>IF(J182="",TODAY()-F182,J182-F182)</f>
        <v/>
      </c>
      <c r="L182" s="41" t="inlineStr">
        <is>
          <t>Issue for construction</t>
        </is>
      </c>
      <c r="M182" s="41" t="inlineStr">
        <is>
          <t>\\DC\MEP\Material Submittal\CTP-DHJ-MEP-MAT-0001</t>
        </is>
      </c>
      <c r="O182">
        <f>IF(Search!$C$4="","",IF(ISNUMBER(SEARCH(Search!$C$4,A182&amp;" "&amp;B182&amp;" "&amp;C182&amp;" "&amp;D182&amp;" "&amp;G182&amp;" "&amp;I182)),ROW(),""))</f>
        <v/>
      </c>
    </row>
    <row r="183">
      <c r="A183" s="44" t="inlineStr">
        <is>
          <t>CTP-DHJ-HSE-DWG-0004</t>
        </is>
      </c>
      <c r="B183" s="44" t="inlineStr">
        <is>
          <t>Cross passage reinforcement</t>
        </is>
      </c>
      <c r="C183" s="45" t="inlineStr">
        <is>
          <t>Drawing</t>
        </is>
      </c>
      <c r="D183" s="44" t="inlineStr">
        <is>
          <t>HSE</t>
        </is>
      </c>
      <c r="E183" s="45" t="inlineStr">
        <is>
          <t>A</t>
        </is>
      </c>
      <c r="F183" s="46" t="n">
        <v>46249</v>
      </c>
      <c r="G183" s="45" t="inlineStr">
        <is>
          <t>TRN-01023</t>
        </is>
      </c>
      <c r="H183" s="44" t="inlineStr">
        <is>
          <t>Meridian Engineering Partners</t>
        </is>
      </c>
      <c r="I183" s="44" t="inlineStr">
        <is>
          <t>Code C – Revise &amp; Resubmit</t>
        </is>
      </c>
      <c r="J183" s="46" t="n">
        <v>46262</v>
      </c>
      <c r="K183" s="45">
        <f>IF(J183="",TODAY()-F183,J183-F183)</f>
        <v/>
      </c>
      <c r="L183" s="44" t="inlineStr">
        <is>
          <t>Revise and resubmit</t>
        </is>
      </c>
      <c r="M183" s="44" t="inlineStr">
        <is>
          <t>\\DC\HSE\Drawing\CTP-DHJ-HSE-DWG-0004</t>
        </is>
      </c>
      <c r="O183">
        <f>IF(Search!$C$4="","",IF(ISNUMBER(SEARCH(Search!$C$4,A183&amp;" "&amp;B183&amp;" "&amp;C183&amp;" "&amp;D183&amp;" "&amp;G183&amp;" "&amp;I183)),ROW(),""))</f>
        <v/>
      </c>
    </row>
    <row r="184">
      <c r="A184" s="41" t="inlineStr">
        <is>
          <t>CTP-DHJ-HSE-DWG-0006</t>
        </is>
      </c>
      <c r="B184" s="41" t="inlineStr">
        <is>
          <t>Cross passage reinforcement</t>
        </is>
      </c>
      <c r="C184" s="42" t="inlineStr">
        <is>
          <t>Drawing</t>
        </is>
      </c>
      <c r="D184" s="41" t="inlineStr">
        <is>
          <t>HSE</t>
        </is>
      </c>
      <c r="E184" s="42" t="inlineStr">
        <is>
          <t>0</t>
        </is>
      </c>
      <c r="F184" s="43" t="n">
        <v>46249</v>
      </c>
      <c r="G184" s="42" t="inlineStr">
        <is>
          <t>TRN-01045</t>
        </is>
      </c>
      <c r="H184" s="41" t="inlineStr">
        <is>
          <t>Meridian Engineering Partners</t>
        </is>
      </c>
      <c r="I184" s="41" t="inlineStr">
        <is>
          <t>Code B – Approved with Comments</t>
        </is>
      </c>
      <c r="J184" s="43" t="n">
        <v>46256</v>
      </c>
      <c r="K184" s="42">
        <f>IF(J184="",TODAY()-F184,J184-F184)</f>
        <v/>
      </c>
      <c r="L184" s="41" t="inlineStr">
        <is>
          <t>Incorporate comments</t>
        </is>
      </c>
      <c r="M184" s="41" t="inlineStr">
        <is>
          <t>\\DC\HSE\Drawing\CTP-DHJ-HSE-DWG-0006</t>
        </is>
      </c>
      <c r="O184">
        <f>IF(Search!$C$4="","",IF(ISNUMBER(SEARCH(Search!$C$4,A184&amp;" "&amp;B184&amp;" "&amp;C184&amp;" "&amp;D184&amp;" "&amp;G184&amp;" "&amp;I184)),ROW(),""))</f>
        <v/>
      </c>
    </row>
    <row r="185">
      <c r="A185" s="44" t="inlineStr">
        <is>
          <t>CTP-DHJ-HSE-MST-0004</t>
        </is>
      </c>
      <c r="B185" s="44" t="inlineStr">
        <is>
          <t>Shaft excavation</t>
        </is>
      </c>
      <c r="C185" s="45" t="inlineStr">
        <is>
          <t>Method Statement</t>
        </is>
      </c>
      <c r="D185" s="44" t="inlineStr">
        <is>
          <t>HSE</t>
        </is>
      </c>
      <c r="E185" s="45" t="inlineStr">
        <is>
          <t>B</t>
        </is>
      </c>
      <c r="F185" s="46" t="n">
        <v>46249</v>
      </c>
      <c r="G185" s="45" t="inlineStr">
        <is>
          <t>TRN-01050</t>
        </is>
      </c>
      <c r="H185" s="44" t="inlineStr">
        <is>
          <t>Meridian Engineering Partners</t>
        </is>
      </c>
      <c r="I185" s="44" t="inlineStr">
        <is>
          <t>Code C – Revise &amp; Resubmit</t>
        </is>
      </c>
      <c r="J185" s="46" t="n">
        <v>46268</v>
      </c>
      <c r="K185" s="45">
        <f>IF(J185="",TODAY()-F185,J185-F185)</f>
        <v/>
      </c>
      <c r="L185" s="44" t="inlineStr">
        <is>
          <t>Revise and resubmit</t>
        </is>
      </c>
      <c r="M185" s="44" t="inlineStr">
        <is>
          <t>\\DC\HSE\Method Statement\CTP-DHJ-HSE-MST-0004</t>
        </is>
      </c>
      <c r="O185">
        <f>IF(Search!$C$4="","",IF(ISNUMBER(SEARCH(Search!$C$4,A185&amp;" "&amp;B185&amp;" "&amp;C185&amp;" "&amp;D185&amp;" "&amp;G185&amp;" "&amp;I185)),ROW(),""))</f>
        <v/>
      </c>
    </row>
    <row r="186">
      <c r="A186" s="41" t="inlineStr">
        <is>
          <t>CTP-DHJ-TUN-RPT-0003</t>
        </is>
      </c>
      <c r="B186" s="41" t="inlineStr">
        <is>
          <t>Weld inspection</t>
        </is>
      </c>
      <c r="C186" s="42" t="inlineStr">
        <is>
          <t>Inspection Report</t>
        </is>
      </c>
      <c r="D186" s="41" t="inlineStr">
        <is>
          <t>Tunnelling</t>
        </is>
      </c>
      <c r="E186" s="42" t="inlineStr">
        <is>
          <t>A</t>
        </is>
      </c>
      <c r="F186" s="43" t="n">
        <v>46250</v>
      </c>
      <c r="G186" s="42" t="inlineStr">
        <is>
          <t>TRN-01134</t>
        </is>
      </c>
      <c r="H186" s="41" t="inlineStr">
        <is>
          <t>Meridian Engineering Partners</t>
        </is>
      </c>
      <c r="I186" s="41" t="inlineStr">
        <is>
          <t>Code C – Revise &amp; Resubmit</t>
        </is>
      </c>
      <c r="J186" s="43" t="n">
        <v>46270</v>
      </c>
      <c r="K186" s="42">
        <f>IF(J186="",TODAY()-F186,J186-F186)</f>
        <v/>
      </c>
      <c r="L186" s="41" t="inlineStr">
        <is>
          <t>Revise and resubmit</t>
        </is>
      </c>
      <c r="M186" s="41" t="inlineStr">
        <is>
          <t>\\DC\Tunnelling\Inspection Report\CTP-DHJ-TUN-RPT-0003</t>
        </is>
      </c>
      <c r="O186">
        <f>IF(Search!$C$4="","",IF(ISNUMBER(SEARCH(Search!$C$4,A186&amp;" "&amp;B186&amp;" "&amp;C186&amp;" "&amp;D186&amp;" "&amp;G186&amp;" "&amp;I186)),ROW(),""))</f>
        <v/>
      </c>
    </row>
    <row r="187">
      <c r="A187" s="44" t="inlineStr">
        <is>
          <t>CTP-DHJ-HSE-MAT-0002</t>
        </is>
      </c>
      <c r="B187" s="44" t="inlineStr">
        <is>
          <t>Precast segment gaskets</t>
        </is>
      </c>
      <c r="C187" s="45" t="inlineStr">
        <is>
          <t>Material Submittal</t>
        </is>
      </c>
      <c r="D187" s="44" t="inlineStr">
        <is>
          <t>HSE</t>
        </is>
      </c>
      <c r="E187" s="45" t="inlineStr">
        <is>
          <t>A</t>
        </is>
      </c>
      <c r="F187" s="46" t="n">
        <v>46251</v>
      </c>
      <c r="G187" s="45" t="inlineStr">
        <is>
          <t>TRN-01031</t>
        </is>
      </c>
      <c r="H187" s="44" t="inlineStr">
        <is>
          <t>Meridian Engineering Partners</t>
        </is>
      </c>
      <c r="I187" s="44" t="inlineStr">
        <is>
          <t>Code A – Approved</t>
        </is>
      </c>
      <c r="J187" s="46" t="n">
        <v>46258</v>
      </c>
      <c r="K187" s="45">
        <f>IF(J187="",TODAY()-F187,J187-F187)</f>
        <v/>
      </c>
      <c r="L187" s="44" t="inlineStr">
        <is>
          <t>Issue for construction</t>
        </is>
      </c>
      <c r="M187" s="44" t="inlineStr">
        <is>
          <t>\\DC\HSE\Material Submittal\CTP-DHJ-HSE-MAT-0002</t>
        </is>
      </c>
      <c r="O187">
        <f>IF(Search!$C$4="","",IF(ISNUMBER(SEARCH(Search!$C$4,A187&amp;" "&amp;B187&amp;" "&amp;C187&amp;" "&amp;D187&amp;" "&amp;G187&amp;" "&amp;I187)),ROW(),""))</f>
        <v/>
      </c>
    </row>
    <row r="188">
      <c r="A188" s="41" t="inlineStr">
        <is>
          <t>CTP-DHJ-GEO-DWG-0003</t>
        </is>
      </c>
      <c r="B188" s="41" t="inlineStr">
        <is>
          <t>Portal structure details</t>
        </is>
      </c>
      <c r="C188" s="42" t="inlineStr">
        <is>
          <t>Drawing</t>
        </is>
      </c>
      <c r="D188" s="41" t="inlineStr">
        <is>
          <t>Geotechnical</t>
        </is>
      </c>
      <c r="E188" s="42" t="inlineStr">
        <is>
          <t>B</t>
        </is>
      </c>
      <c r="F188" s="43" t="n">
        <v>46252</v>
      </c>
      <c r="G188" s="42" t="inlineStr">
        <is>
          <t>TRN-01084</t>
        </is>
      </c>
      <c r="H188" s="41" t="inlineStr">
        <is>
          <t>Meridian Engineering Partners</t>
        </is>
      </c>
      <c r="I188" s="41" t="inlineStr">
        <is>
          <t>Code A – Approved</t>
        </is>
      </c>
      <c r="J188" s="43" t="n">
        <v>46269</v>
      </c>
      <c r="K188" s="42">
        <f>IF(J188="",TODAY()-F188,J188-F188)</f>
        <v/>
      </c>
      <c r="L188" s="41" t="inlineStr">
        <is>
          <t>Issue for construction</t>
        </is>
      </c>
      <c r="M188" s="41" t="inlineStr">
        <is>
          <t>\\DC\Geotechnical\Drawing\CTP-DHJ-GEO-DWG-0003</t>
        </is>
      </c>
      <c r="O188">
        <f>IF(Search!$C$4="","",IF(ISNUMBER(SEARCH(Search!$C$4,A188&amp;" "&amp;B188&amp;" "&amp;C188&amp;" "&amp;D188&amp;" "&amp;G188&amp;" "&amp;I188)),ROW(),""))</f>
        <v/>
      </c>
    </row>
    <row r="189">
      <c r="A189" s="44" t="inlineStr">
        <is>
          <t>CTP-DHJ-TUN-MAT-0006</t>
        </is>
      </c>
      <c r="B189" s="44" t="inlineStr">
        <is>
          <t>Fire-rated cables</t>
        </is>
      </c>
      <c r="C189" s="45" t="inlineStr">
        <is>
          <t>Material Submittal</t>
        </is>
      </c>
      <c r="D189" s="44" t="inlineStr">
        <is>
          <t>Tunnelling</t>
        </is>
      </c>
      <c r="E189" s="45" t="inlineStr">
        <is>
          <t>1</t>
        </is>
      </c>
      <c r="F189" s="46" t="n">
        <v>46252</v>
      </c>
      <c r="G189" s="45" t="inlineStr">
        <is>
          <t>TRN-01143</t>
        </is>
      </c>
      <c r="H189" s="44" t="inlineStr">
        <is>
          <t>Meridian Engineering Partners</t>
        </is>
      </c>
      <c r="I189" s="44" t="inlineStr">
        <is>
          <t>Code A – Approved</t>
        </is>
      </c>
      <c r="J189" s="46" t="n">
        <v>46260</v>
      </c>
      <c r="K189" s="45">
        <f>IF(J189="",TODAY()-F189,J189-F189)</f>
        <v/>
      </c>
      <c r="L189" s="44" t="inlineStr">
        <is>
          <t>Issue for construction</t>
        </is>
      </c>
      <c r="M189" s="44" t="inlineStr">
        <is>
          <t>\\DC\Tunnelling\Material Submittal\CTP-DHJ-TUN-MAT-0006</t>
        </is>
      </c>
      <c r="O189">
        <f>IF(Search!$C$4="","",IF(ISNUMBER(SEARCH(Search!$C$4,A189&amp;" "&amp;B189&amp;" "&amp;C189&amp;" "&amp;D189&amp;" "&amp;G189&amp;" "&amp;I189)),ROW(),""))</f>
        <v/>
      </c>
    </row>
    <row r="190">
      <c r="A190" s="41" t="inlineStr">
        <is>
          <t>CTP-DHJ-CIV-MAT-0010</t>
        </is>
      </c>
      <c r="B190" s="41" t="inlineStr">
        <is>
          <t>Rebar 16 mm</t>
        </is>
      </c>
      <c r="C190" s="42" t="inlineStr">
        <is>
          <t>Material Submittal</t>
        </is>
      </c>
      <c r="D190" s="41" t="inlineStr">
        <is>
          <t>Civil</t>
        </is>
      </c>
      <c r="E190" s="42" t="inlineStr">
        <is>
          <t>0</t>
        </is>
      </c>
      <c r="F190" s="43" t="n">
        <v>46253</v>
      </c>
      <c r="G190" s="42" t="inlineStr">
        <is>
          <t>TRN-01194</t>
        </is>
      </c>
      <c r="H190" s="41" t="inlineStr">
        <is>
          <t>Meridian Engineering Partners</t>
        </is>
      </c>
      <c r="I190" s="41" t="inlineStr">
        <is>
          <t>Code A – Approved</t>
        </is>
      </c>
      <c r="J190" s="43" t="n">
        <v>46265</v>
      </c>
      <c r="K190" s="42">
        <f>IF(J190="",TODAY()-F190,J190-F190)</f>
        <v/>
      </c>
      <c r="L190" s="41" t="inlineStr">
        <is>
          <t>Issue for construction</t>
        </is>
      </c>
      <c r="M190" s="41" t="inlineStr">
        <is>
          <t>\\DC\Civil\Material Submittal\CTP-DHJ-CIV-MAT-0010</t>
        </is>
      </c>
      <c r="O190">
        <f>IF(Search!$C$4="","",IF(ISNUMBER(SEARCH(Search!$C$4,A190&amp;" "&amp;B190&amp;" "&amp;C190&amp;" "&amp;D190&amp;" "&amp;G190&amp;" "&amp;I190)),ROW(),""))</f>
        <v/>
      </c>
    </row>
    <row r="191">
      <c r="A191" s="44" t="inlineStr">
        <is>
          <t>CTP-DHJ-HSE-DWG-0008</t>
        </is>
      </c>
      <c r="B191" s="44" t="inlineStr">
        <is>
          <t>Cross passage reinforcement</t>
        </is>
      </c>
      <c r="C191" s="45" t="inlineStr">
        <is>
          <t>Drawing</t>
        </is>
      </c>
      <c r="D191" s="44" t="inlineStr">
        <is>
          <t>HSE</t>
        </is>
      </c>
      <c r="E191" s="45" t="inlineStr">
        <is>
          <t>B</t>
        </is>
      </c>
      <c r="F191" s="46" t="n">
        <v>46256</v>
      </c>
      <c r="G191" s="45" t="inlineStr">
        <is>
          <t>TRN-01100</t>
        </is>
      </c>
      <c r="H191" s="44" t="inlineStr">
        <is>
          <t>Meridian Engineering Partners</t>
        </is>
      </c>
      <c r="I191" s="44" t="inlineStr">
        <is>
          <t>Code A – Approved</t>
        </is>
      </c>
      <c r="J191" s="46" t="n">
        <v>46270</v>
      </c>
      <c r="K191" s="45">
        <f>IF(J191="",TODAY()-F191,J191-F191)</f>
        <v/>
      </c>
      <c r="L191" s="44" t="inlineStr">
        <is>
          <t>Issue for construction</t>
        </is>
      </c>
      <c r="M191" s="44" t="inlineStr">
        <is>
          <t>\\DC\HSE\Drawing\CTP-DHJ-HSE-DWG-0008</t>
        </is>
      </c>
      <c r="O191">
        <f>IF(Search!$C$4="","",IF(ISNUMBER(SEARCH(Search!$C$4,A191&amp;" "&amp;B191&amp;" "&amp;C191&amp;" "&amp;D191&amp;" "&amp;G191&amp;" "&amp;I191)),ROW(),""))</f>
        <v/>
      </c>
    </row>
    <row r="192">
      <c r="A192" s="41" t="inlineStr">
        <is>
          <t>CTP-DHJ-MEP-DWG-0013</t>
        </is>
      </c>
      <c r="B192" s="41" t="inlineStr">
        <is>
          <t>Shaft general arrangement</t>
        </is>
      </c>
      <c r="C192" s="42" t="inlineStr">
        <is>
          <t>Drawing</t>
        </is>
      </c>
      <c r="D192" s="41" t="inlineStr">
        <is>
          <t>MEP</t>
        </is>
      </c>
      <c r="E192" s="42" t="inlineStr">
        <is>
          <t>1</t>
        </is>
      </c>
      <c r="F192" s="43" t="n">
        <v>46258</v>
      </c>
      <c r="G192" s="42" t="inlineStr">
        <is>
          <t>TRN-01201</t>
        </is>
      </c>
      <c r="H192" s="41" t="inlineStr">
        <is>
          <t>Meridian Engineering Partners</t>
        </is>
      </c>
      <c r="I192" s="41" t="inlineStr">
        <is>
          <t>Code B – Approved with Comments</t>
        </is>
      </c>
      <c r="J192" s="43" t="n">
        <v>46264</v>
      </c>
      <c r="K192" s="42">
        <f>IF(J192="",TODAY()-F192,J192-F192)</f>
        <v/>
      </c>
      <c r="L192" s="41" t="inlineStr">
        <is>
          <t>Incorporate comments</t>
        </is>
      </c>
      <c r="M192" s="41" t="inlineStr">
        <is>
          <t>\\DC\MEP\Drawing\CTP-DHJ-MEP-DWG-0013</t>
        </is>
      </c>
      <c r="O192">
        <f>IF(Search!$C$4="","",IF(ISNUMBER(SEARCH(Search!$C$4,A192&amp;" "&amp;B192&amp;" "&amp;C192&amp;" "&amp;D192&amp;" "&amp;G192&amp;" "&amp;I192)),ROW(),""))</f>
        <v/>
      </c>
    </row>
    <row r="193">
      <c r="A193" s="44" t="inlineStr">
        <is>
          <t>CTP-DHJ-MEP-MST-0009</t>
        </is>
      </c>
      <c r="B193" s="44" t="inlineStr">
        <is>
          <t>Shaft excavation</t>
        </is>
      </c>
      <c r="C193" s="45" t="inlineStr">
        <is>
          <t>Method Statement</t>
        </is>
      </c>
      <c r="D193" s="44" t="inlineStr">
        <is>
          <t>MEP</t>
        </is>
      </c>
      <c r="E193" s="45" t="inlineStr">
        <is>
          <t>A</t>
        </is>
      </c>
      <c r="F193" s="46" t="n">
        <v>46260</v>
      </c>
      <c r="G193" s="45" t="inlineStr">
        <is>
          <t>TRN-01159</t>
        </is>
      </c>
      <c r="H193" s="44" t="inlineStr">
        <is>
          <t>Meridian Engineering Partners</t>
        </is>
      </c>
      <c r="I193" s="44" t="inlineStr">
        <is>
          <t>Code A – Approved</t>
        </is>
      </c>
      <c r="J193" s="46" t="n">
        <v>46276</v>
      </c>
      <c r="K193" s="45">
        <f>IF(J193="",TODAY()-F193,J193-F193)</f>
        <v/>
      </c>
      <c r="L193" s="44" t="inlineStr">
        <is>
          <t>Issue for construction</t>
        </is>
      </c>
      <c r="M193" s="44" t="inlineStr">
        <is>
          <t>\\DC\MEP\Method Statement\CTP-DHJ-MEP-MST-0009</t>
        </is>
      </c>
      <c r="O193">
        <f>IF(Search!$C$4="","",IF(ISNUMBER(SEARCH(Search!$C$4,A193&amp;" "&amp;B193&amp;" "&amp;C193&amp;" "&amp;D193&amp;" "&amp;G193&amp;" "&amp;I193)),ROW(),""))</f>
        <v/>
      </c>
    </row>
    <row r="194">
      <c r="A194" s="41" t="inlineStr">
        <is>
          <t>CTP-DHJ-GEO-MST-0007</t>
        </is>
      </c>
      <c r="B194" s="41" t="inlineStr">
        <is>
          <t>Waterproofing installation</t>
        </is>
      </c>
      <c r="C194" s="42" t="inlineStr">
        <is>
          <t>Method Statement</t>
        </is>
      </c>
      <c r="D194" s="41" t="inlineStr">
        <is>
          <t>Geotechnical</t>
        </is>
      </c>
      <c r="E194" s="42" t="inlineStr">
        <is>
          <t>A</t>
        </is>
      </c>
      <c r="F194" s="43" t="n">
        <v>46260</v>
      </c>
      <c r="G194" s="42" t="inlineStr">
        <is>
          <t>TRN-01202</t>
        </is>
      </c>
      <c r="H194" s="41" t="inlineStr">
        <is>
          <t>Meridian Engineering Partners</t>
        </is>
      </c>
      <c r="I194" s="41" t="inlineStr">
        <is>
          <t>Code A – Approved</t>
        </is>
      </c>
      <c r="J194" s="43" t="n">
        <v>46269</v>
      </c>
      <c r="K194" s="42">
        <f>IF(J194="",TODAY()-F194,J194-F194)</f>
        <v/>
      </c>
      <c r="L194" s="41" t="inlineStr">
        <is>
          <t>Issue for construction</t>
        </is>
      </c>
      <c r="M194" s="41" t="inlineStr">
        <is>
          <t>\\DC\Geotechnical\Method Statement\CTP-DHJ-GEO-MST-0007</t>
        </is>
      </c>
      <c r="O194">
        <f>IF(Search!$C$4="","",IF(ISNUMBER(SEARCH(Search!$C$4,A194&amp;" "&amp;B194&amp;" "&amp;C194&amp;" "&amp;D194&amp;" "&amp;G194&amp;" "&amp;I194)),ROW(),""))</f>
        <v/>
      </c>
    </row>
    <row r="195">
      <c r="A195" s="44" t="inlineStr">
        <is>
          <t>CTP-DHJ-GEO-MST-0001</t>
        </is>
      </c>
      <c r="B195" s="44" t="inlineStr">
        <is>
          <t>Cable pulling</t>
        </is>
      </c>
      <c r="C195" s="45" t="inlineStr">
        <is>
          <t>Method Statement</t>
        </is>
      </c>
      <c r="D195" s="44" t="inlineStr">
        <is>
          <t>Geotechnical</t>
        </is>
      </c>
      <c r="E195" s="45" t="inlineStr">
        <is>
          <t>A</t>
        </is>
      </c>
      <c r="F195" s="46" t="n">
        <v>46261</v>
      </c>
      <c r="G195" s="45" t="inlineStr">
        <is>
          <t>TRN-01027</t>
        </is>
      </c>
      <c r="H195" s="44" t="inlineStr">
        <is>
          <t>Meridian Engineering Partners</t>
        </is>
      </c>
      <c r="I195" s="44" t="inlineStr">
        <is>
          <t>Code A – Approved</t>
        </is>
      </c>
      <c r="J195" s="46" t="n">
        <v>46266</v>
      </c>
      <c r="K195" s="45">
        <f>IF(J195="",TODAY()-F195,J195-F195)</f>
        <v/>
      </c>
      <c r="L195" s="44" t="inlineStr">
        <is>
          <t>Issue for construction</t>
        </is>
      </c>
      <c r="M195" s="44" t="inlineStr">
        <is>
          <t>\\DC\Geotechnical\Method Statement\CTP-DHJ-GEO-MST-0001</t>
        </is>
      </c>
      <c r="O195">
        <f>IF(Search!$C$4="","",IF(ISNUMBER(SEARCH(Search!$C$4,A195&amp;" "&amp;B195&amp;" "&amp;C195&amp;" "&amp;D195&amp;" "&amp;G195&amp;" "&amp;I195)),ROW(),""))</f>
        <v/>
      </c>
    </row>
    <row r="196">
      <c r="A196" s="41" t="inlineStr">
        <is>
          <t>CTP-DHJ-CIV-DWG-0003</t>
        </is>
      </c>
      <c r="B196" s="41" t="inlineStr">
        <is>
          <t>Drainage layout</t>
        </is>
      </c>
      <c r="C196" s="42" t="inlineStr">
        <is>
          <t>Drawing</t>
        </is>
      </c>
      <c r="D196" s="41" t="inlineStr">
        <is>
          <t>Civil</t>
        </is>
      </c>
      <c r="E196" s="42" t="inlineStr">
        <is>
          <t>1</t>
        </is>
      </c>
      <c r="F196" s="43" t="n">
        <v>46261</v>
      </c>
      <c r="G196" s="42" t="inlineStr">
        <is>
          <t>TRN-01066</t>
        </is>
      </c>
      <c r="H196" s="41" t="inlineStr">
        <is>
          <t>Meridian Engineering Partners</t>
        </is>
      </c>
      <c r="I196" s="41" t="inlineStr">
        <is>
          <t>Code A – Approved</t>
        </is>
      </c>
      <c r="J196" s="43" t="n">
        <v>46266</v>
      </c>
      <c r="K196" s="42">
        <f>IF(J196="",TODAY()-F196,J196-F196)</f>
        <v/>
      </c>
      <c r="L196" s="41" t="inlineStr">
        <is>
          <t>Issue for construction</t>
        </is>
      </c>
      <c r="M196" s="41" t="inlineStr">
        <is>
          <t>\\DC\Civil\Drawing\CTP-DHJ-CIV-DWG-0003</t>
        </is>
      </c>
      <c r="O196">
        <f>IF(Search!$C$4="","",IF(ISNUMBER(SEARCH(Search!$C$4,A196&amp;" "&amp;B196&amp;" "&amp;C196&amp;" "&amp;D196&amp;" "&amp;G196&amp;" "&amp;I196)),ROW(),""))</f>
        <v/>
      </c>
    </row>
    <row r="197">
      <c r="A197" s="44" t="inlineStr">
        <is>
          <t>CTP-DHJ-CIV-MST-0005</t>
        </is>
      </c>
      <c r="B197" s="44" t="inlineStr">
        <is>
          <t>Annulus grouting</t>
        </is>
      </c>
      <c r="C197" s="45" t="inlineStr">
        <is>
          <t>Method Statement</t>
        </is>
      </c>
      <c r="D197" s="44" t="inlineStr">
        <is>
          <t>Civil</t>
        </is>
      </c>
      <c r="E197" s="45" t="inlineStr">
        <is>
          <t>B</t>
        </is>
      </c>
      <c r="F197" s="46" t="n">
        <v>46264</v>
      </c>
      <c r="G197" s="45" t="inlineStr">
        <is>
          <t>TRN-01135</t>
        </is>
      </c>
      <c r="H197" s="44" t="inlineStr">
        <is>
          <t>Meridian Engineering Partners</t>
        </is>
      </c>
      <c r="I197" s="44" t="inlineStr">
        <is>
          <t>Code A – Approved</t>
        </is>
      </c>
      <c r="J197" s="46" t="n">
        <v>46282</v>
      </c>
      <c r="K197" s="45">
        <f>IF(J197="",TODAY()-F197,J197-F197)</f>
        <v/>
      </c>
      <c r="L197" s="44" t="inlineStr">
        <is>
          <t>Issue for construction</t>
        </is>
      </c>
      <c r="M197" s="44" t="inlineStr">
        <is>
          <t>\\DC\Civil\Method Statement\CTP-DHJ-CIV-MST-0005</t>
        </is>
      </c>
      <c r="O197">
        <f>IF(Search!$C$4="","",IF(ISNUMBER(SEARCH(Search!$C$4,A197&amp;" "&amp;B197&amp;" "&amp;C197&amp;" "&amp;D197&amp;" "&amp;G197&amp;" "&amp;I197)),ROW(),""))</f>
        <v/>
      </c>
    </row>
    <row r="198">
      <c r="A198" s="41" t="inlineStr">
        <is>
          <t>CTP-DHJ-MEP-DWG-0008</t>
        </is>
      </c>
      <c r="B198" s="41" t="inlineStr">
        <is>
          <t>Portal structure details</t>
        </is>
      </c>
      <c r="C198" s="42" t="inlineStr">
        <is>
          <t>Drawing</t>
        </is>
      </c>
      <c r="D198" s="41" t="inlineStr">
        <is>
          <t>MEP</t>
        </is>
      </c>
      <c r="E198" s="42" t="inlineStr">
        <is>
          <t>B</t>
        </is>
      </c>
      <c r="F198" s="43" t="n">
        <v>46264</v>
      </c>
      <c r="G198" s="42" t="inlineStr">
        <is>
          <t>TRN-01144</t>
        </is>
      </c>
      <c r="H198" s="41" t="inlineStr">
        <is>
          <t>Meridian Engineering Partners</t>
        </is>
      </c>
      <c r="I198" s="41" t="inlineStr">
        <is>
          <t>Code B – Approved with Comments</t>
        </is>
      </c>
      <c r="J198" s="43" t="n">
        <v>46278</v>
      </c>
      <c r="K198" s="42">
        <f>IF(J198="",TODAY()-F198,J198-F198)</f>
        <v/>
      </c>
      <c r="L198" s="41" t="inlineStr">
        <is>
          <t>Incorporate comments</t>
        </is>
      </c>
      <c r="M198" s="41" t="inlineStr">
        <is>
          <t>\\DC\MEP\Drawing\CTP-DHJ-MEP-DWG-0008</t>
        </is>
      </c>
      <c r="O198">
        <f>IF(Search!$C$4="","",IF(ISNUMBER(SEARCH(Search!$C$4,A198&amp;" "&amp;B198&amp;" "&amp;C198&amp;" "&amp;D198&amp;" "&amp;G198&amp;" "&amp;I198)),ROW(),""))</f>
        <v/>
      </c>
    </row>
    <row r="199">
      <c r="A199" s="44" t="inlineStr">
        <is>
          <t>CTP-DHJ-HSE-DWG-0012</t>
        </is>
      </c>
      <c r="B199" s="44" t="inlineStr">
        <is>
          <t>Shaft general arrangement</t>
        </is>
      </c>
      <c r="C199" s="45" t="inlineStr">
        <is>
          <t>Drawing</t>
        </is>
      </c>
      <c r="D199" s="44" t="inlineStr">
        <is>
          <t>HSE</t>
        </is>
      </c>
      <c r="E199" s="45" t="inlineStr">
        <is>
          <t>1</t>
        </is>
      </c>
      <c r="F199" s="46" t="n">
        <v>46264</v>
      </c>
      <c r="G199" s="45" t="inlineStr">
        <is>
          <t>TRN-01196</t>
        </is>
      </c>
      <c r="H199" s="44" t="inlineStr">
        <is>
          <t>Meridian Engineering Partners</t>
        </is>
      </c>
      <c r="I199" s="44" t="inlineStr">
        <is>
          <t>Code A – Approved</t>
        </is>
      </c>
      <c r="J199" s="46" t="n">
        <v>46274</v>
      </c>
      <c r="K199" s="45">
        <f>IF(J199="",TODAY()-F199,J199-F199)</f>
        <v/>
      </c>
      <c r="L199" s="44" t="inlineStr">
        <is>
          <t>Issue for construction</t>
        </is>
      </c>
      <c r="M199" s="44" t="inlineStr">
        <is>
          <t>\\DC\HSE\Drawing\CTP-DHJ-HSE-DWG-0012</t>
        </is>
      </c>
      <c r="O199">
        <f>IF(Search!$C$4="","",IF(ISNUMBER(SEARCH(Search!$C$4,A199&amp;" "&amp;B199&amp;" "&amp;C199&amp;" "&amp;D199&amp;" "&amp;G199&amp;" "&amp;I199)),ROW(),""))</f>
        <v/>
      </c>
    </row>
    <row r="200">
      <c r="A200" s="41" t="inlineStr">
        <is>
          <t>CTP-DHJ-GEO-MST-0002</t>
        </is>
      </c>
      <c r="B200" s="41" t="inlineStr">
        <is>
          <t>TBM launching</t>
        </is>
      </c>
      <c r="C200" s="42" t="inlineStr">
        <is>
          <t>Method Statement</t>
        </is>
      </c>
      <c r="D200" s="41" t="inlineStr">
        <is>
          <t>Geotechnical</t>
        </is>
      </c>
      <c r="E200" s="42" t="inlineStr">
        <is>
          <t>B</t>
        </is>
      </c>
      <c r="F200" s="43" t="n">
        <v>46265</v>
      </c>
      <c r="G200" s="42" t="inlineStr">
        <is>
          <t>TRN-01041</t>
        </is>
      </c>
      <c r="H200" s="41" t="inlineStr">
        <is>
          <t>Meridian Engineering Partners</t>
        </is>
      </c>
      <c r="I200" s="41" t="inlineStr">
        <is>
          <t>Code C – Revise &amp; Resubmit</t>
        </is>
      </c>
      <c r="J200" s="43" t="n">
        <v>46280</v>
      </c>
      <c r="K200" s="42">
        <f>IF(J200="",TODAY()-F200,J200-F200)</f>
        <v/>
      </c>
      <c r="L200" s="41" t="inlineStr">
        <is>
          <t>Revise and resubmit</t>
        </is>
      </c>
      <c r="M200" s="41" t="inlineStr">
        <is>
          <t>\\DC\Geotechnical\Method Statement\CTP-DHJ-GEO-MST-0002</t>
        </is>
      </c>
      <c r="O200">
        <f>IF(Search!$C$4="","",IF(ISNUMBER(SEARCH(Search!$C$4,A200&amp;" "&amp;B200&amp;" "&amp;C200&amp;" "&amp;D200&amp;" "&amp;G200&amp;" "&amp;I200)),ROW(),""))</f>
        <v/>
      </c>
    </row>
    <row r="201">
      <c r="A201" s="44" t="inlineStr">
        <is>
          <t>CTP-DHJ-QAQ-PRC-0004</t>
        </is>
      </c>
      <c r="B201" s="44" t="inlineStr">
        <is>
          <t>Permit to work</t>
        </is>
      </c>
      <c r="C201" s="45" t="inlineStr">
        <is>
          <t>Procedure</t>
        </is>
      </c>
      <c r="D201" s="44" t="inlineStr">
        <is>
          <t>Quality</t>
        </is>
      </c>
      <c r="E201" s="45" t="inlineStr">
        <is>
          <t>A</t>
        </is>
      </c>
      <c r="F201" s="46" t="n">
        <v>46265</v>
      </c>
      <c r="G201" s="45" t="inlineStr">
        <is>
          <t>TRN-01093</t>
        </is>
      </c>
      <c r="H201" s="44" t="inlineStr">
        <is>
          <t>Meridian Engineering Partners</t>
        </is>
      </c>
      <c r="I201" s="44" t="inlineStr">
        <is>
          <t>Code B – Approved with Comments</t>
        </is>
      </c>
      <c r="J201" s="46" t="n">
        <v>46270</v>
      </c>
      <c r="K201" s="45">
        <f>IF(J201="",TODAY()-F201,J201-F201)</f>
        <v/>
      </c>
      <c r="L201" s="44" t="inlineStr">
        <is>
          <t>Incorporate comments</t>
        </is>
      </c>
      <c r="M201" s="44" t="inlineStr">
        <is>
          <t>\\DC\Quality\Procedure\CTP-DHJ-QAQ-PRC-0004</t>
        </is>
      </c>
      <c r="O201">
        <f>IF(Search!$C$4="","",IF(ISNUMBER(SEARCH(Search!$C$4,A201&amp;" "&amp;B201&amp;" "&amp;C201&amp;" "&amp;D201&amp;" "&amp;G201&amp;" "&amp;I201)),ROW(),""))</f>
        <v/>
      </c>
    </row>
    <row r="202">
      <c r="A202" s="41" t="inlineStr">
        <is>
          <t>CTP-DHJ-TUN-MAT-0009</t>
        </is>
      </c>
      <c r="B202" s="41" t="inlineStr">
        <is>
          <t>Fire-rated cables</t>
        </is>
      </c>
      <c r="C202" s="42" t="inlineStr">
        <is>
          <t>Material Submittal</t>
        </is>
      </c>
      <c r="D202" s="41" t="inlineStr">
        <is>
          <t>Tunnelling</t>
        </is>
      </c>
      <c r="E202" s="42" t="inlineStr">
        <is>
          <t>B</t>
        </is>
      </c>
      <c r="F202" s="43" t="n">
        <v>46266</v>
      </c>
      <c r="G202" s="42" t="inlineStr">
        <is>
          <t>TRN-01167</t>
        </is>
      </c>
      <c r="H202" s="41" t="inlineStr">
        <is>
          <t>Meridian Engineering Partners</t>
        </is>
      </c>
      <c r="I202" s="41" t="inlineStr">
        <is>
          <t>Code B – Approved with Comments</t>
        </is>
      </c>
      <c r="J202" s="43" t="n">
        <v>46283</v>
      </c>
      <c r="K202" s="42">
        <f>IF(J202="",TODAY()-F202,J202-F202)</f>
        <v/>
      </c>
      <c r="L202" s="41" t="inlineStr">
        <is>
          <t>Incorporate comments</t>
        </is>
      </c>
      <c r="M202" s="41" t="inlineStr">
        <is>
          <t>\\DC\Tunnelling\Material Submittal\CTP-DHJ-TUN-MAT-0009</t>
        </is>
      </c>
      <c r="O202">
        <f>IF(Search!$C$4="","",IF(ISNUMBER(SEARCH(Search!$C$4,A202&amp;" "&amp;B202&amp;" "&amp;C202&amp;" "&amp;D202&amp;" "&amp;G202&amp;" "&amp;I202)),ROW(),""))</f>
        <v/>
      </c>
    </row>
    <row r="203">
      <c r="A203" s="44" t="inlineStr">
        <is>
          <t>CTP-DHJ-GEO-MAT-0005</t>
        </is>
      </c>
      <c r="B203" s="44" t="inlineStr">
        <is>
          <t>Grout admixture</t>
        </is>
      </c>
      <c r="C203" s="45" t="inlineStr">
        <is>
          <t>Material Submittal</t>
        </is>
      </c>
      <c r="D203" s="44" t="inlineStr">
        <is>
          <t>Geotechnical</t>
        </is>
      </c>
      <c r="E203" s="45" t="inlineStr">
        <is>
          <t>B</t>
        </is>
      </c>
      <c r="F203" s="46" t="n">
        <v>46267</v>
      </c>
      <c r="G203" s="45" t="inlineStr">
        <is>
          <t>TRN-01183</t>
        </is>
      </c>
      <c r="H203" s="44" t="inlineStr">
        <is>
          <t>Meridian Engineering Partners</t>
        </is>
      </c>
      <c r="I203" s="44" t="inlineStr">
        <is>
          <t>Code C – Revise &amp; Resubmit</t>
        </is>
      </c>
      <c r="J203" s="46" t="n">
        <v>46285</v>
      </c>
      <c r="K203" s="45">
        <f>IF(J203="",TODAY()-F203,J203-F203)</f>
        <v/>
      </c>
      <c r="L203" s="44" t="inlineStr">
        <is>
          <t>Revise and resubmit</t>
        </is>
      </c>
      <c r="M203" s="44" t="inlineStr">
        <is>
          <t>\\DC\Geotechnical\Material Submittal\CTP-DHJ-GEO-MAT-0005</t>
        </is>
      </c>
      <c r="O203">
        <f>IF(Search!$C$4="","",IF(ISNUMBER(SEARCH(Search!$C$4,A203&amp;" "&amp;B203&amp;" "&amp;C203&amp;" "&amp;D203&amp;" "&amp;G203&amp;" "&amp;I203)),ROW(),""))</f>
        <v/>
      </c>
    </row>
    <row r="204">
      <c r="A204" s="41" t="inlineStr">
        <is>
          <t>CTP-DHJ-QAQ-PRC-0002</t>
        </is>
      </c>
      <c r="B204" s="41" t="inlineStr">
        <is>
          <t>Emergency response plan</t>
        </is>
      </c>
      <c r="C204" s="42" t="inlineStr">
        <is>
          <t>Procedure</t>
        </is>
      </c>
      <c r="D204" s="41" t="inlineStr">
        <is>
          <t>Quality</t>
        </is>
      </c>
      <c r="E204" s="42" t="inlineStr">
        <is>
          <t>1</t>
        </is>
      </c>
      <c r="F204" s="43" t="n">
        <v>46272</v>
      </c>
      <c r="G204" s="42" t="inlineStr">
        <is>
          <t>TRN-01081</t>
        </is>
      </c>
      <c r="H204" s="41" t="inlineStr">
        <is>
          <t>Meridian Engineering Partners</t>
        </is>
      </c>
      <c r="I204" s="41" t="inlineStr">
        <is>
          <t>Code B – Approved with Comments</t>
        </is>
      </c>
      <c r="J204" s="43" t="n">
        <v>46281</v>
      </c>
      <c r="K204" s="42">
        <f>IF(J204="",TODAY()-F204,J204-F204)</f>
        <v/>
      </c>
      <c r="L204" s="41" t="inlineStr">
        <is>
          <t>Incorporate comments</t>
        </is>
      </c>
      <c r="M204" s="41" t="inlineStr">
        <is>
          <t>\\DC\Quality\Procedure\CTP-DHJ-QAQ-PRC-0002</t>
        </is>
      </c>
      <c r="O204">
        <f>IF(Search!$C$4="","",IF(ISNUMBER(SEARCH(Search!$C$4,A204&amp;" "&amp;B204&amp;" "&amp;C204&amp;" "&amp;D204&amp;" "&amp;G204&amp;" "&amp;I204)),ROW(),""))</f>
        <v/>
      </c>
    </row>
    <row r="205">
      <c r="A205" s="44" t="inlineStr">
        <is>
          <t>CTP-DHJ-CIV-PRC-0001</t>
        </is>
      </c>
      <c r="B205" s="44" t="inlineStr">
        <is>
          <t>NCR handling</t>
        </is>
      </c>
      <c r="C205" s="45" t="inlineStr">
        <is>
          <t>Procedure</t>
        </is>
      </c>
      <c r="D205" s="44" t="inlineStr">
        <is>
          <t>Civil</t>
        </is>
      </c>
      <c r="E205" s="45" t="inlineStr">
        <is>
          <t>0</t>
        </is>
      </c>
      <c r="F205" s="46" t="n">
        <v>46273</v>
      </c>
      <c r="G205" s="45" t="inlineStr">
        <is>
          <t>TRN-01024</t>
        </is>
      </c>
      <c r="H205" s="44" t="inlineStr">
        <is>
          <t>Meridian Engineering Partners</t>
        </is>
      </c>
      <c r="I205" s="44" t="inlineStr">
        <is>
          <t>Code A – Approved</t>
        </is>
      </c>
      <c r="J205" s="46" t="n">
        <v>46291</v>
      </c>
      <c r="K205" s="45">
        <f>IF(J205="",TODAY()-F205,J205-F205)</f>
        <v/>
      </c>
      <c r="L205" s="44" t="inlineStr">
        <is>
          <t>Issue for construction</t>
        </is>
      </c>
      <c r="M205" s="44" t="inlineStr">
        <is>
          <t>\\DC\Civil\Procedure\CTP-DHJ-CIV-PRC-0001</t>
        </is>
      </c>
      <c r="O205">
        <f>IF(Search!$C$4="","",IF(ISNUMBER(SEARCH(Search!$C$4,A205&amp;" "&amp;B205&amp;" "&amp;C205&amp;" "&amp;D205&amp;" "&amp;G205&amp;" "&amp;I205)),ROW(),""))</f>
        <v/>
      </c>
    </row>
    <row r="206">
      <c r="A206" s="41" t="inlineStr">
        <is>
          <t>CTP-DHJ-HSE-MAT-0007</t>
        </is>
      </c>
      <c r="B206" s="41" t="inlineStr">
        <is>
          <t>Ventilation fans</t>
        </is>
      </c>
      <c r="C206" s="42" t="inlineStr">
        <is>
          <t>Material Submittal</t>
        </is>
      </c>
      <c r="D206" s="41" t="inlineStr">
        <is>
          <t>HSE</t>
        </is>
      </c>
      <c r="E206" s="42" t="inlineStr">
        <is>
          <t>0</t>
        </is>
      </c>
      <c r="F206" s="43" t="n">
        <v>46273</v>
      </c>
      <c r="G206" s="42" t="inlineStr">
        <is>
          <t>TRN-01146</t>
        </is>
      </c>
      <c r="H206" s="41" t="inlineStr">
        <is>
          <t>Meridian Engineering Partners</t>
        </is>
      </c>
      <c r="I206" s="41" t="inlineStr">
        <is>
          <t>Code A – Approved</t>
        </is>
      </c>
      <c r="J206" s="43" t="n">
        <v>46290</v>
      </c>
      <c r="K206" s="42">
        <f>IF(J206="",TODAY()-F206,J206-F206)</f>
        <v/>
      </c>
      <c r="L206" s="41" t="inlineStr">
        <is>
          <t>Issue for construction</t>
        </is>
      </c>
      <c r="M206" s="41" t="inlineStr">
        <is>
          <t>\\DC\HSE\Material Submittal\CTP-DHJ-HSE-MAT-0007</t>
        </is>
      </c>
      <c r="O206">
        <f>IF(Search!$C$4="","",IF(ISNUMBER(SEARCH(Search!$C$4,A206&amp;" "&amp;B206&amp;" "&amp;C206&amp;" "&amp;D206&amp;" "&amp;G206&amp;" "&amp;I206)),ROW(),""))</f>
        <v/>
      </c>
    </row>
    <row r="207">
      <c r="A207" s="44" t="inlineStr">
        <is>
          <t>CTP-DHJ-TUN-MAT-0005</t>
        </is>
      </c>
      <c r="B207" s="44" t="inlineStr">
        <is>
          <t>Ventilation fans</t>
        </is>
      </c>
      <c r="C207" s="45" t="inlineStr">
        <is>
          <t>Material Submittal</t>
        </is>
      </c>
      <c r="D207" s="44" t="inlineStr">
        <is>
          <t>Tunnelling</t>
        </is>
      </c>
      <c r="E207" s="45" t="inlineStr">
        <is>
          <t>B</t>
        </is>
      </c>
      <c r="F207" s="46" t="n">
        <v>46275</v>
      </c>
      <c r="G207" s="45" t="inlineStr">
        <is>
          <t>TRN-01105</t>
        </is>
      </c>
      <c r="H207" s="44" t="inlineStr">
        <is>
          <t>Meridian Engineering Partners</t>
        </is>
      </c>
      <c r="I207" s="44" t="inlineStr">
        <is>
          <t>Under Review</t>
        </is>
      </c>
      <c r="J207" s="46" t="n"/>
      <c r="K207" s="45">
        <f>IF(J207="",TODAY()-F207,J207-F207)</f>
        <v/>
      </c>
      <c r="L207" s="44" t="inlineStr">
        <is>
          <t>Follow up with consultant</t>
        </is>
      </c>
      <c r="M207" s="44" t="inlineStr">
        <is>
          <t>\\DC\Tunnelling\Material Submittal\CTP-DHJ-TUN-MAT-0005</t>
        </is>
      </c>
      <c r="O207">
        <f>IF(Search!$C$4="","",IF(ISNUMBER(SEARCH(Search!$C$4,A207&amp;" "&amp;B207&amp;" "&amp;C207&amp;" "&amp;D207&amp;" "&amp;G207&amp;" "&amp;I207)),ROW(),""))</f>
        <v/>
      </c>
    </row>
    <row r="208">
      <c r="A208" s="41" t="inlineStr">
        <is>
          <t>CTP-DHJ-TUN-CAL-0003</t>
        </is>
      </c>
      <c r="B208" s="41" t="inlineStr">
        <is>
          <t>Lifting plan</t>
        </is>
      </c>
      <c r="C208" s="42" t="inlineStr">
        <is>
          <t>Calculation</t>
        </is>
      </c>
      <c r="D208" s="41" t="inlineStr">
        <is>
          <t>Tunnelling</t>
        </is>
      </c>
      <c r="E208" s="42" t="inlineStr">
        <is>
          <t>0</t>
        </is>
      </c>
      <c r="F208" s="43" t="n">
        <v>46276</v>
      </c>
      <c r="G208" s="42" t="inlineStr">
        <is>
          <t>TRN-01056</t>
        </is>
      </c>
      <c r="H208" s="41" t="inlineStr">
        <is>
          <t>Meridian Engineering Partners</t>
        </is>
      </c>
      <c r="I208" s="41" t="inlineStr">
        <is>
          <t>Code A – Approved</t>
        </is>
      </c>
      <c r="J208" s="43" t="n">
        <v>46286</v>
      </c>
      <c r="K208" s="42">
        <f>IF(J208="",TODAY()-F208,J208-F208)</f>
        <v/>
      </c>
      <c r="L208" s="41" t="inlineStr">
        <is>
          <t>Issue for construction</t>
        </is>
      </c>
      <c r="M208" s="41" t="inlineStr">
        <is>
          <t>\\DC\Tunnelling\Calculation\CTP-DHJ-TUN-CAL-0003</t>
        </is>
      </c>
      <c r="O208">
        <f>IF(Search!$C$4="","",IF(ISNUMBER(SEARCH(Search!$C$4,A208&amp;" "&amp;B208&amp;" "&amp;C208&amp;" "&amp;D208&amp;" "&amp;G208&amp;" "&amp;I208)),ROW(),""))</f>
        <v/>
      </c>
    </row>
    <row r="209">
      <c r="A209" s="44" t="inlineStr">
        <is>
          <t>CTP-DHJ-QAQ-MAT-0001</t>
        </is>
      </c>
      <c r="B209" s="44" t="inlineStr">
        <is>
          <t>Fire-rated cables</t>
        </is>
      </c>
      <c r="C209" s="45" t="inlineStr">
        <is>
          <t>Material Submittal</t>
        </is>
      </c>
      <c r="D209" s="44" t="inlineStr">
        <is>
          <t>Quality</t>
        </is>
      </c>
      <c r="E209" s="45" t="inlineStr">
        <is>
          <t>B</t>
        </is>
      </c>
      <c r="F209" s="46" t="n">
        <v>46276</v>
      </c>
      <c r="G209" s="45" t="inlineStr">
        <is>
          <t>TRN-01073</t>
        </is>
      </c>
      <c r="H209" s="44" t="inlineStr">
        <is>
          <t>Meridian Engineering Partners</t>
        </is>
      </c>
      <c r="I209" s="44" t="inlineStr">
        <is>
          <t>Code D – Rejected</t>
        </is>
      </c>
      <c r="J209" s="46" t="n">
        <v>46283</v>
      </c>
      <c r="K209" s="45">
        <f>IF(J209="",TODAY()-F209,J209-F209)</f>
        <v/>
      </c>
      <c r="L209" s="44" t="inlineStr">
        <is>
          <t>Prepare new submission</t>
        </is>
      </c>
      <c r="M209" s="44" t="inlineStr">
        <is>
          <t>\\DC\Quality\Material Submittal\CTP-DHJ-QAQ-MAT-0001</t>
        </is>
      </c>
      <c r="O209">
        <f>IF(Search!$C$4="","",IF(ISNUMBER(SEARCH(Search!$C$4,A209&amp;" "&amp;B209&amp;" "&amp;C209&amp;" "&amp;D209&amp;" "&amp;G209&amp;" "&amp;I209)),ROW(),""))</f>
        <v/>
      </c>
    </row>
    <row r="210">
      <c r="A210" s="41" t="inlineStr">
        <is>
          <t>CTP-DHJ-HSE-DWG-0009</t>
        </is>
      </c>
      <c r="B210" s="41" t="inlineStr">
        <is>
          <t>Portal structure details</t>
        </is>
      </c>
      <c r="C210" s="42" t="inlineStr">
        <is>
          <t>Drawing</t>
        </is>
      </c>
      <c r="D210" s="41" t="inlineStr">
        <is>
          <t>HSE</t>
        </is>
      </c>
      <c r="E210" s="42" t="inlineStr">
        <is>
          <t>B</t>
        </is>
      </c>
      <c r="F210" s="43" t="n">
        <v>46276</v>
      </c>
      <c r="G210" s="42" t="inlineStr">
        <is>
          <t>TRN-01109</t>
        </is>
      </c>
      <c r="H210" s="41" t="inlineStr">
        <is>
          <t>Meridian Engineering Partners</t>
        </is>
      </c>
      <c r="I210" s="41" t="inlineStr">
        <is>
          <t>Code C – Revise &amp; Resubmit</t>
        </is>
      </c>
      <c r="J210" s="43" t="n">
        <v>46292</v>
      </c>
      <c r="K210" s="42">
        <f>IF(J210="",TODAY()-F210,J210-F210)</f>
        <v/>
      </c>
      <c r="L210" s="41" t="inlineStr">
        <is>
          <t>Revise and resubmit</t>
        </is>
      </c>
      <c r="M210" s="41" t="inlineStr">
        <is>
          <t>\\DC\HSE\Drawing\CTP-DHJ-HSE-DWG-0009</t>
        </is>
      </c>
      <c r="O210">
        <f>IF(Search!$C$4="","",IF(ISNUMBER(SEARCH(Search!$C$4,A210&amp;" "&amp;B210&amp;" "&amp;C210&amp;" "&amp;D210&amp;" "&amp;G210&amp;" "&amp;I210)),ROW(),""))</f>
        <v/>
      </c>
    </row>
    <row r="211">
      <c r="A211" s="44" t="inlineStr">
        <is>
          <t>CTP-DHJ-TUN-DWG-0004</t>
        </is>
      </c>
      <c r="B211" s="44" t="inlineStr">
        <is>
          <t>Cross passage reinforcement</t>
        </is>
      </c>
      <c r="C211" s="45" t="inlineStr">
        <is>
          <t>Drawing</t>
        </is>
      </c>
      <c r="D211" s="44" t="inlineStr">
        <is>
          <t>Tunnelling</t>
        </is>
      </c>
      <c r="E211" s="45" t="inlineStr">
        <is>
          <t>1</t>
        </is>
      </c>
      <c r="F211" s="46" t="n">
        <v>46277</v>
      </c>
      <c r="G211" s="45" t="inlineStr">
        <is>
          <t>TRN-01074</t>
        </is>
      </c>
      <c r="H211" s="44" t="inlineStr">
        <is>
          <t>Meridian Engineering Partners</t>
        </is>
      </c>
      <c r="I211" s="44" t="inlineStr">
        <is>
          <t>Code A – Approved</t>
        </is>
      </c>
      <c r="J211" s="46" t="n">
        <v>46286</v>
      </c>
      <c r="K211" s="45">
        <f>IF(J211="",TODAY()-F211,J211-F211)</f>
        <v/>
      </c>
      <c r="L211" s="44" t="inlineStr">
        <is>
          <t>Issue for construction</t>
        </is>
      </c>
      <c r="M211" s="44" t="inlineStr">
        <is>
          <t>\\DC\Tunnelling\Drawing\CTP-DHJ-TUN-DWG-0004</t>
        </is>
      </c>
      <c r="O211">
        <f>IF(Search!$C$4="","",IF(ISNUMBER(SEARCH(Search!$C$4,A211&amp;" "&amp;B211&amp;" "&amp;C211&amp;" "&amp;D211&amp;" "&amp;G211&amp;" "&amp;I211)),ROW(),""))</f>
        <v/>
      </c>
    </row>
    <row r="212">
      <c r="A212" s="41" t="inlineStr">
        <is>
          <t>CTP-DHJ-QAQ-DWG-0001</t>
        </is>
      </c>
      <c r="B212" s="41" t="inlineStr">
        <is>
          <t>Drainage layout</t>
        </is>
      </c>
      <c r="C212" s="42" t="inlineStr">
        <is>
          <t>Drawing</t>
        </is>
      </c>
      <c r="D212" s="41" t="inlineStr">
        <is>
          <t>Quality</t>
        </is>
      </c>
      <c r="E212" s="42" t="inlineStr">
        <is>
          <t>A</t>
        </is>
      </c>
      <c r="F212" s="43" t="n">
        <v>46278</v>
      </c>
      <c r="G212" s="42" t="inlineStr">
        <is>
          <t>TRN-01013</t>
        </is>
      </c>
      <c r="H212" s="41" t="inlineStr">
        <is>
          <t>Meridian Engineering Partners</t>
        </is>
      </c>
      <c r="I212" s="41" t="inlineStr">
        <is>
          <t>Code B – Approved with Comments</t>
        </is>
      </c>
      <c r="J212" s="43" t="n">
        <v>46295</v>
      </c>
      <c r="K212" s="42">
        <f>IF(J212="",TODAY()-F212,J212-F212)</f>
        <v/>
      </c>
      <c r="L212" s="41" t="inlineStr">
        <is>
          <t>Incorporate comments</t>
        </is>
      </c>
      <c r="M212" s="41" t="inlineStr">
        <is>
          <t>\\DC\Quality\Drawing\CTP-DHJ-QAQ-DWG-0001</t>
        </is>
      </c>
      <c r="O212">
        <f>IF(Search!$C$4="","",IF(ISNUMBER(SEARCH(Search!$C$4,A212&amp;" "&amp;B212&amp;" "&amp;C212&amp;" "&amp;D212&amp;" "&amp;G212&amp;" "&amp;I212)),ROW(),""))</f>
        <v/>
      </c>
    </row>
    <row r="213">
      <c r="A213" s="44" t="inlineStr">
        <is>
          <t>CTP-DHJ-TUN-MST-0001</t>
        </is>
      </c>
      <c r="B213" s="44" t="inlineStr">
        <is>
          <t>TBM launching</t>
        </is>
      </c>
      <c r="C213" s="45" t="inlineStr">
        <is>
          <t>Method Statement</t>
        </is>
      </c>
      <c r="D213" s="44" t="inlineStr">
        <is>
          <t>Tunnelling</t>
        </is>
      </c>
      <c r="E213" s="45" t="inlineStr">
        <is>
          <t>B</t>
        </is>
      </c>
      <c r="F213" s="46" t="n">
        <v>46279</v>
      </c>
      <c r="G213" s="45" t="inlineStr">
        <is>
          <t>TRN-01016</t>
        </is>
      </c>
      <c r="H213" s="44" t="inlineStr">
        <is>
          <t>Meridian Engineering Partners</t>
        </is>
      </c>
      <c r="I213" s="44" t="inlineStr">
        <is>
          <t>Code C – Revise &amp; Resubmit</t>
        </is>
      </c>
      <c r="J213" s="46" t="n">
        <v>46286</v>
      </c>
      <c r="K213" s="45">
        <f>IF(J213="",TODAY()-F213,J213-F213)</f>
        <v/>
      </c>
      <c r="L213" s="44" t="inlineStr">
        <is>
          <t>Revise and resubmit</t>
        </is>
      </c>
      <c r="M213" s="44" t="inlineStr">
        <is>
          <t>\\DC\Tunnelling\Method Statement\CTP-DHJ-TUN-MST-0001</t>
        </is>
      </c>
      <c r="O213">
        <f>IF(Search!$C$4="","",IF(ISNUMBER(SEARCH(Search!$C$4,A213&amp;" "&amp;B213&amp;" "&amp;C213&amp;" "&amp;D213&amp;" "&amp;G213&amp;" "&amp;I213)),ROW(),""))</f>
        <v/>
      </c>
    </row>
    <row r="214">
      <c r="A214" s="41" t="inlineStr">
        <is>
          <t>CTP-DHJ-CIV-MAT-0002</t>
        </is>
      </c>
      <c r="B214" s="41" t="inlineStr">
        <is>
          <t>Precast segment gaskets</t>
        </is>
      </c>
      <c r="C214" s="42" t="inlineStr">
        <is>
          <t>Material Submittal</t>
        </is>
      </c>
      <c r="D214" s="41" t="inlineStr">
        <is>
          <t>Civil</t>
        </is>
      </c>
      <c r="E214" s="42" t="inlineStr">
        <is>
          <t>0</t>
        </is>
      </c>
      <c r="F214" s="43" t="n">
        <v>46281</v>
      </c>
      <c r="G214" s="42" t="inlineStr">
        <is>
          <t>TRN-01010</t>
        </is>
      </c>
      <c r="H214" s="41" t="inlineStr">
        <is>
          <t>Meridian Engineering Partners</t>
        </is>
      </c>
      <c r="I214" s="41" t="inlineStr">
        <is>
          <t>Code A – Approved</t>
        </is>
      </c>
      <c r="J214" s="43" t="n">
        <v>46296</v>
      </c>
      <c r="K214" s="42">
        <f>IF(J214="",TODAY()-F214,J214-F214)</f>
        <v/>
      </c>
      <c r="L214" s="41" t="inlineStr">
        <is>
          <t>Issue for construction</t>
        </is>
      </c>
      <c r="M214" s="41" t="inlineStr">
        <is>
          <t>\\DC\Civil\Material Submittal\CTP-DHJ-CIV-MAT-0002</t>
        </is>
      </c>
      <c r="O214">
        <f>IF(Search!$C$4="","",IF(ISNUMBER(SEARCH(Search!$C$4,A214&amp;" "&amp;B214&amp;" "&amp;C214&amp;" "&amp;D214&amp;" "&amp;G214&amp;" "&amp;I214)),ROW(),""))</f>
        <v/>
      </c>
    </row>
    <row r="215">
      <c r="A215" s="44" t="inlineStr">
        <is>
          <t>CTP-DHJ-QAQ-MST-0001</t>
        </is>
      </c>
      <c r="B215" s="44" t="inlineStr">
        <is>
          <t>Annulus grouting</t>
        </is>
      </c>
      <c r="C215" s="45" t="inlineStr">
        <is>
          <t>Method Statement</t>
        </is>
      </c>
      <c r="D215" s="44" t="inlineStr">
        <is>
          <t>Quality</t>
        </is>
      </c>
      <c r="E215" s="45" t="inlineStr">
        <is>
          <t>1</t>
        </is>
      </c>
      <c r="F215" s="46" t="n">
        <v>46284</v>
      </c>
      <c r="G215" s="45" t="inlineStr">
        <is>
          <t>TRN-01043</t>
        </is>
      </c>
      <c r="H215" s="44" t="inlineStr">
        <is>
          <t>Meridian Engineering Partners</t>
        </is>
      </c>
      <c r="I215" s="44" t="inlineStr">
        <is>
          <t>Code B – Approved with Comments</t>
        </is>
      </c>
      <c r="J215" s="46" t="n">
        <v>46303</v>
      </c>
      <c r="K215" s="45">
        <f>IF(J215="",TODAY()-F215,J215-F215)</f>
        <v/>
      </c>
      <c r="L215" s="44" t="inlineStr">
        <is>
          <t>Incorporate comments</t>
        </is>
      </c>
      <c r="M215" s="44" t="inlineStr">
        <is>
          <t>\\DC\Quality\Method Statement\CTP-DHJ-QAQ-MST-0001</t>
        </is>
      </c>
      <c r="O215">
        <f>IF(Search!$C$4="","",IF(ISNUMBER(SEARCH(Search!$C$4,A215&amp;" "&amp;B215&amp;" "&amp;C215&amp;" "&amp;D215&amp;" "&amp;G215&amp;" "&amp;I215)),ROW(),""))</f>
        <v/>
      </c>
    </row>
    <row r="216">
      <c r="A216" s="41" t="inlineStr">
        <is>
          <t>CTP-DHJ-HSE-MST-0002</t>
        </is>
      </c>
      <c r="B216" s="41" t="inlineStr">
        <is>
          <t>Cable pulling</t>
        </is>
      </c>
      <c r="C216" s="42" t="inlineStr">
        <is>
          <t>Method Statement</t>
        </is>
      </c>
      <c r="D216" s="41" t="inlineStr">
        <is>
          <t>HSE</t>
        </is>
      </c>
      <c r="E216" s="42" t="inlineStr">
        <is>
          <t>B</t>
        </is>
      </c>
      <c r="F216" s="43" t="n">
        <v>46285</v>
      </c>
      <c r="G216" s="42" t="inlineStr">
        <is>
          <t>TRN-01001</t>
        </is>
      </c>
      <c r="H216" s="41" t="inlineStr">
        <is>
          <t>Meridian Engineering Partners</t>
        </is>
      </c>
      <c r="I216" s="41" t="inlineStr">
        <is>
          <t>Code A – Approved</t>
        </is>
      </c>
      <c r="J216" s="43" t="n">
        <v>46292</v>
      </c>
      <c r="K216" s="42">
        <f>IF(J216="",TODAY()-F216,J216-F216)</f>
        <v/>
      </c>
      <c r="L216" s="41" t="inlineStr">
        <is>
          <t>Issue for construction</t>
        </is>
      </c>
      <c r="M216" s="41" t="inlineStr">
        <is>
          <t>\\DC\HSE\Method Statement\CTP-DHJ-HSE-MST-0002</t>
        </is>
      </c>
      <c r="O216">
        <f>IF(Search!$C$4="","",IF(ISNUMBER(SEARCH(Search!$C$4,A216&amp;" "&amp;B216&amp;" "&amp;C216&amp;" "&amp;D216&amp;" "&amp;G216&amp;" "&amp;I216)),ROW(),""))</f>
        <v/>
      </c>
    </row>
    <row r="217">
      <c r="A217" s="44" t="inlineStr">
        <is>
          <t>CTP-DHJ-CIV-MST-0008</t>
        </is>
      </c>
      <c r="B217" s="44" t="inlineStr">
        <is>
          <t>Annulus grouting</t>
        </is>
      </c>
      <c r="C217" s="45" t="inlineStr">
        <is>
          <t>Method Statement</t>
        </is>
      </c>
      <c r="D217" s="44" t="inlineStr">
        <is>
          <t>Civil</t>
        </is>
      </c>
      <c r="E217" s="45" t="inlineStr">
        <is>
          <t>B</t>
        </is>
      </c>
      <c r="F217" s="46" t="n">
        <v>46285</v>
      </c>
      <c r="G217" s="45" t="inlineStr">
        <is>
          <t>TRN-01210</t>
        </is>
      </c>
      <c r="H217" s="44" t="inlineStr">
        <is>
          <t>Meridian Engineering Partners</t>
        </is>
      </c>
      <c r="I217" s="44" t="inlineStr">
        <is>
          <t>Code A – Approved</t>
        </is>
      </c>
      <c r="J217" s="46" t="n">
        <v>46302</v>
      </c>
      <c r="K217" s="45">
        <f>IF(J217="",TODAY()-F217,J217-F217)</f>
        <v/>
      </c>
      <c r="L217" s="44" t="inlineStr">
        <is>
          <t>Issue for construction</t>
        </is>
      </c>
      <c r="M217" s="44" t="inlineStr">
        <is>
          <t>\\DC\Civil\Method Statement\CTP-DHJ-CIV-MST-0008</t>
        </is>
      </c>
      <c r="O217">
        <f>IF(Search!$C$4="","",IF(ISNUMBER(SEARCH(Search!$C$4,A217&amp;" "&amp;B217&amp;" "&amp;C217&amp;" "&amp;D217&amp;" "&amp;G217&amp;" "&amp;I217)),ROW(),""))</f>
        <v/>
      </c>
    </row>
    <row r="218">
      <c r="A218" s="41" t="inlineStr">
        <is>
          <t>CTP-DHJ-QAQ-RPT-0002</t>
        </is>
      </c>
      <c r="B218" s="41" t="inlineStr">
        <is>
          <t>Concrete cube results</t>
        </is>
      </c>
      <c r="C218" s="42" t="inlineStr">
        <is>
          <t>Inspection Report</t>
        </is>
      </c>
      <c r="D218" s="41" t="inlineStr">
        <is>
          <t>Quality</t>
        </is>
      </c>
      <c r="E218" s="42" t="inlineStr">
        <is>
          <t>A</t>
        </is>
      </c>
      <c r="F218" s="43" t="n">
        <v>46285</v>
      </c>
      <c r="G218" s="42" t="inlineStr">
        <is>
          <t>TRN-01237</t>
        </is>
      </c>
      <c r="H218" s="41" t="inlineStr">
        <is>
          <t>Meridian Engineering Partners</t>
        </is>
      </c>
      <c r="I218" s="41" t="inlineStr">
        <is>
          <t>Code A – Approved</t>
        </is>
      </c>
      <c r="J218" s="43" t="n">
        <v>46300</v>
      </c>
      <c r="K218" s="42">
        <f>IF(J218="",TODAY()-F218,J218-F218)</f>
        <v/>
      </c>
      <c r="L218" s="41" t="inlineStr">
        <is>
          <t>Issue for construction</t>
        </is>
      </c>
      <c r="M218" s="41" t="inlineStr">
        <is>
          <t>\\DC\Quality\Inspection Report\CTP-DHJ-QAQ-RPT-0002</t>
        </is>
      </c>
      <c r="O218">
        <f>IF(Search!$C$4="","",IF(ISNUMBER(SEARCH(Search!$C$4,A218&amp;" "&amp;B218&amp;" "&amp;C218&amp;" "&amp;D218&amp;" "&amp;G218&amp;" "&amp;I218)),ROW(),""))</f>
        <v/>
      </c>
    </row>
    <row r="219">
      <c r="A219" s="44" t="inlineStr">
        <is>
          <t>CTP-DHJ-TUN-MAT-0003</t>
        </is>
      </c>
      <c r="B219" s="44" t="inlineStr">
        <is>
          <t>Ventilation fans</t>
        </is>
      </c>
      <c r="C219" s="45" t="inlineStr">
        <is>
          <t>Material Submittal</t>
        </is>
      </c>
      <c r="D219" s="44" t="inlineStr">
        <is>
          <t>Tunnelling</t>
        </is>
      </c>
      <c r="E219" s="45" t="inlineStr">
        <is>
          <t>A</t>
        </is>
      </c>
      <c r="F219" s="46" t="n">
        <v>46286</v>
      </c>
      <c r="G219" s="45" t="inlineStr">
        <is>
          <t>TRN-01083</t>
        </is>
      </c>
      <c r="H219" s="44" t="inlineStr">
        <is>
          <t>Meridian Engineering Partners</t>
        </is>
      </c>
      <c r="I219" s="44" t="inlineStr">
        <is>
          <t>Code A – Approved</t>
        </is>
      </c>
      <c r="J219" s="46" t="n">
        <v>46302</v>
      </c>
      <c r="K219" s="45">
        <f>IF(J219="",TODAY()-F219,J219-F219)</f>
        <v/>
      </c>
      <c r="L219" s="44" t="inlineStr">
        <is>
          <t>Issue for construction</t>
        </is>
      </c>
      <c r="M219" s="44" t="inlineStr">
        <is>
          <t>\\DC\Tunnelling\Material Submittal\CTP-DHJ-TUN-MAT-0003</t>
        </is>
      </c>
      <c r="O219">
        <f>IF(Search!$C$4="","",IF(ISNUMBER(SEARCH(Search!$C$4,A219&amp;" "&amp;B219&amp;" "&amp;C219&amp;" "&amp;D219&amp;" "&amp;G219&amp;" "&amp;I219)),ROW(),""))</f>
        <v/>
      </c>
    </row>
    <row r="220">
      <c r="A220" s="41" t="inlineStr">
        <is>
          <t>CTP-DHJ-MEP-DWG-0007</t>
        </is>
      </c>
      <c r="B220" s="41" t="inlineStr">
        <is>
          <t>Cross passage reinforcement</t>
        </is>
      </c>
      <c r="C220" s="42" t="inlineStr">
        <is>
          <t>Drawing</t>
        </is>
      </c>
      <c r="D220" s="41" t="inlineStr">
        <is>
          <t>MEP</t>
        </is>
      </c>
      <c r="E220" s="42" t="inlineStr">
        <is>
          <t>A</t>
        </is>
      </c>
      <c r="F220" s="43" t="n">
        <v>46286</v>
      </c>
      <c r="G220" s="42" t="inlineStr">
        <is>
          <t>TRN-01129</t>
        </is>
      </c>
      <c r="H220" s="41" t="inlineStr">
        <is>
          <t>Meridian Engineering Partners</t>
        </is>
      </c>
      <c r="I220" s="41" t="inlineStr">
        <is>
          <t>Under Review</t>
        </is>
      </c>
      <c r="J220" s="43" t="n"/>
      <c r="K220" s="42">
        <f>IF(J220="",TODAY()-F220,J220-F220)</f>
        <v/>
      </c>
      <c r="L220" s="41" t="inlineStr">
        <is>
          <t>Follow up with consultant</t>
        </is>
      </c>
      <c r="M220" s="41" t="inlineStr">
        <is>
          <t>\\DC\MEP\Drawing\CTP-DHJ-MEP-DWG-0007</t>
        </is>
      </c>
      <c r="O220">
        <f>IF(Search!$C$4="","",IF(ISNUMBER(SEARCH(Search!$C$4,A220&amp;" "&amp;B220&amp;" "&amp;C220&amp;" "&amp;D220&amp;" "&amp;G220&amp;" "&amp;I220)),ROW(),""))</f>
        <v/>
      </c>
    </row>
    <row r="221">
      <c r="A221" s="44" t="inlineStr">
        <is>
          <t>CTP-DHJ-HSE-PRC-0001</t>
        </is>
      </c>
      <c r="B221" s="44" t="inlineStr">
        <is>
          <t>Document control procedure</t>
        </is>
      </c>
      <c r="C221" s="45" t="inlineStr">
        <is>
          <t>Procedure</t>
        </is>
      </c>
      <c r="D221" s="44" t="inlineStr">
        <is>
          <t>HSE</t>
        </is>
      </c>
      <c r="E221" s="45" t="inlineStr">
        <is>
          <t>A</t>
        </is>
      </c>
      <c r="F221" s="46" t="n">
        <v>46287</v>
      </c>
      <c r="G221" s="45" t="inlineStr">
        <is>
          <t>TRN-01060</t>
        </is>
      </c>
      <c r="H221" s="44" t="inlineStr">
        <is>
          <t>Meridian Engineering Partners</t>
        </is>
      </c>
      <c r="I221" s="44" t="inlineStr">
        <is>
          <t>Code A – Approved</t>
        </is>
      </c>
      <c r="J221" s="46" t="n">
        <v>46297</v>
      </c>
      <c r="K221" s="45">
        <f>IF(J221="",TODAY()-F221,J221-F221)</f>
        <v/>
      </c>
      <c r="L221" s="44" t="inlineStr">
        <is>
          <t>Issue for construction</t>
        </is>
      </c>
      <c r="M221" s="44" t="inlineStr">
        <is>
          <t>\\DC\HSE\Procedure\CTP-DHJ-HSE-PRC-0001</t>
        </is>
      </c>
      <c r="O221">
        <f>IF(Search!$C$4="","",IF(ISNUMBER(SEARCH(Search!$C$4,A221&amp;" "&amp;B221&amp;" "&amp;C221&amp;" "&amp;D221&amp;" "&amp;G221&amp;" "&amp;I221)),ROW(),""))</f>
        <v/>
      </c>
    </row>
    <row r="222">
      <c r="A222" s="41" t="inlineStr">
        <is>
          <t>CTP-DHJ-TUN-MST-0003</t>
        </is>
      </c>
      <c r="B222" s="41" t="inlineStr">
        <is>
          <t>Annulus grouting</t>
        </is>
      </c>
      <c r="C222" s="42" t="inlineStr">
        <is>
          <t>Method Statement</t>
        </is>
      </c>
      <c r="D222" s="41" t="inlineStr">
        <is>
          <t>Tunnelling</t>
        </is>
      </c>
      <c r="E222" s="42" t="inlineStr">
        <is>
          <t>1</t>
        </is>
      </c>
      <c r="F222" s="43" t="n">
        <v>46287</v>
      </c>
      <c r="G222" s="42" t="inlineStr">
        <is>
          <t>TRN-01125</t>
        </is>
      </c>
      <c r="H222" s="41" t="inlineStr">
        <is>
          <t>Meridian Engineering Partners</t>
        </is>
      </c>
      <c r="I222" s="41" t="inlineStr">
        <is>
          <t>Under Review</t>
        </is>
      </c>
      <c r="J222" s="43" t="n"/>
      <c r="K222" s="42">
        <f>IF(J222="",TODAY()-F222,J222-F222)</f>
        <v/>
      </c>
      <c r="L222" s="41" t="inlineStr">
        <is>
          <t>Follow up with consultant</t>
        </is>
      </c>
      <c r="M222" s="41" t="inlineStr">
        <is>
          <t>\\DC\Tunnelling\Method Statement\CTP-DHJ-TUN-MST-0003</t>
        </is>
      </c>
      <c r="O222">
        <f>IF(Search!$C$4="","",IF(ISNUMBER(SEARCH(Search!$C$4,A222&amp;" "&amp;B222&amp;" "&amp;C222&amp;" "&amp;D222&amp;" "&amp;G222&amp;" "&amp;I222)),ROW(),""))</f>
        <v/>
      </c>
    </row>
    <row r="223">
      <c r="A223" s="44" t="inlineStr">
        <is>
          <t>CTP-DHJ-GEO-RPT-0003</t>
        </is>
      </c>
      <c r="B223" s="44" t="inlineStr">
        <is>
          <t>Concrete cube results</t>
        </is>
      </c>
      <c r="C223" s="45" t="inlineStr">
        <is>
          <t>Inspection Report</t>
        </is>
      </c>
      <c r="D223" s="44" t="inlineStr">
        <is>
          <t>Geotechnical</t>
        </is>
      </c>
      <c r="E223" s="45" t="inlineStr">
        <is>
          <t>A</t>
        </is>
      </c>
      <c r="F223" s="46" t="n">
        <v>46287</v>
      </c>
      <c r="G223" s="45" t="inlineStr">
        <is>
          <t>TRN-01186</t>
        </is>
      </c>
      <c r="H223" s="44" t="inlineStr">
        <is>
          <t>Meridian Engineering Partners</t>
        </is>
      </c>
      <c r="I223" s="44" t="inlineStr">
        <is>
          <t>Code C – Revise &amp; Resubmit</t>
        </is>
      </c>
      <c r="J223" s="46" t="n">
        <v>46301</v>
      </c>
      <c r="K223" s="45">
        <f>IF(J223="",TODAY()-F223,J223-F223)</f>
        <v/>
      </c>
      <c r="L223" s="44" t="inlineStr">
        <is>
          <t>Revise and resubmit</t>
        </is>
      </c>
      <c r="M223" s="44" t="inlineStr">
        <is>
          <t>\\DC\Geotechnical\Inspection Report\CTP-DHJ-GEO-RPT-0003</t>
        </is>
      </c>
      <c r="O223">
        <f>IF(Search!$C$4="","",IF(ISNUMBER(SEARCH(Search!$C$4,A223&amp;" "&amp;B223&amp;" "&amp;C223&amp;" "&amp;D223&amp;" "&amp;G223&amp;" "&amp;I223)),ROW(),""))</f>
        <v/>
      </c>
    </row>
    <row r="224">
      <c r="A224" s="41" t="inlineStr">
        <is>
          <t>CTP-DHJ-MEP-RPT-0006</t>
        </is>
      </c>
      <c r="B224" s="41" t="inlineStr">
        <is>
          <t>Air quality monitoring</t>
        </is>
      </c>
      <c r="C224" s="42" t="inlineStr">
        <is>
          <t>Inspection Report</t>
        </is>
      </c>
      <c r="D224" s="41" t="inlineStr">
        <is>
          <t>MEP</t>
        </is>
      </c>
      <c r="E224" s="42" t="inlineStr">
        <is>
          <t>0</t>
        </is>
      </c>
      <c r="F224" s="43" t="n">
        <v>46287</v>
      </c>
      <c r="G224" s="42" t="inlineStr">
        <is>
          <t>TRN-01227</t>
        </is>
      </c>
      <c r="H224" s="41" t="inlineStr">
        <is>
          <t>Meridian Engineering Partners</t>
        </is>
      </c>
      <c r="I224" s="41" t="inlineStr">
        <is>
          <t>Code B – Approved with Comments</t>
        </is>
      </c>
      <c r="J224" s="43" t="n">
        <v>46292</v>
      </c>
      <c r="K224" s="42">
        <f>IF(J224="",TODAY()-F224,J224-F224)</f>
        <v/>
      </c>
      <c r="L224" s="41" t="inlineStr">
        <is>
          <t>Incorporate comments</t>
        </is>
      </c>
      <c r="M224" s="41" t="inlineStr">
        <is>
          <t>\\DC\MEP\Inspection Report\CTP-DHJ-MEP-RPT-0006</t>
        </is>
      </c>
      <c r="O224">
        <f>IF(Search!$C$4="","",IF(ISNUMBER(SEARCH(Search!$C$4,A224&amp;" "&amp;B224&amp;" "&amp;C224&amp;" "&amp;D224&amp;" "&amp;G224&amp;" "&amp;I224)),ROW(),""))</f>
        <v/>
      </c>
    </row>
    <row r="225">
      <c r="A225" s="44" t="inlineStr">
        <is>
          <t>CTP-DHJ-MEP-MAT-0013</t>
        </is>
      </c>
      <c r="B225" s="44" t="inlineStr">
        <is>
          <t>Ventilation fans</t>
        </is>
      </c>
      <c r="C225" s="45" t="inlineStr">
        <is>
          <t>Material Submittal</t>
        </is>
      </c>
      <c r="D225" s="44" t="inlineStr">
        <is>
          <t>MEP</t>
        </is>
      </c>
      <c r="E225" s="45" t="inlineStr">
        <is>
          <t>0</t>
        </is>
      </c>
      <c r="F225" s="46" t="n">
        <v>46288</v>
      </c>
      <c r="G225" s="45" t="inlineStr">
        <is>
          <t>TRN-01239</t>
        </is>
      </c>
      <c r="H225" s="44" t="inlineStr">
        <is>
          <t>Meridian Engineering Partners</t>
        </is>
      </c>
      <c r="I225" s="44" t="inlineStr">
        <is>
          <t>Code A – Approved</t>
        </is>
      </c>
      <c r="J225" s="46" t="n">
        <v>46304</v>
      </c>
      <c r="K225" s="45">
        <f>IF(J225="",TODAY()-F225,J225-F225)</f>
        <v/>
      </c>
      <c r="L225" s="44" t="inlineStr">
        <is>
          <t>Issue for construction</t>
        </is>
      </c>
      <c r="M225" s="44" t="inlineStr">
        <is>
          <t>\\DC\MEP\Material Submittal\CTP-DHJ-MEP-MAT-0013</t>
        </is>
      </c>
      <c r="O225">
        <f>IF(Search!$C$4="","",IF(ISNUMBER(SEARCH(Search!$C$4,A225&amp;" "&amp;B225&amp;" "&amp;C225&amp;" "&amp;D225&amp;" "&amp;G225&amp;" "&amp;I225)),ROW(),""))</f>
        <v/>
      </c>
    </row>
    <row r="226">
      <c r="A226" s="41" t="inlineStr">
        <is>
          <t>CTP-DHJ-CIV-PRC-0002</t>
        </is>
      </c>
      <c r="B226" s="41" t="inlineStr">
        <is>
          <t>Material receiving</t>
        </is>
      </c>
      <c r="C226" s="42" t="inlineStr">
        <is>
          <t>Procedure</t>
        </is>
      </c>
      <c r="D226" s="41" t="inlineStr">
        <is>
          <t>Civil</t>
        </is>
      </c>
      <c r="E226" s="42" t="inlineStr">
        <is>
          <t>A</t>
        </is>
      </c>
      <c r="F226" s="43" t="n">
        <v>46289</v>
      </c>
      <c r="G226" s="42" t="inlineStr">
        <is>
          <t>TRN-01054</t>
        </is>
      </c>
      <c r="H226" s="41" t="inlineStr">
        <is>
          <t>Meridian Engineering Partners</t>
        </is>
      </c>
      <c r="I226" s="41" t="inlineStr">
        <is>
          <t>Code A – Approved</t>
        </is>
      </c>
      <c r="J226" s="43" t="n">
        <v>46299</v>
      </c>
      <c r="K226" s="42">
        <f>IF(J226="",TODAY()-F226,J226-F226)</f>
        <v/>
      </c>
      <c r="L226" s="41" t="inlineStr">
        <is>
          <t>Issue for construction</t>
        </is>
      </c>
      <c r="M226" s="41" t="inlineStr">
        <is>
          <t>\\DC\Civil\Procedure\CTP-DHJ-CIV-PRC-0002</t>
        </is>
      </c>
      <c r="O226">
        <f>IF(Search!$C$4="","",IF(ISNUMBER(SEARCH(Search!$C$4,A226&amp;" "&amp;B226&amp;" "&amp;C226&amp;" "&amp;D226&amp;" "&amp;G226&amp;" "&amp;I226)),ROW(),""))</f>
        <v/>
      </c>
    </row>
    <row r="227">
      <c r="A227" s="44" t="inlineStr">
        <is>
          <t>CTP-DHJ-TUN-MAT-0008</t>
        </is>
      </c>
      <c r="B227" s="44" t="inlineStr">
        <is>
          <t>Grout admixture</t>
        </is>
      </c>
      <c r="C227" s="45" t="inlineStr">
        <is>
          <t>Material Submittal</t>
        </is>
      </c>
      <c r="D227" s="44" t="inlineStr">
        <is>
          <t>Tunnelling</t>
        </is>
      </c>
      <c r="E227" s="45" t="inlineStr">
        <is>
          <t>0</t>
        </is>
      </c>
      <c r="F227" s="46" t="n">
        <v>46293</v>
      </c>
      <c r="G227" s="45" t="inlineStr">
        <is>
          <t>TRN-01162</t>
        </is>
      </c>
      <c r="H227" s="44" t="inlineStr">
        <is>
          <t>Meridian Engineering Partners</t>
        </is>
      </c>
      <c r="I227" s="44" t="inlineStr">
        <is>
          <t>Under Review</t>
        </is>
      </c>
      <c r="J227" s="46" t="n"/>
      <c r="K227" s="45">
        <f>IF(J227="",TODAY()-F227,J227-F227)</f>
        <v/>
      </c>
      <c r="L227" s="44" t="inlineStr">
        <is>
          <t>Follow up with consultant</t>
        </is>
      </c>
      <c r="M227" s="44" t="inlineStr">
        <is>
          <t>\\DC\Tunnelling\Material Submittal\CTP-DHJ-TUN-MAT-0008</t>
        </is>
      </c>
      <c r="O227">
        <f>IF(Search!$C$4="","",IF(ISNUMBER(SEARCH(Search!$C$4,A227&amp;" "&amp;B227&amp;" "&amp;C227&amp;" "&amp;D227&amp;" "&amp;G227&amp;" "&amp;I227)),ROW(),""))</f>
        <v/>
      </c>
    </row>
    <row r="228">
      <c r="A228" s="41" t="inlineStr">
        <is>
          <t>CTP-DHJ-GEO-RPT-0002</t>
        </is>
      </c>
      <c r="B228" s="41" t="inlineStr">
        <is>
          <t>Monthly settlement monitoring</t>
        </is>
      </c>
      <c r="C228" s="42" t="inlineStr">
        <is>
          <t>Inspection Report</t>
        </is>
      </c>
      <c r="D228" s="41" t="inlineStr">
        <is>
          <t>Geotechnical</t>
        </is>
      </c>
      <c r="E228" s="42" t="inlineStr">
        <is>
          <t>A</t>
        </is>
      </c>
      <c r="F228" s="43" t="n">
        <v>46294</v>
      </c>
      <c r="G228" s="42" t="inlineStr">
        <is>
          <t>TRN-01163</t>
        </is>
      </c>
      <c r="H228" s="41" t="inlineStr">
        <is>
          <t>Meridian Engineering Partners</t>
        </is>
      </c>
      <c r="I228" s="41" t="inlineStr">
        <is>
          <t>Code B – Approved with Comments</t>
        </is>
      </c>
      <c r="J228" s="43" t="n">
        <v>46309</v>
      </c>
      <c r="K228" s="42">
        <f>IF(J228="",TODAY()-F228,J228-F228)</f>
        <v/>
      </c>
      <c r="L228" s="41" t="inlineStr">
        <is>
          <t>Incorporate comments</t>
        </is>
      </c>
      <c r="M228" s="41" t="inlineStr">
        <is>
          <t>\\DC\Geotechnical\Inspection Report\CTP-DHJ-GEO-RPT-0002</t>
        </is>
      </c>
      <c r="O228">
        <f>IF(Search!$C$4="","",IF(ISNUMBER(SEARCH(Search!$C$4,A228&amp;" "&amp;B228&amp;" "&amp;C228&amp;" "&amp;D228&amp;" "&amp;G228&amp;" "&amp;I228)),ROW(),""))</f>
        <v/>
      </c>
    </row>
    <row r="229">
      <c r="A229" s="44" t="inlineStr">
        <is>
          <t>CTP-DHJ-MEP-MST-0003</t>
        </is>
      </c>
      <c r="B229" s="44" t="inlineStr">
        <is>
          <t>Waterproofing installation</t>
        </is>
      </c>
      <c r="C229" s="45" t="inlineStr">
        <is>
          <t>Method Statement</t>
        </is>
      </c>
      <c r="D229" s="44" t="inlineStr">
        <is>
          <t>MEP</t>
        </is>
      </c>
      <c r="E229" s="45" t="inlineStr">
        <is>
          <t>B</t>
        </is>
      </c>
      <c r="F229" s="46" t="n">
        <v>46295</v>
      </c>
      <c r="G229" s="45" t="inlineStr">
        <is>
          <t>TRN-01071</t>
        </is>
      </c>
      <c r="H229" s="44" t="inlineStr">
        <is>
          <t>Meridian Engineering Partners</t>
        </is>
      </c>
      <c r="I229" s="44" t="inlineStr">
        <is>
          <t>Code D – Rejected</t>
        </is>
      </c>
      <c r="J229" s="46" t="n">
        <v>46306</v>
      </c>
      <c r="K229" s="45">
        <f>IF(J229="",TODAY()-F229,J229-F229)</f>
        <v/>
      </c>
      <c r="L229" s="44" t="inlineStr">
        <is>
          <t>Prepare new submission</t>
        </is>
      </c>
      <c r="M229" s="44" t="inlineStr">
        <is>
          <t>\\DC\MEP\Method Statement\CTP-DHJ-MEP-MST-0003</t>
        </is>
      </c>
      <c r="O229">
        <f>IF(Search!$C$4="","",IF(ISNUMBER(SEARCH(Search!$C$4,A229&amp;" "&amp;B229&amp;" "&amp;C229&amp;" "&amp;D229&amp;" "&amp;G229&amp;" "&amp;I229)),ROW(),""))</f>
        <v/>
      </c>
    </row>
    <row r="230">
      <c r="A230" s="41" t="inlineStr">
        <is>
          <t>CTP-DHJ-MEP-RPT-0002</t>
        </is>
      </c>
      <c r="B230" s="41" t="inlineStr">
        <is>
          <t>Survey control check</t>
        </is>
      </c>
      <c r="C230" s="42" t="inlineStr">
        <is>
          <t>Inspection Report</t>
        </is>
      </c>
      <c r="D230" s="41" t="inlineStr">
        <is>
          <t>MEP</t>
        </is>
      </c>
      <c r="E230" s="42" t="inlineStr">
        <is>
          <t>1</t>
        </is>
      </c>
      <c r="F230" s="43" t="n">
        <v>46295</v>
      </c>
      <c r="G230" s="42" t="inlineStr">
        <is>
          <t>TRN-01124</t>
        </is>
      </c>
      <c r="H230" s="41" t="inlineStr">
        <is>
          <t>Meridian Engineering Partners</t>
        </is>
      </c>
      <c r="I230" s="41" t="inlineStr">
        <is>
          <t>Code A – Approved</t>
        </is>
      </c>
      <c r="J230" s="43" t="n">
        <v>46300</v>
      </c>
      <c r="K230" s="42">
        <f>IF(J230="",TODAY()-F230,J230-F230)</f>
        <v/>
      </c>
      <c r="L230" s="41" t="inlineStr">
        <is>
          <t>Issue for construction</t>
        </is>
      </c>
      <c r="M230" s="41" t="inlineStr">
        <is>
          <t>\\DC\MEP\Inspection Report\CTP-DHJ-MEP-RPT-0002</t>
        </is>
      </c>
      <c r="O230">
        <f>IF(Search!$C$4="","",IF(ISNUMBER(SEARCH(Search!$C$4,A230&amp;" "&amp;B230&amp;" "&amp;C230&amp;" "&amp;D230&amp;" "&amp;G230&amp;" "&amp;I230)),ROW(),""))</f>
        <v/>
      </c>
    </row>
    <row r="231">
      <c r="A231" s="44" t="inlineStr">
        <is>
          <t>CTP-DHJ-MEP-MST-0002</t>
        </is>
      </c>
      <c r="B231" s="44" t="inlineStr">
        <is>
          <t>Shaft excavation</t>
        </is>
      </c>
      <c r="C231" s="45" t="inlineStr">
        <is>
          <t>Method Statement</t>
        </is>
      </c>
      <c r="D231" s="44" t="inlineStr">
        <is>
          <t>MEP</t>
        </is>
      </c>
      <c r="E231" s="45" t="inlineStr">
        <is>
          <t>A</t>
        </is>
      </c>
      <c r="F231" s="46" t="n">
        <v>46296</v>
      </c>
      <c r="G231" s="45" t="inlineStr">
        <is>
          <t>TRN-01033</t>
        </is>
      </c>
      <c r="H231" s="44" t="inlineStr">
        <is>
          <t>Meridian Engineering Partners</t>
        </is>
      </c>
      <c r="I231" s="44" t="inlineStr">
        <is>
          <t>Under Review</t>
        </is>
      </c>
      <c r="J231" s="46" t="n"/>
      <c r="K231" s="45">
        <f>IF(J231="",TODAY()-F231,J231-F231)</f>
        <v/>
      </c>
      <c r="L231" s="44" t="inlineStr">
        <is>
          <t>Follow up with consultant</t>
        </is>
      </c>
      <c r="M231" s="44" t="inlineStr">
        <is>
          <t>\\DC\MEP\Method Statement\CTP-DHJ-MEP-MST-0002</t>
        </is>
      </c>
      <c r="O231">
        <f>IF(Search!$C$4="","",IF(ISNUMBER(SEARCH(Search!$C$4,A231&amp;" "&amp;B231&amp;" "&amp;C231&amp;" "&amp;D231&amp;" "&amp;G231&amp;" "&amp;I231)),ROW(),""))</f>
        <v/>
      </c>
    </row>
    <row r="232">
      <c r="A232" s="41" t="inlineStr">
        <is>
          <t>CTP-DHJ-GEO-DWG-0001</t>
        </is>
      </c>
      <c r="B232" s="41" t="inlineStr">
        <is>
          <t>Cross passage reinforcement</t>
        </is>
      </c>
      <c r="C232" s="42" t="inlineStr">
        <is>
          <t>Drawing</t>
        </is>
      </c>
      <c r="D232" s="41" t="inlineStr">
        <is>
          <t>Geotechnical</t>
        </is>
      </c>
      <c r="E232" s="42" t="inlineStr">
        <is>
          <t>A</t>
        </is>
      </c>
      <c r="F232" s="43" t="n">
        <v>46296</v>
      </c>
      <c r="G232" s="42" t="inlineStr">
        <is>
          <t>TRN-01039</t>
        </is>
      </c>
      <c r="H232" s="41" t="inlineStr">
        <is>
          <t>Meridian Engineering Partners</t>
        </is>
      </c>
      <c r="I232" s="41" t="inlineStr">
        <is>
          <t>Code A – Approved</t>
        </is>
      </c>
      <c r="J232" s="43" t="n">
        <v>46309</v>
      </c>
      <c r="K232" s="42">
        <f>IF(J232="",TODAY()-F232,J232-F232)</f>
        <v/>
      </c>
      <c r="L232" s="41" t="inlineStr">
        <is>
          <t>Issue for construction</t>
        </is>
      </c>
      <c r="M232" s="41" t="inlineStr">
        <is>
          <t>\\DC\Geotechnical\Drawing\CTP-DHJ-GEO-DWG-0001</t>
        </is>
      </c>
      <c r="O232">
        <f>IF(Search!$C$4="","",IF(ISNUMBER(SEARCH(Search!$C$4,A232&amp;" "&amp;B232&amp;" "&amp;C232&amp;" "&amp;D232&amp;" "&amp;G232&amp;" "&amp;I232)),ROW(),""))</f>
        <v/>
      </c>
    </row>
    <row r="233">
      <c r="A233" s="44" t="inlineStr">
        <is>
          <t>CTP-DHJ-CIV-MST-0003</t>
        </is>
      </c>
      <c r="B233" s="44" t="inlineStr">
        <is>
          <t>Waterproofing installation</t>
        </is>
      </c>
      <c r="C233" s="45" t="inlineStr">
        <is>
          <t>Method Statement</t>
        </is>
      </c>
      <c r="D233" s="44" t="inlineStr">
        <is>
          <t>Civil</t>
        </is>
      </c>
      <c r="E233" s="45" t="inlineStr">
        <is>
          <t>B</t>
        </is>
      </c>
      <c r="F233" s="46" t="n">
        <v>46296</v>
      </c>
      <c r="G233" s="45" t="inlineStr">
        <is>
          <t>TRN-01107</t>
        </is>
      </c>
      <c r="H233" s="44" t="inlineStr">
        <is>
          <t>Meridian Engineering Partners</t>
        </is>
      </c>
      <c r="I233" s="44" t="inlineStr">
        <is>
          <t>Code C – Revise &amp; Resubmit</t>
        </is>
      </c>
      <c r="J233" s="46" t="n">
        <v>46307</v>
      </c>
      <c r="K233" s="45">
        <f>IF(J233="",TODAY()-F233,J233-F233)</f>
        <v/>
      </c>
      <c r="L233" s="44" t="inlineStr">
        <is>
          <t>Revise and resubmit</t>
        </is>
      </c>
      <c r="M233" s="44" t="inlineStr">
        <is>
          <t>\\DC\Civil\Method Statement\CTP-DHJ-CIV-MST-0003</t>
        </is>
      </c>
      <c r="O233">
        <f>IF(Search!$C$4="","",IF(ISNUMBER(SEARCH(Search!$C$4,A233&amp;" "&amp;B233&amp;" "&amp;C233&amp;" "&amp;D233&amp;" "&amp;G233&amp;" "&amp;I233)),ROW(),""))</f>
        <v/>
      </c>
    </row>
    <row r="234">
      <c r="A234" s="41" t="inlineStr">
        <is>
          <t>CTP-DHJ-MEP-PRC-0003</t>
        </is>
      </c>
      <c r="B234" s="41" t="inlineStr">
        <is>
          <t>Material receiving</t>
        </is>
      </c>
      <c r="C234" s="42" t="inlineStr">
        <is>
          <t>Procedure</t>
        </is>
      </c>
      <c r="D234" s="41" t="inlineStr">
        <is>
          <t>MEP</t>
        </is>
      </c>
      <c r="E234" s="42" t="inlineStr">
        <is>
          <t>1</t>
        </is>
      </c>
      <c r="F234" s="43" t="n">
        <v>46296</v>
      </c>
      <c r="G234" s="42" t="inlineStr">
        <is>
          <t>TRN-01169</t>
        </is>
      </c>
      <c r="H234" s="41" t="inlineStr">
        <is>
          <t>Meridian Engineering Partners</t>
        </is>
      </c>
      <c r="I234" s="41" t="inlineStr">
        <is>
          <t>Code B – Approved with Comments</t>
        </is>
      </c>
      <c r="J234" s="43" t="n">
        <v>46304</v>
      </c>
      <c r="K234" s="42">
        <f>IF(J234="",TODAY()-F234,J234-F234)</f>
        <v/>
      </c>
      <c r="L234" s="41" t="inlineStr">
        <is>
          <t>Incorporate comments</t>
        </is>
      </c>
      <c r="M234" s="41" t="inlineStr">
        <is>
          <t>\\DC\MEP\Procedure\CTP-DHJ-MEP-PRC-0003</t>
        </is>
      </c>
      <c r="O234">
        <f>IF(Search!$C$4="","",IF(ISNUMBER(SEARCH(Search!$C$4,A234&amp;" "&amp;B234&amp;" "&amp;C234&amp;" "&amp;D234&amp;" "&amp;G234&amp;" "&amp;I234)),ROW(),""))</f>
        <v/>
      </c>
    </row>
    <row r="235">
      <c r="A235" s="44" t="inlineStr">
        <is>
          <t>CTP-DHJ-MEP-DWG-0017</t>
        </is>
      </c>
      <c r="B235" s="44" t="inlineStr">
        <is>
          <t>Portal structure details</t>
        </is>
      </c>
      <c r="C235" s="45" t="inlineStr">
        <is>
          <t>Drawing</t>
        </is>
      </c>
      <c r="D235" s="44" t="inlineStr">
        <is>
          <t>MEP</t>
        </is>
      </c>
      <c r="E235" s="45" t="inlineStr">
        <is>
          <t>A</t>
        </is>
      </c>
      <c r="F235" s="46" t="n">
        <v>46299</v>
      </c>
      <c r="G235" s="45" t="inlineStr">
        <is>
          <t>TRN-01236</t>
        </is>
      </c>
      <c r="H235" s="44" t="inlineStr">
        <is>
          <t>Meridian Engineering Partners</t>
        </is>
      </c>
      <c r="I235" s="44" t="inlineStr">
        <is>
          <t>Under Review</t>
        </is>
      </c>
      <c r="J235" s="46" t="n"/>
      <c r="K235" s="45">
        <f>IF(J235="",TODAY()-F235,J235-F235)</f>
        <v/>
      </c>
      <c r="L235" s="44" t="inlineStr">
        <is>
          <t>Follow up with consultant</t>
        </is>
      </c>
      <c r="M235" s="44" t="inlineStr">
        <is>
          <t>\\DC\MEP\Drawing\CTP-DHJ-MEP-DWG-0017</t>
        </is>
      </c>
      <c r="O235">
        <f>IF(Search!$C$4="","",IF(ISNUMBER(SEARCH(Search!$C$4,A235&amp;" "&amp;B235&amp;" "&amp;C235&amp;" "&amp;D235&amp;" "&amp;G235&amp;" "&amp;I235)),ROW(),""))</f>
        <v/>
      </c>
    </row>
    <row r="236">
      <c r="A236" s="41" t="inlineStr">
        <is>
          <t>CTP-DHJ-CIV-MST-0007</t>
        </is>
      </c>
      <c r="B236" s="41" t="inlineStr">
        <is>
          <t>Shaft excavation</t>
        </is>
      </c>
      <c r="C236" s="42" t="inlineStr">
        <is>
          <t>Method Statement</t>
        </is>
      </c>
      <c r="D236" s="41" t="inlineStr">
        <is>
          <t>Civil</t>
        </is>
      </c>
      <c r="E236" s="42" t="inlineStr">
        <is>
          <t>1</t>
        </is>
      </c>
      <c r="F236" s="43" t="n">
        <v>46300</v>
      </c>
      <c r="G236" s="42" t="inlineStr">
        <is>
          <t>TRN-01195</t>
        </is>
      </c>
      <c r="H236" s="41" t="inlineStr">
        <is>
          <t>Meridian Engineering Partners</t>
        </is>
      </c>
      <c r="I236" s="41" t="inlineStr">
        <is>
          <t>Under Review</t>
        </is>
      </c>
      <c r="J236" s="43" t="n"/>
      <c r="K236" s="42">
        <f>IF(J236="",TODAY()-F236,J236-F236)</f>
        <v/>
      </c>
      <c r="L236" s="41" t="inlineStr">
        <is>
          <t>Follow up with consultant</t>
        </is>
      </c>
      <c r="M236" s="41" t="inlineStr">
        <is>
          <t>\\DC\Civil\Method Statement\CTP-DHJ-CIV-MST-0007</t>
        </is>
      </c>
      <c r="O236">
        <f>IF(Search!$C$4="","",IF(ISNUMBER(SEARCH(Search!$C$4,A236&amp;" "&amp;B236&amp;" "&amp;C236&amp;" "&amp;D236&amp;" "&amp;G236&amp;" "&amp;I236)),ROW(),""))</f>
        <v/>
      </c>
    </row>
    <row r="237">
      <c r="A237" s="44" t="inlineStr">
        <is>
          <t>CTP-DHJ-HSE-DWG-0013</t>
        </is>
      </c>
      <c r="B237" s="44" t="inlineStr">
        <is>
          <t>Segment ring layout</t>
        </is>
      </c>
      <c r="C237" s="45" t="inlineStr">
        <is>
          <t>Drawing</t>
        </is>
      </c>
      <c r="D237" s="44" t="inlineStr">
        <is>
          <t>HSE</t>
        </is>
      </c>
      <c r="E237" s="45" t="inlineStr">
        <is>
          <t>1</t>
        </is>
      </c>
      <c r="F237" s="46" t="n">
        <v>46300</v>
      </c>
      <c r="G237" s="45" t="inlineStr">
        <is>
          <t>TRN-01206</t>
        </is>
      </c>
      <c r="H237" s="44" t="inlineStr">
        <is>
          <t>Meridian Engineering Partners</t>
        </is>
      </c>
      <c r="I237" s="44" t="inlineStr">
        <is>
          <t>Under Review</t>
        </is>
      </c>
      <c r="J237" s="46" t="n"/>
      <c r="K237" s="45">
        <f>IF(J237="",TODAY()-F237,J237-F237)</f>
        <v/>
      </c>
      <c r="L237" s="44" t="inlineStr">
        <is>
          <t>Follow up with consultant</t>
        </is>
      </c>
      <c r="M237" s="44" t="inlineStr">
        <is>
          <t>\\DC\HSE\Drawing\CTP-DHJ-HSE-DWG-0013</t>
        </is>
      </c>
      <c r="O237">
        <f>IF(Search!$C$4="","",IF(ISNUMBER(SEARCH(Search!$C$4,A237&amp;" "&amp;B237&amp;" "&amp;C237&amp;" "&amp;D237&amp;" "&amp;G237&amp;" "&amp;I237)),ROW(),""))</f>
        <v/>
      </c>
    </row>
    <row r="238">
      <c r="A238" s="41" t="inlineStr">
        <is>
          <t>CTP-DHJ-HSE-MST-0001</t>
        </is>
      </c>
      <c r="B238" s="41" t="inlineStr">
        <is>
          <t>Cable pulling</t>
        </is>
      </c>
      <c r="C238" s="42" t="inlineStr">
        <is>
          <t>Method Statement</t>
        </is>
      </c>
      <c r="D238" s="41" t="inlineStr">
        <is>
          <t>HSE</t>
        </is>
      </c>
      <c r="E238" s="42" t="inlineStr">
        <is>
          <t>B</t>
        </is>
      </c>
      <c r="F238" s="43" t="n">
        <v>46301</v>
      </c>
      <c r="G238" s="42" t="inlineStr">
        <is>
          <t>TRN-01000</t>
        </is>
      </c>
      <c r="H238" s="41" t="inlineStr">
        <is>
          <t>Meridian Engineering Partners</t>
        </is>
      </c>
      <c r="I238" s="41" t="inlineStr">
        <is>
          <t>Code A – Approved</t>
        </is>
      </c>
      <c r="J238" s="43" t="n">
        <v>46309</v>
      </c>
      <c r="K238" s="42">
        <f>IF(J238="",TODAY()-F238,J238-F238)</f>
        <v/>
      </c>
      <c r="L238" s="41" t="inlineStr">
        <is>
          <t>Issue for construction</t>
        </is>
      </c>
      <c r="M238" s="41" t="inlineStr">
        <is>
          <t>\\DC\HSE\Method Statement\CTP-DHJ-HSE-MST-0001</t>
        </is>
      </c>
      <c r="O238">
        <f>IF(Search!$C$4="","",IF(ISNUMBER(SEARCH(Search!$C$4,A238&amp;" "&amp;B238&amp;" "&amp;C238&amp;" "&amp;D238&amp;" "&amp;G238&amp;" "&amp;I238)),ROW(),""))</f>
        <v/>
      </c>
    </row>
    <row r="239">
      <c r="A239" s="44" t="inlineStr">
        <is>
          <t>CTP-DHJ-TUN-DWG-0008</t>
        </is>
      </c>
      <c r="B239" s="44" t="inlineStr">
        <is>
          <t>Shaft general arrangement</t>
        </is>
      </c>
      <c r="C239" s="45" t="inlineStr">
        <is>
          <t>Drawing</t>
        </is>
      </c>
      <c r="D239" s="44" t="inlineStr">
        <is>
          <t>Tunnelling</t>
        </is>
      </c>
      <c r="E239" s="45" t="inlineStr">
        <is>
          <t>B</t>
        </is>
      </c>
      <c r="F239" s="46" t="n">
        <v>46301</v>
      </c>
      <c r="G239" s="45" t="inlineStr">
        <is>
          <t>TRN-01145</t>
        </is>
      </c>
      <c r="H239" s="44" t="inlineStr">
        <is>
          <t>Meridian Engineering Partners</t>
        </is>
      </c>
      <c r="I239" s="44" t="inlineStr">
        <is>
          <t>Code B – Approved with Comments</t>
        </is>
      </c>
      <c r="J239" s="46" t="n">
        <v>46309</v>
      </c>
      <c r="K239" s="45">
        <f>IF(J239="",TODAY()-F239,J239-F239)</f>
        <v/>
      </c>
      <c r="L239" s="44" t="inlineStr">
        <is>
          <t>Incorporate comments</t>
        </is>
      </c>
      <c r="M239" s="44" t="inlineStr">
        <is>
          <t>\\DC\Tunnelling\Drawing\CTP-DHJ-TUN-DWG-0008</t>
        </is>
      </c>
      <c r="O239">
        <f>IF(Search!$C$4="","",IF(ISNUMBER(SEARCH(Search!$C$4,A239&amp;" "&amp;B239&amp;" "&amp;C239&amp;" "&amp;D239&amp;" "&amp;G239&amp;" "&amp;I239)),ROW(),""))</f>
        <v/>
      </c>
    </row>
    <row r="240">
      <c r="A240" s="41" t="inlineStr">
        <is>
          <t>CTP-DHJ-GEO-RPT-0001</t>
        </is>
      </c>
      <c r="B240" s="41" t="inlineStr">
        <is>
          <t>Survey control check</t>
        </is>
      </c>
      <c r="C240" s="42" t="inlineStr">
        <is>
          <t>Inspection Report</t>
        </is>
      </c>
      <c r="D240" s="41" t="inlineStr">
        <is>
          <t>Geotechnical</t>
        </is>
      </c>
      <c r="E240" s="42" t="inlineStr">
        <is>
          <t>0</t>
        </is>
      </c>
      <c r="F240" s="43" t="n">
        <v>46305</v>
      </c>
      <c r="G240" s="42" t="inlineStr">
        <is>
          <t>TRN-01042</t>
        </is>
      </c>
      <c r="H240" s="41" t="inlineStr">
        <is>
          <t>Meridian Engineering Partners</t>
        </is>
      </c>
      <c r="I240" s="41" t="inlineStr">
        <is>
          <t>Under Review</t>
        </is>
      </c>
      <c r="J240" s="43" t="n"/>
      <c r="K240" s="42">
        <f>IF(J240="",TODAY()-F240,J240-F240)</f>
        <v/>
      </c>
      <c r="L240" s="41" t="inlineStr">
        <is>
          <t>Follow up with consultant</t>
        </is>
      </c>
      <c r="M240" s="41" t="inlineStr">
        <is>
          <t>\\DC\Geotechnical\Inspection Report\CTP-DHJ-GEO-RPT-0001</t>
        </is>
      </c>
      <c r="O240">
        <f>IF(Search!$C$4="","",IF(ISNUMBER(SEARCH(Search!$C$4,A240&amp;" "&amp;B240&amp;" "&amp;C240&amp;" "&amp;D240&amp;" "&amp;G240&amp;" "&amp;I240)),ROW(),""))</f>
        <v/>
      </c>
    </row>
    <row r="241">
      <c r="A241" s="44" t="inlineStr">
        <is>
          <t>CTP-DHJ-QAQ-CAL-0001</t>
        </is>
      </c>
      <c r="B241" s="44" t="inlineStr">
        <is>
          <t>Lifting plan</t>
        </is>
      </c>
      <c r="C241" s="45" t="inlineStr">
        <is>
          <t>Calculation</t>
        </is>
      </c>
      <c r="D241" s="44" t="inlineStr">
        <is>
          <t>Quality</t>
        </is>
      </c>
      <c r="E241" s="45" t="inlineStr">
        <is>
          <t>1</t>
        </is>
      </c>
      <c r="F241" s="46" t="n">
        <v>46305</v>
      </c>
      <c r="G241" s="45" t="inlineStr">
        <is>
          <t>TRN-01175</t>
        </is>
      </c>
      <c r="H241" s="44" t="inlineStr">
        <is>
          <t>Meridian Engineering Partners</t>
        </is>
      </c>
      <c r="I241" s="44" t="inlineStr">
        <is>
          <t>Under Review</t>
        </is>
      </c>
      <c r="J241" s="46" t="n"/>
      <c r="K241" s="45">
        <f>IF(J241="",TODAY()-F241,J241-F241)</f>
        <v/>
      </c>
      <c r="L241" s="44" t="inlineStr">
        <is>
          <t>Follow up with consultant</t>
        </is>
      </c>
      <c r="M241" s="44" t="inlineStr">
        <is>
          <t>\\DC\Quality\Calculation\CTP-DHJ-QAQ-CAL-0001</t>
        </is>
      </c>
      <c r="O241">
        <f>IF(Search!$C$4="","",IF(ISNUMBER(SEARCH(Search!$C$4,A241&amp;" "&amp;B241&amp;" "&amp;C241&amp;" "&amp;D241&amp;" "&amp;G241&amp;" "&amp;I241)),ROW(),""))</f>
        <v/>
      </c>
    </row>
    <row r="242">
      <c r="A242" s="41" t="inlineStr">
        <is>
          <t>CTP-DHJ-GEO-DWG-0009</t>
        </is>
      </c>
      <c r="B242" s="41" t="inlineStr">
        <is>
          <t>Cross passage reinforcement</t>
        </is>
      </c>
      <c r="C242" s="42" t="inlineStr">
        <is>
          <t>Drawing</t>
        </is>
      </c>
      <c r="D242" s="41" t="inlineStr">
        <is>
          <t>Geotechnical</t>
        </is>
      </c>
      <c r="E242" s="42" t="inlineStr">
        <is>
          <t>A</t>
        </is>
      </c>
      <c r="F242" s="43" t="n">
        <v>46307</v>
      </c>
      <c r="G242" s="42" t="inlineStr">
        <is>
          <t>TRN-01172</t>
        </is>
      </c>
      <c r="H242" s="41" t="inlineStr">
        <is>
          <t>Meridian Engineering Partners</t>
        </is>
      </c>
      <c r="I242" s="41" t="inlineStr">
        <is>
          <t>Under Review</t>
        </is>
      </c>
      <c r="J242" s="43" t="n"/>
      <c r="K242" s="42">
        <f>IF(J242="",TODAY()-F242,J242-F242)</f>
        <v/>
      </c>
      <c r="L242" s="41" t="inlineStr">
        <is>
          <t>Follow up with consultant</t>
        </is>
      </c>
      <c r="M242" s="41" t="inlineStr">
        <is>
          <t>\\DC\Geotechnical\Drawing\CTP-DHJ-GEO-DWG-0009</t>
        </is>
      </c>
      <c r="O242">
        <f>IF(Search!$C$4="","",IF(ISNUMBER(SEARCH(Search!$C$4,A242&amp;" "&amp;B242&amp;" "&amp;C242&amp;" "&amp;D242&amp;" "&amp;G242&amp;" "&amp;I242)),ROW(),""))</f>
        <v/>
      </c>
    </row>
    <row r="243">
      <c r="A243" s="44" t="inlineStr">
        <is>
          <t>CTP-DHJ-CIV-PRC-0003</t>
        </is>
      </c>
      <c r="B243" s="44" t="inlineStr">
        <is>
          <t>Emergency response plan</t>
        </is>
      </c>
      <c r="C243" s="45" t="inlineStr">
        <is>
          <t>Procedure</t>
        </is>
      </c>
      <c r="D243" s="44" t="inlineStr">
        <is>
          <t>Civil</t>
        </is>
      </c>
      <c r="E243" s="45" t="inlineStr">
        <is>
          <t>A</t>
        </is>
      </c>
      <c r="F243" s="46" t="n">
        <v>46309</v>
      </c>
      <c r="G243" s="45" t="inlineStr">
        <is>
          <t>TRN-01070</t>
        </is>
      </c>
      <c r="H243" s="44" t="inlineStr">
        <is>
          <t>Meridian Engineering Partners</t>
        </is>
      </c>
      <c r="I243" s="44" t="inlineStr">
        <is>
          <t>Under Review</t>
        </is>
      </c>
      <c r="J243" s="46" t="n"/>
      <c r="K243" s="45">
        <f>IF(J243="",TODAY()-F243,J243-F243)</f>
        <v/>
      </c>
      <c r="L243" s="44" t="inlineStr">
        <is>
          <t>Follow up with consultant</t>
        </is>
      </c>
      <c r="M243" s="44" t="inlineStr">
        <is>
          <t>\\DC\Civil\Procedure\CTP-DHJ-CIV-PRC-0003</t>
        </is>
      </c>
      <c r="O243">
        <f>IF(Search!$C$4="","",IF(ISNUMBER(SEARCH(Search!$C$4,A243&amp;" "&amp;B243&amp;" "&amp;C243&amp;" "&amp;D243&amp;" "&amp;G243&amp;" "&amp;I243)),ROW(),""))</f>
        <v/>
      </c>
    </row>
    <row r="244">
      <c r="A244" s="41" t="inlineStr">
        <is>
          <t>CTP-DHJ-MEP-DWG-0014</t>
        </is>
      </c>
      <c r="B244" s="41" t="inlineStr">
        <is>
          <t>Drainage layout</t>
        </is>
      </c>
      <c r="C244" s="42" t="inlineStr">
        <is>
          <t>Drawing</t>
        </is>
      </c>
      <c r="D244" s="41" t="inlineStr">
        <is>
          <t>MEP</t>
        </is>
      </c>
      <c r="E244" s="42" t="inlineStr">
        <is>
          <t>A</t>
        </is>
      </c>
      <c r="F244" s="43" t="n">
        <v>46309</v>
      </c>
      <c r="G244" s="42" t="inlineStr">
        <is>
          <t>TRN-01204</t>
        </is>
      </c>
      <c r="H244" s="41" t="inlineStr">
        <is>
          <t>Meridian Engineering Partners</t>
        </is>
      </c>
      <c r="I244" s="41" t="inlineStr">
        <is>
          <t>Under Review</t>
        </is>
      </c>
      <c r="J244" s="43" t="n"/>
      <c r="K244" s="42">
        <f>IF(J244="",TODAY()-F244,J244-F244)</f>
        <v/>
      </c>
      <c r="L244" s="41" t="inlineStr">
        <is>
          <t>Follow up with consultant</t>
        </is>
      </c>
      <c r="M244" s="41" t="inlineStr">
        <is>
          <t>\\DC\MEP\Drawing\CTP-DHJ-MEP-DWG-0014</t>
        </is>
      </c>
      <c r="O244">
        <f>IF(Search!$C$4="","",IF(ISNUMBER(SEARCH(Search!$C$4,A244&amp;" "&amp;B244&amp;" "&amp;C244&amp;" "&amp;D244&amp;" "&amp;G244&amp;" "&amp;I244)),ROW(),""))</f>
        <v/>
      </c>
    </row>
  </sheetData>
  <autoFilter ref="A4:M244"/>
  <mergeCells count="2">
    <mergeCell ref="A2:M2"/>
    <mergeCell ref="A1:M1"/>
  </mergeCells>
  <conditionalFormatting sqref="I5:I2000">
    <cfRule type="expression" priority="1" dxfId="0">
      <formula>LEFT($I5,6)="Code A"</formula>
    </cfRule>
    <cfRule type="expression" priority="2" dxfId="1">
      <formula>LEFT($I5,6)="Code B"</formula>
    </cfRule>
    <cfRule type="expression" priority="3" dxfId="2">
      <formula>LEFT($I5,6)="Code C"</formula>
    </cfRule>
    <cfRule type="expression" priority="4" dxfId="3">
      <formula>LEFT($I5,6)="Code D"</formula>
    </cfRule>
    <cfRule type="expression" priority="5" dxfId="4">
      <formula>LEFT($I5,12)="Under Review"</formula>
    </cfRule>
  </conditionalFormatting>
  <conditionalFormatting sqref="K5:K2000">
    <cfRule type="expression" priority="6" dxfId="5">
      <formula>AND($I5="Under Review",$K5&gt;14)</formula>
    </cfRule>
  </conditionalFormatting>
  <dataValidations count="1">
    <dataValidation sqref="I5:I2000" showDropDown="0" showInputMessage="0" showErrorMessage="0" allowBlank="1" type="list">
      <formula1>"Code A – Approved,Code B – Approved with Comments,Code C – Revise &amp; Resubmit,Code D – Rejected,Under Review"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2026-10-14T07:31:49Z</dcterms:created>
  <dcterms:modified xmlns:dcterms="http://purl.org/dc/terms/" xmlns:xsi="http://www.w3.org/2001/XMLSchema-instance" xsi:type="dcterms:W3CDTF">2026-10-14T07:31:50Z</dcterms:modified>
</cp:coreProperties>
</file>