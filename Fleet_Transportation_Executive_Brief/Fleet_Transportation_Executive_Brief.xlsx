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20001_{D7E0EB5D-791D-45A5-8E9C-6937827301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ol Tower" sheetId="1" r:id="rId1"/>
    <sheet name="Fleet Register" sheetId="2" r:id="rId2"/>
    <sheet name="Driver &amp; Route Plan" sheetId="3" r:id="rId3"/>
    <sheet name="Facilities Services" sheetId="4" r:id="rId4"/>
    <sheet name="List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4" l="1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Q4" i="1" s="1"/>
  <c r="B14" i="1" s="1"/>
  <c r="L3" i="3"/>
  <c r="L2" i="3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K13" i="1"/>
  <c r="K12" i="1"/>
  <c r="G12" i="1"/>
  <c r="K11" i="1"/>
  <c r="G11" i="1"/>
  <c r="O10" i="1"/>
  <c r="K10" i="1"/>
  <c r="G10" i="1"/>
  <c r="O9" i="1"/>
  <c r="K9" i="1"/>
  <c r="G9" i="1"/>
  <c r="O8" i="1"/>
  <c r="K8" i="1"/>
  <c r="G8" i="1"/>
  <c r="Q5" i="1"/>
  <c r="B19" i="1" s="1"/>
  <c r="Q3" i="1"/>
  <c r="B9" i="1" s="1"/>
  <c r="Q2" i="1"/>
</calcChain>
</file>

<file path=xl/sharedStrings.xml><?xml version="1.0" encoding="utf-8"?>
<sst xmlns="http://schemas.openxmlformats.org/spreadsheetml/2006/main" count="1995" uniqueCount="500">
  <si>
    <t>Fleet &amp; Transportation Executive Brief</t>
  </si>
  <si>
    <t>Monthly readiness, mobility coverage, maintenance exposure and facilities service performance</t>
  </si>
  <si>
    <t>Fleet Status</t>
  </si>
  <si>
    <t>Count</t>
  </si>
  <si>
    <t>Service</t>
  </si>
  <si>
    <t>Utilization</t>
  </si>
  <si>
    <t>Route Status</t>
  </si>
  <si>
    <t>FLEET ASSETS</t>
  </si>
  <si>
    <t>Operational</t>
  </si>
  <si>
    <t>Accommodation</t>
  </si>
  <si>
    <t>Covered</t>
  </si>
  <si>
    <t>Maintenance</t>
  </si>
  <si>
    <t>Catering</t>
  </si>
  <si>
    <t>Partially Covered</t>
  </si>
  <si>
    <t>Breakdown</t>
  </si>
  <si>
    <t>Laundry</t>
  </si>
  <si>
    <t>Exception</t>
  </si>
  <si>
    <t>Standby</t>
  </si>
  <si>
    <t>Housekeeping</t>
  </si>
  <si>
    <t>Released</t>
  </si>
  <si>
    <t>Water Supply</t>
  </si>
  <si>
    <t>READY RATE</t>
  </si>
  <si>
    <t>Waste Management</t>
  </si>
  <si>
    <t>ROUTE COVERAGE</t>
  </si>
  <si>
    <t>OPEN FACILITY ISSUES</t>
  </si>
  <si>
    <t>Executive Notes</t>
  </si>
  <si>
    <t>Priority</t>
  </si>
  <si>
    <t>Current Signal</t>
  </si>
  <si>
    <t>Recommended Action</t>
  </si>
  <si>
    <t>42 services overdue</t>
  </si>
  <si>
    <t>Accelerate workshop scheduling</t>
  </si>
  <si>
    <t>Breakdowns</t>
  </si>
  <si>
    <t>8 vehicles unavailable</t>
  </si>
  <si>
    <t>Review recurring failure causes</t>
  </si>
  <si>
    <t>Routes</t>
  </si>
  <si>
    <t>32 exceptions</t>
  </si>
  <si>
    <t>Rebalance vehicle-driver assignments</t>
  </si>
  <si>
    <t>Facilities</t>
  </si>
  <si>
    <t>235 open issues</t>
  </si>
  <si>
    <t>Escalate high-impact camp services</t>
  </si>
  <si>
    <t>Readiness</t>
  </si>
  <si>
    <t>76% operational</t>
  </si>
  <si>
    <t>Target &gt;85% for next cycle</t>
  </si>
  <si>
    <t>Portfolio Demonstration  •  Synthetic operational data  •  Designed by Sudheer Ahmed</t>
  </si>
  <si>
    <t>Vehicle ID</t>
  </si>
  <si>
    <t>Plate No.</t>
  </si>
  <si>
    <t>Vehicle Type</t>
  </si>
  <si>
    <t>Site</t>
  </si>
  <si>
    <t>Department</t>
  </si>
  <si>
    <t>Assigned Driver</t>
  </si>
  <si>
    <t>Status</t>
  </si>
  <si>
    <t>Model Year</t>
  </si>
  <si>
    <t>Odometer KM</t>
  </si>
  <si>
    <t>Fuel / Month L</t>
  </si>
  <si>
    <t>Monthly Cost SAR</t>
  </si>
  <si>
    <t>Last Service</t>
  </si>
  <si>
    <t>Next Service</t>
  </si>
  <si>
    <t>Days to Service</t>
  </si>
  <si>
    <t>Breakdown Count</t>
  </si>
  <si>
    <t>Remarks</t>
  </si>
  <si>
    <t>VH-001</t>
  </si>
  <si>
    <t>TAB-5012</t>
  </si>
  <si>
    <t>Pickup</t>
  </si>
  <si>
    <t>West Site</t>
  </si>
  <si>
    <t>Executive Office</t>
  </si>
  <si>
    <t>Driver 07</t>
  </si>
  <si>
    <t>Routine monitoring</t>
  </si>
  <si>
    <t>VH-002</t>
  </si>
  <si>
    <t>TAB-9279</t>
  </si>
  <si>
    <t>Forklift</t>
  </si>
  <si>
    <t>Head Office</t>
  </si>
  <si>
    <t>HSE</t>
  </si>
  <si>
    <t>Driver 13</t>
  </si>
  <si>
    <t>VH-003</t>
  </si>
  <si>
    <t>TAB-3615</t>
  </si>
  <si>
    <t>Fuel Bowser</t>
  </si>
  <si>
    <t>East Site</t>
  </si>
  <si>
    <t>Driver 10</t>
  </si>
  <si>
    <t>VH-004</t>
  </si>
  <si>
    <t>TAB-5333</t>
  </si>
  <si>
    <t>Bus</t>
  </si>
  <si>
    <t>Lower Portal</t>
  </si>
  <si>
    <t>Driver 08</t>
  </si>
  <si>
    <t>VH-005</t>
  </si>
  <si>
    <t>TAB-2139</t>
  </si>
  <si>
    <t>Warehouse</t>
  </si>
  <si>
    <t>Procurement</t>
  </si>
  <si>
    <t>Driver 19</t>
  </si>
  <si>
    <t>Immediate action required</t>
  </si>
  <si>
    <t>VH-006</t>
  </si>
  <si>
    <t>TAB-3664</t>
  </si>
  <si>
    <t>Water Tanker</t>
  </si>
  <si>
    <t>Logistics</t>
  </si>
  <si>
    <t>Driver 18</t>
  </si>
  <si>
    <t>VH-007</t>
  </si>
  <si>
    <t>TAB-7216</t>
  </si>
  <si>
    <t>Sedan</t>
  </si>
  <si>
    <t>Vault / TTT</t>
  </si>
  <si>
    <t>Driver 21</t>
  </si>
  <si>
    <t>VH-008</t>
  </si>
  <si>
    <t>TAB-6155</t>
  </si>
  <si>
    <t>Construction</t>
  </si>
  <si>
    <t>Driver 30</t>
  </si>
  <si>
    <t>VH-009</t>
  </si>
  <si>
    <t>TAB-7543</t>
  </si>
  <si>
    <t>Driver 33</t>
  </si>
  <si>
    <t>VH-010</t>
  </si>
  <si>
    <t>TAB-2040</t>
  </si>
  <si>
    <t>North Platform</t>
  </si>
  <si>
    <t>VH-011</t>
  </si>
  <si>
    <t>TAB-6573</t>
  </si>
  <si>
    <t>Coaster</t>
  </si>
  <si>
    <t>Segment Factory</t>
  </si>
  <si>
    <t>Driver 11</t>
  </si>
  <si>
    <t>VH-012</t>
  </si>
  <si>
    <t>TAB-9317</t>
  </si>
  <si>
    <t>Driver 24</t>
  </si>
  <si>
    <t>VH-013</t>
  </si>
  <si>
    <t>TAB-2832</t>
  </si>
  <si>
    <t>Driver 04</t>
  </si>
  <si>
    <t>VH-014</t>
  </si>
  <si>
    <t>TAB-9727</t>
  </si>
  <si>
    <t>SUV</t>
  </si>
  <si>
    <t>Driver 31</t>
  </si>
  <si>
    <t>VH-015</t>
  </si>
  <si>
    <t>TAB-6107</t>
  </si>
  <si>
    <t>Driver 34</t>
  </si>
  <si>
    <t>VH-016</t>
  </si>
  <si>
    <t>TAB-4608</t>
  </si>
  <si>
    <t>Base Camp</t>
  </si>
  <si>
    <t>VH-017</t>
  </si>
  <si>
    <t>TAB-8953</t>
  </si>
  <si>
    <t>Driver 37</t>
  </si>
  <si>
    <t>VH-018</t>
  </si>
  <si>
    <t>TAB-6804</t>
  </si>
  <si>
    <t>VH-019</t>
  </si>
  <si>
    <t>TAB-4139</t>
  </si>
  <si>
    <t>Driver 09</t>
  </si>
  <si>
    <t>VH-020</t>
  </si>
  <si>
    <t>TAB-2604</t>
  </si>
  <si>
    <t>Driver 01</t>
  </si>
  <si>
    <t>VH-021</t>
  </si>
  <si>
    <t>TAB-1960</t>
  </si>
  <si>
    <t>Transportation</t>
  </si>
  <si>
    <t>Driver 25</t>
  </si>
  <si>
    <t>VH-022</t>
  </si>
  <si>
    <t>TAB-3536</t>
  </si>
  <si>
    <t>VH-023</t>
  </si>
  <si>
    <t>TAB-1931</t>
  </si>
  <si>
    <t>Maintenance Van</t>
  </si>
  <si>
    <t>Driver 12</t>
  </si>
  <si>
    <t>VH-024</t>
  </si>
  <si>
    <t>TAB-1651</t>
  </si>
  <si>
    <t>Driver 38</t>
  </si>
  <si>
    <t>VH-025</t>
  </si>
  <si>
    <t>TAB-5915</t>
  </si>
  <si>
    <t>Ambulance</t>
  </si>
  <si>
    <t>Driver 05</t>
  </si>
  <si>
    <t>VH-026</t>
  </si>
  <si>
    <t>TAB-3170</t>
  </si>
  <si>
    <t>VH-027</t>
  </si>
  <si>
    <t>TAB-5905</t>
  </si>
  <si>
    <t>VH-028</t>
  </si>
  <si>
    <t>TAB-4335</t>
  </si>
  <si>
    <t>Driver 17</t>
  </si>
  <si>
    <t>VH-029</t>
  </si>
  <si>
    <t>TAB-5291</t>
  </si>
  <si>
    <t>Driver 28</t>
  </si>
  <si>
    <t>VH-030</t>
  </si>
  <si>
    <t>TAB-3426</t>
  </si>
  <si>
    <t>Driver 20</t>
  </si>
  <si>
    <t>VH-031</t>
  </si>
  <si>
    <t>TAB-6794</t>
  </si>
  <si>
    <t>VH-032</t>
  </si>
  <si>
    <t>TAB-6442</t>
  </si>
  <si>
    <t>VH-033</t>
  </si>
  <si>
    <t>TAB-6728</t>
  </si>
  <si>
    <t>Driver 02</t>
  </si>
  <si>
    <t>VH-034</t>
  </si>
  <si>
    <t>TAB-9346</t>
  </si>
  <si>
    <t>VH-035</t>
  </si>
  <si>
    <t>TAB-2776</t>
  </si>
  <si>
    <t>VH-036</t>
  </si>
  <si>
    <t>TAB-1727</t>
  </si>
  <si>
    <t>Driver 35</t>
  </si>
  <si>
    <t>VH-037</t>
  </si>
  <si>
    <t>TAB-5920</t>
  </si>
  <si>
    <t>Driver 27</t>
  </si>
  <si>
    <t>VH-038</t>
  </si>
  <si>
    <t>TAB-3851</t>
  </si>
  <si>
    <t>Cube</t>
  </si>
  <si>
    <t>Driver 26</t>
  </si>
  <si>
    <t>VH-039</t>
  </si>
  <si>
    <t>TAB-8618</t>
  </si>
  <si>
    <t>Driver 14</t>
  </si>
  <si>
    <t>VH-040</t>
  </si>
  <si>
    <t>TAB-2530</t>
  </si>
  <si>
    <t>VH-041</t>
  </si>
  <si>
    <t>TAB-8461</t>
  </si>
  <si>
    <t>VH-042</t>
  </si>
  <si>
    <t>TAB-7965</t>
  </si>
  <si>
    <t>VH-043</t>
  </si>
  <si>
    <t>TAB-9702</t>
  </si>
  <si>
    <t>Driver 29</t>
  </si>
  <si>
    <t>VH-044</t>
  </si>
  <si>
    <t>TAB-5246</t>
  </si>
  <si>
    <t>VH-045</t>
  </si>
  <si>
    <t>TAB-5451</t>
  </si>
  <si>
    <t>Driver 06</t>
  </si>
  <si>
    <t>VH-046</t>
  </si>
  <si>
    <t>TAB-7678</t>
  </si>
  <si>
    <t>VH-047</t>
  </si>
  <si>
    <t>TAB-8814</t>
  </si>
  <si>
    <t>VH-048</t>
  </si>
  <si>
    <t>TAB-5471</t>
  </si>
  <si>
    <t>VH-049</t>
  </si>
  <si>
    <t>TAB-7455</t>
  </si>
  <si>
    <t>VH-050</t>
  </si>
  <si>
    <t>TAB-6363</t>
  </si>
  <si>
    <t>Driver 22</t>
  </si>
  <si>
    <t>VH-051</t>
  </si>
  <si>
    <t>TAB-6733</t>
  </si>
  <si>
    <t>Driver 03</t>
  </si>
  <si>
    <t>VH-052</t>
  </si>
  <si>
    <t>TAB-8758</t>
  </si>
  <si>
    <t>VH-053</t>
  </si>
  <si>
    <t>TAB-3683</t>
  </si>
  <si>
    <t>VH-054</t>
  </si>
  <si>
    <t>TAB-2669</t>
  </si>
  <si>
    <t>VH-055</t>
  </si>
  <si>
    <t>TAB-1207</t>
  </si>
  <si>
    <t>VH-056</t>
  </si>
  <si>
    <t>TAB-9817</t>
  </si>
  <si>
    <t>VH-057</t>
  </si>
  <si>
    <t>TAB-8613</t>
  </si>
  <si>
    <t>VH-058</t>
  </si>
  <si>
    <t>TAB-5232</t>
  </si>
  <si>
    <t>VH-059</t>
  </si>
  <si>
    <t>TAB-9004</t>
  </si>
  <si>
    <t>VH-060</t>
  </si>
  <si>
    <t>TAB-6016</t>
  </si>
  <si>
    <t>Driver 36</t>
  </si>
  <si>
    <t>VH-061</t>
  </si>
  <si>
    <t>TAB-5438</t>
  </si>
  <si>
    <t>VH-062</t>
  </si>
  <si>
    <t>TAB-4138</t>
  </si>
  <si>
    <t>VH-063</t>
  </si>
  <si>
    <t>TAB-5952</t>
  </si>
  <si>
    <t>VH-064</t>
  </si>
  <si>
    <t>TAB-2680</t>
  </si>
  <si>
    <t>VH-065</t>
  </si>
  <si>
    <t>TAB-2869</t>
  </si>
  <si>
    <t>VH-066</t>
  </si>
  <si>
    <t>TAB-2940</t>
  </si>
  <si>
    <t>Driver 39</t>
  </si>
  <si>
    <t>VH-067</t>
  </si>
  <si>
    <t>TAB-6003</t>
  </si>
  <si>
    <t>Driver 40</t>
  </si>
  <si>
    <t>VH-068</t>
  </si>
  <si>
    <t>TAB-4929</t>
  </si>
  <si>
    <t>VH-069</t>
  </si>
  <si>
    <t>TAB-5720</t>
  </si>
  <si>
    <t>Driver 15</t>
  </si>
  <si>
    <t>VH-070</t>
  </si>
  <si>
    <t>TAB-3441</t>
  </si>
  <si>
    <t>VH-071</t>
  </si>
  <si>
    <t>TAB-8679</t>
  </si>
  <si>
    <t>VH-072</t>
  </si>
  <si>
    <t>TAB-5102</t>
  </si>
  <si>
    <t>VH-073</t>
  </si>
  <si>
    <t>TAB-9502</t>
  </si>
  <si>
    <t>VH-074</t>
  </si>
  <si>
    <t>TAB-2713</t>
  </si>
  <si>
    <t>Driver 32</t>
  </si>
  <si>
    <t>VH-075</t>
  </si>
  <si>
    <t>TAB-5135</t>
  </si>
  <si>
    <t>VH-076</t>
  </si>
  <si>
    <t>TAB-9494</t>
  </si>
  <si>
    <t>VH-077</t>
  </si>
  <si>
    <t>TAB-8941</t>
  </si>
  <si>
    <t>VH-078</t>
  </si>
  <si>
    <t>TAB-4681</t>
  </si>
  <si>
    <t>VH-079</t>
  </si>
  <si>
    <t>TAB-4993</t>
  </si>
  <si>
    <t>VH-080</t>
  </si>
  <si>
    <t>TAB-6568</t>
  </si>
  <si>
    <t>Plan ID</t>
  </si>
  <si>
    <t>Date</t>
  </si>
  <si>
    <t>Shift</t>
  </si>
  <si>
    <t>Route</t>
  </si>
  <si>
    <t>Driver</t>
  </si>
  <si>
    <t>Planned Trips</t>
  </si>
  <si>
    <t>Actual Trips</t>
  </si>
  <si>
    <t>Passengers Planned</t>
  </si>
  <si>
    <t>Passengers Actual</t>
  </si>
  <si>
    <t>Coverage %</t>
  </si>
  <si>
    <t>RP-001</t>
  </si>
  <si>
    <t>Split</t>
  </si>
  <si>
    <t>Camp–Segment Factory</t>
  </si>
  <si>
    <t>Synthetic planning sample</t>
  </si>
  <si>
    <t>RP-002</t>
  </si>
  <si>
    <t>Day</t>
  </si>
  <si>
    <t>HO–Base Camp</t>
  </si>
  <si>
    <t>RP-003</t>
  </si>
  <si>
    <t>Night</t>
  </si>
  <si>
    <t>RP-004</t>
  </si>
  <si>
    <t>Camp–West Site</t>
  </si>
  <si>
    <t>RP-005</t>
  </si>
  <si>
    <t>HO–Warehouse</t>
  </si>
  <si>
    <t>RP-006</t>
  </si>
  <si>
    <t>Emergency Shuttle</t>
  </si>
  <si>
    <t>RP-007</t>
  </si>
  <si>
    <t>RP-008</t>
  </si>
  <si>
    <t>RP-009</t>
  </si>
  <si>
    <t>RP-010</t>
  </si>
  <si>
    <t>Camp–East Site</t>
  </si>
  <si>
    <t>RP-011</t>
  </si>
  <si>
    <t>RP-012</t>
  </si>
  <si>
    <t>RP-013</t>
  </si>
  <si>
    <t>RP-014</t>
  </si>
  <si>
    <t>RP-015</t>
  </si>
  <si>
    <t>RP-016</t>
  </si>
  <si>
    <t>RP-017</t>
  </si>
  <si>
    <t>RP-018</t>
  </si>
  <si>
    <t>RP-019</t>
  </si>
  <si>
    <t>RP-020</t>
  </si>
  <si>
    <t>RP-021</t>
  </si>
  <si>
    <t>RP-022</t>
  </si>
  <si>
    <t>RP-023</t>
  </si>
  <si>
    <t>RP-024</t>
  </si>
  <si>
    <t>RP-025</t>
  </si>
  <si>
    <t>RP-026</t>
  </si>
  <si>
    <t>RP-027</t>
  </si>
  <si>
    <t>RP-028</t>
  </si>
  <si>
    <t>Driver 16</t>
  </si>
  <si>
    <t>RP-029</t>
  </si>
  <si>
    <t>RP-030</t>
  </si>
  <si>
    <t>RP-031</t>
  </si>
  <si>
    <t>RP-032</t>
  </si>
  <si>
    <t>RP-033</t>
  </si>
  <si>
    <t>RP-034</t>
  </si>
  <si>
    <t>RP-035</t>
  </si>
  <si>
    <t>RP-036</t>
  </si>
  <si>
    <t>RP-037</t>
  </si>
  <si>
    <t>RP-038</t>
  </si>
  <si>
    <t>RP-039</t>
  </si>
  <si>
    <t>RP-040</t>
  </si>
  <si>
    <t>RP-041</t>
  </si>
  <si>
    <t>RP-042</t>
  </si>
  <si>
    <t>RP-043</t>
  </si>
  <si>
    <t>RP-044</t>
  </si>
  <si>
    <t>RP-045</t>
  </si>
  <si>
    <t>RP-046</t>
  </si>
  <si>
    <t>RP-047</t>
  </si>
  <si>
    <t>RP-048</t>
  </si>
  <si>
    <t>RP-049</t>
  </si>
  <si>
    <t>RP-050</t>
  </si>
  <si>
    <t>RP-051</t>
  </si>
  <si>
    <t>RP-052</t>
  </si>
  <si>
    <t>RP-053</t>
  </si>
  <si>
    <t>RP-054</t>
  </si>
  <si>
    <t>RP-055</t>
  </si>
  <si>
    <t>Driver 23</t>
  </si>
  <si>
    <t>RP-056</t>
  </si>
  <si>
    <t>RP-057</t>
  </si>
  <si>
    <t>RP-058</t>
  </si>
  <si>
    <t>RP-059</t>
  </si>
  <si>
    <t>RP-060</t>
  </si>
  <si>
    <t>RP-061</t>
  </si>
  <si>
    <t>RP-062</t>
  </si>
  <si>
    <t>RP-063</t>
  </si>
  <si>
    <t>RP-064</t>
  </si>
  <si>
    <t>RP-065</t>
  </si>
  <si>
    <t>RP-066</t>
  </si>
  <si>
    <t>RP-067</t>
  </si>
  <si>
    <t>RP-068</t>
  </si>
  <si>
    <t>RP-069</t>
  </si>
  <si>
    <t>RP-070</t>
  </si>
  <si>
    <t>RP-071</t>
  </si>
  <si>
    <t>RP-072</t>
  </si>
  <si>
    <t>RP-073</t>
  </si>
  <si>
    <t>RP-074</t>
  </si>
  <si>
    <t>RP-075</t>
  </si>
  <si>
    <t>RP-076</t>
  </si>
  <si>
    <t>RP-077</t>
  </si>
  <si>
    <t>RP-078</t>
  </si>
  <si>
    <t>RP-079</t>
  </si>
  <si>
    <t>RP-080</t>
  </si>
  <si>
    <t>RP-081</t>
  </si>
  <si>
    <t>RP-082</t>
  </si>
  <si>
    <t>RP-083</t>
  </si>
  <si>
    <t>RP-084</t>
  </si>
  <si>
    <t>RP-085</t>
  </si>
  <si>
    <t>RP-086</t>
  </si>
  <si>
    <t>RP-087</t>
  </si>
  <si>
    <t>RP-088</t>
  </si>
  <si>
    <t>RP-089</t>
  </si>
  <si>
    <t>RP-090</t>
  </si>
  <si>
    <t>Service ID</t>
  </si>
  <si>
    <t>Month</t>
  </si>
  <si>
    <t>Service Category</t>
  </si>
  <si>
    <t>Capacity / Plan</t>
  </si>
  <si>
    <t>Actual Usage</t>
  </si>
  <si>
    <t>Utilization %</t>
  </si>
  <si>
    <t>Service Status</t>
  </si>
  <si>
    <t>Open Issues</t>
  </si>
  <si>
    <t>Owner</t>
  </si>
  <si>
    <t>FS-001</t>
  </si>
  <si>
    <t>Mar-2026</t>
  </si>
  <si>
    <t>On Track</t>
  </si>
  <si>
    <t>Admin Supervisor</t>
  </si>
  <si>
    <t>Synthetic facilities monitoring</t>
  </si>
  <si>
    <t>FS-002</t>
  </si>
  <si>
    <t>Feb-2026</t>
  </si>
  <si>
    <t>Logistics Coordinator</t>
  </si>
  <si>
    <t>FS-003</t>
  </si>
  <si>
    <t>May-2026</t>
  </si>
  <si>
    <t>Due Soon</t>
  </si>
  <si>
    <t>Camp Manager</t>
  </si>
  <si>
    <t>FS-004</t>
  </si>
  <si>
    <t>FS-005</t>
  </si>
  <si>
    <t>Facilities Lead</t>
  </si>
  <si>
    <t>FS-006</t>
  </si>
  <si>
    <t>Apr-2026</t>
  </si>
  <si>
    <t>FS-007</t>
  </si>
  <si>
    <t>Jun-2026</t>
  </si>
  <si>
    <t>FS-008</t>
  </si>
  <si>
    <t>FS-009</t>
  </si>
  <si>
    <t>FS-010</t>
  </si>
  <si>
    <t>FS-011</t>
  </si>
  <si>
    <t>FS-012</t>
  </si>
  <si>
    <t>Jan-2026</t>
  </si>
  <si>
    <t>Overdue</t>
  </si>
  <si>
    <t>FS-013</t>
  </si>
  <si>
    <t>FS-014</t>
  </si>
  <si>
    <t>FS-015</t>
  </si>
  <si>
    <t>FS-016</t>
  </si>
  <si>
    <t>FS-017</t>
  </si>
  <si>
    <t>FS-018</t>
  </si>
  <si>
    <t>FS-019</t>
  </si>
  <si>
    <t>FS-020</t>
  </si>
  <si>
    <t>FS-021</t>
  </si>
  <si>
    <t>FS-022</t>
  </si>
  <si>
    <t>FS-023</t>
  </si>
  <si>
    <t>FS-024</t>
  </si>
  <si>
    <t>FS-025</t>
  </si>
  <si>
    <t>FS-026</t>
  </si>
  <si>
    <t>FS-027</t>
  </si>
  <si>
    <t>FS-028</t>
  </si>
  <si>
    <t>FS-029</t>
  </si>
  <si>
    <t>FS-030</t>
  </si>
  <si>
    <t>FS-031</t>
  </si>
  <si>
    <t>FS-032</t>
  </si>
  <si>
    <t>FS-033</t>
  </si>
  <si>
    <t>FS-034</t>
  </si>
  <si>
    <t>FS-035</t>
  </si>
  <si>
    <t>FS-036</t>
  </si>
  <si>
    <t>FS-037</t>
  </si>
  <si>
    <t>FS-038</t>
  </si>
  <si>
    <t>FS-039</t>
  </si>
  <si>
    <t>FS-040</t>
  </si>
  <si>
    <t>FS-041</t>
  </si>
  <si>
    <t>FS-042</t>
  </si>
  <si>
    <t>FS-043</t>
  </si>
  <si>
    <t>FS-044</t>
  </si>
  <si>
    <t>FS-045</t>
  </si>
  <si>
    <t>FS-046</t>
  </si>
  <si>
    <t>FS-047</t>
  </si>
  <si>
    <t>FS-048</t>
  </si>
  <si>
    <t>FS-049</t>
  </si>
  <si>
    <t>FS-050</t>
  </si>
  <si>
    <t>FS-051</t>
  </si>
  <si>
    <t>FS-052</t>
  </si>
  <si>
    <t>FS-053</t>
  </si>
  <si>
    <t>FS-054</t>
  </si>
  <si>
    <t>FS-055</t>
  </si>
  <si>
    <t>FS-056</t>
  </si>
  <si>
    <t>FS-057</t>
  </si>
  <si>
    <t>FS-058</t>
  </si>
  <si>
    <t>FS-059</t>
  </si>
  <si>
    <t>FS-060</t>
  </si>
  <si>
    <t>FS-061</t>
  </si>
  <si>
    <t>FS-062</t>
  </si>
  <si>
    <t>FS-063</t>
  </si>
  <si>
    <t>FS-064</t>
  </si>
  <si>
    <t>FS-065</t>
  </si>
  <si>
    <t>FS-066</t>
  </si>
  <si>
    <t>FS-067</t>
  </si>
  <si>
    <t>FS-068</t>
  </si>
  <si>
    <t>FS-069</t>
  </si>
  <si>
    <t>FS-070</t>
  </si>
  <si>
    <t>FS-071</t>
  </si>
  <si>
    <t>FS-072</t>
  </si>
  <si>
    <t>Vehicle Status</t>
  </si>
  <si>
    <t>Route Shift</t>
  </si>
  <si>
    <t>High</t>
  </si>
  <si>
    <t>Medium</t>
  </si>
  <si>
    <t>Low</t>
  </si>
  <si>
    <t>Other</t>
  </si>
  <si>
    <t>Accommodation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</si>
</sst>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L&quot;"/>
    <numFmt numFmtId="165" formatCode="#,##0\ &quot;SAR&quot;"/>
    <numFmt numFmtId="166" formatCode="dd\-mmm\-yyyy"/>
  </numFmts>
  <fonts count="22">
    <font>
      <sz val="11"/>
      <name val="Carlito"/>
    </font>
    <font>
      <b/>
      <sz val="11"/>
      <color rgb="FFFFFFFF"/>
      <name val="Carlito"/>
    </font>
    <font>
      <b/>
      <sz val="8"/>
      <color rgb="FF627D98"/>
      <name val="Carlito"/>
    </font>
    <font>
      <sz val="8"/>
      <color rgb="FF1F2937"/>
      <name val="Carlito"/>
    </font>
    <font>
      <b/>
      <sz val="8"/>
      <color rgb="FFFFFFFF"/>
      <name val="Carlito"/>
    </font>
    <font>
      <b/>
      <sz val="10"/>
      <color rgb="FFFFFFFF"/>
      <name val="Carlito"/>
    </font>
    <font>
      <b/>
      <sz val="9"/>
      <color rgb="FF8A4B08"/>
      <name val="Carlito"/>
    </font>
    <font>
      <b/>
      <sz val="24"/>
      <color rgb="FF23395B"/>
      <name val="Carlito"/>
    </font>
    <font>
      <sz val="9"/>
      <color rgb="FF7C8798"/>
      <name val="Carlito"/>
    </font>
    <font>
      <b/>
      <sz val="22"/>
      <color rgb="FF3C8D73"/>
      <name val="Carlito"/>
    </font>
    <font>
      <b/>
      <sz val="22"/>
      <color rgb="FF3979A8"/>
      <name val="Carlito"/>
    </font>
    <font>
      <b/>
      <sz val="22"/>
      <color rgb="FFC56B32"/>
      <name val="Carlito"/>
    </font>
    <font>
      <b/>
      <sz val="22"/>
      <color rgb="FF7662A9"/>
      <name val="Carlito"/>
    </font>
    <font>
      <b/>
      <sz val="8"/>
      <color rgb="FF7C8798"/>
      <name val="Carlito"/>
    </font>
    <font>
      <sz val="8"/>
      <color rgb="FF2E3440"/>
      <name val="Carlito"/>
    </font>
    <font>
      <b/>
      <sz val="8"/>
      <color rgb="FF2E3440"/>
      <name val="Carlito"/>
    </font>
    <font>
      <b/>
      <sz val="8"/>
      <color rgb="FF3C8D73"/>
      <name val="Carlito"/>
    </font>
    <font>
      <b/>
      <sz val="8"/>
      <color rgb="FFC56B32"/>
      <name val="Carlito"/>
    </font>
    <font>
      <b/>
      <sz val="8"/>
      <color rgb="FF7662A9"/>
      <name val="Carlito"/>
    </font>
    <font>
      <b/>
      <sz val="13"/>
      <color rgb="FFA07B00"/>
      <name val="Carlito"/>
    </font>
    <font>
      <b/>
      <sz val="8"/>
      <color rgb="FFB84C60"/>
      <name val="Carlito"/>
    </font>
    <font>
      <sz val="8"/>
      <color rgb="FF7C8798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243B53"/>
      </patternFill>
    </fill>
    <fill>
      <patternFill patternType="solid">
        <fgColor rgb="FF00A7A0"/>
      </patternFill>
    </fill>
    <fill>
      <patternFill patternType="solid">
        <fgColor rgb="FFFBFCFE"/>
      </patternFill>
    </fill>
    <fill>
      <patternFill patternType="solid">
        <fgColor rgb="FFDDF4EA"/>
      </patternFill>
    </fill>
    <fill>
      <patternFill patternType="solid">
        <fgColor rgb="FFDDEFFC"/>
      </patternFill>
    </fill>
    <fill>
      <patternFill patternType="solid">
        <fgColor rgb="FFFDE8D7"/>
      </patternFill>
    </fill>
    <fill>
      <patternFill patternType="solid">
        <fgColor rgb="FFECE6FA"/>
      </patternFill>
    </fill>
    <fill>
      <patternFill patternType="solid">
        <fgColor rgb="FFFFFFFF"/>
      </patternFill>
    </fill>
    <fill>
      <patternFill patternType="solid">
        <fgColor rgb="FFFFF4C8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rgb="FFD7E1EA"/>
      </left>
      <right/>
      <top style="thin">
        <color rgb="FFD7E1EA"/>
      </top>
      <bottom/>
      <diagonal/>
    </border>
    <border>
      <left style="thin">
        <color rgb="FFD7E1EA"/>
      </left>
      <right/>
      <top/>
      <bottom/>
      <diagonal/>
    </border>
    <border>
      <left/>
      <right style="thin">
        <color rgb="FFD7E1EA"/>
      </right>
      <top/>
      <bottom/>
      <diagonal/>
    </border>
    <border>
      <left style="thin">
        <color rgb="FFD7E1EA"/>
      </left>
      <right/>
      <top/>
      <bottom style="thin">
        <color rgb="FFD7E1EA"/>
      </bottom>
      <diagonal/>
    </border>
    <border>
      <left/>
      <right style="thin">
        <color rgb="FFD7E1EA"/>
      </right>
      <top/>
      <bottom style="thin">
        <color rgb="FFD7E1EA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ck">
        <color rgb="FF3C8D73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ck">
        <color rgb="FF3C8D73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3979A8"/>
      </left>
      <right/>
      <top style="thin">
        <color rgb="FFFFFFFF"/>
      </top>
      <bottom/>
      <diagonal/>
    </border>
    <border>
      <left/>
      <right style="thin">
        <color rgb="FFD7E1EA"/>
      </right>
      <top style="thin">
        <color rgb="FFFFFFFF"/>
      </top>
      <bottom/>
      <diagonal/>
    </border>
    <border>
      <left style="thick">
        <color rgb="FF3979A8"/>
      </left>
      <right/>
      <top/>
      <bottom/>
      <diagonal/>
    </border>
    <border>
      <left style="thick">
        <color rgb="FF3979A8"/>
      </left>
      <right/>
      <top/>
      <bottom style="thin">
        <color rgb="FFFFFFFF"/>
      </bottom>
      <diagonal/>
    </border>
    <border>
      <left/>
      <right style="thin">
        <color rgb="FFD7E1EA"/>
      </right>
      <top/>
      <bottom style="thin">
        <color rgb="FFFFFFFF"/>
      </bottom>
      <diagonal/>
    </border>
    <border>
      <left style="thick">
        <color rgb="FFC56B32"/>
      </left>
      <right/>
      <top style="thin">
        <color rgb="FFFFFFFF"/>
      </top>
      <bottom style="thin">
        <color rgb="FFD7E1EA"/>
      </bottom>
      <diagonal/>
    </border>
    <border>
      <left/>
      <right style="thin">
        <color rgb="FFD7E1EA"/>
      </right>
      <top style="thin">
        <color rgb="FFFFFFFF"/>
      </top>
      <bottom style="thin">
        <color rgb="FFD7E1EA"/>
      </bottom>
      <diagonal/>
    </border>
    <border>
      <left style="thick">
        <color rgb="FFC56B32"/>
      </left>
      <right/>
      <top/>
      <bottom/>
      <diagonal/>
    </border>
    <border>
      <left style="thick">
        <color rgb="FFC56B32"/>
      </left>
      <right/>
      <top/>
      <bottom style="thin">
        <color rgb="FFFFFFFF"/>
      </bottom>
      <diagonal/>
    </border>
    <border>
      <left style="thick">
        <color rgb="FF7662A9"/>
      </left>
      <right/>
      <top style="thin">
        <color rgb="FFFFFFFF"/>
      </top>
      <bottom/>
      <diagonal/>
    </border>
    <border>
      <left style="thick">
        <color rgb="FF7662A9"/>
      </left>
      <right/>
      <top/>
      <bottom/>
      <diagonal/>
    </border>
    <border>
      <left style="thick">
        <color rgb="FF7662A9"/>
      </left>
      <right/>
      <top/>
      <bottom style="thin">
        <color rgb="FFFFFFFF"/>
      </bottom>
      <diagonal/>
    </border>
    <border>
      <left style="thin">
        <color rgb="FFE7EBF0"/>
      </left>
      <right/>
      <top style="thin">
        <color rgb="FFE7EBF0"/>
      </top>
      <bottom/>
      <diagonal/>
    </border>
    <border>
      <left/>
      <right style="thin">
        <color rgb="FFE7EBF0"/>
      </right>
      <top style="thin">
        <color rgb="FFE7EBF0"/>
      </top>
      <bottom/>
      <diagonal/>
    </border>
    <border>
      <left style="thin">
        <color rgb="FFE7EBF0"/>
      </left>
      <right/>
      <top/>
      <bottom/>
      <diagonal/>
    </border>
    <border>
      <left/>
      <right style="thin">
        <color rgb="FFE7EBF0"/>
      </right>
      <top/>
      <bottom/>
      <diagonal/>
    </border>
    <border>
      <left style="thin">
        <color rgb="FFE7EBF0"/>
      </left>
      <right style="thin">
        <color rgb="FFD7E1EA"/>
      </right>
      <top style="thin">
        <color rgb="FFD7E1EA"/>
      </top>
      <bottom/>
      <diagonal/>
    </border>
    <border>
      <left style="thin">
        <color rgb="FFE7EBF0"/>
      </left>
      <right style="thin">
        <color rgb="FFD7E1EA"/>
      </right>
      <top/>
      <bottom/>
      <diagonal/>
    </border>
    <border>
      <left style="thin">
        <color rgb="FFE7EBF0"/>
      </left>
      <right style="thin">
        <color rgb="FFD7E1EA"/>
      </right>
      <top/>
      <bottom style="thin">
        <color rgb="FFE7EBF0"/>
      </bottom>
      <diagonal/>
    </border>
    <border>
      <left/>
      <right style="thin">
        <color rgb="FFE7EBF0"/>
      </right>
      <top/>
      <bottom style="thin">
        <color rgb="FFE7EBF0"/>
      </bottom>
      <diagonal/>
    </border>
    <border>
      <left style="thin">
        <color rgb="FFE7EBF0"/>
      </left>
      <right/>
      <top style="thin">
        <color rgb="FFD7E1EA"/>
      </top>
      <bottom/>
      <diagonal/>
    </border>
    <border>
      <left/>
      <right style="thin">
        <color rgb="FFE7EBF0"/>
      </right>
      <top style="thin">
        <color rgb="FFD7E1EA"/>
      </top>
      <bottom/>
      <diagonal/>
    </border>
    <border>
      <left style="thin">
        <color rgb="FFE7EBF0"/>
      </left>
      <right/>
      <top/>
      <bottom style="thin">
        <color rgb="FFE7EBF0"/>
      </bottom>
      <diagonal/>
    </border>
    <border>
      <left style="thick">
        <color rgb="FFA07B00"/>
      </left>
      <right/>
      <top/>
      <bottom/>
      <diagonal/>
    </border>
    <border>
      <left/>
      <right/>
      <top/>
      <bottom style="thin">
        <color rgb="FFE7EBF0"/>
      </bottom>
      <diagonal/>
    </border>
    <border>
      <left/>
      <right/>
      <top style="thin">
        <color rgb="FFE7EBF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3" borderId="0" xfId="0" applyFont="1" applyFill="1" applyAlignment="1">
      <alignment horizontal="center" wrapText="1"/>
    </xf>
    <xf numFmtId="9" fontId="0" fillId="0" borderId="0" xfId="0" applyNumberFormat="1"/>
    <xf numFmtId="0" fontId="1" fillId="4" borderId="0" xfId="0" applyFont="1" applyFill="1" applyAlignment="1">
      <alignment horizontal="center" wrapText="1"/>
    </xf>
    <xf numFmtId="0" fontId="0" fillId="5" borderId="0" xfId="0" applyFill="1"/>
    <xf numFmtId="0" fontId="4" fillId="5" borderId="2" xfId="0" applyFont="1" applyFill="1" applyBorder="1" applyAlignment="1">
      <alignment horizontal="center"/>
    </xf>
    <xf numFmtId="0" fontId="3" fillId="5" borderId="3" xfId="0" applyFont="1" applyFill="1" applyBorder="1"/>
    <xf numFmtId="0" fontId="3" fillId="5" borderId="4" xfId="0" applyFont="1" applyFill="1" applyBorder="1"/>
    <xf numFmtId="9" fontId="3" fillId="5" borderId="4" xfId="0" applyNumberFormat="1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9" fontId="3" fillId="5" borderId="6" xfId="0" applyNumberFormat="1" applyFont="1" applyFill="1" applyBorder="1"/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/>
    </xf>
    <xf numFmtId="0" fontId="14" fillId="10" borderId="29" xfId="0" applyFont="1" applyFill="1" applyBorder="1"/>
    <xf numFmtId="0" fontId="15" fillId="10" borderId="30" xfId="0" applyFont="1" applyFill="1" applyBorder="1" applyAlignment="1">
      <alignment horizontal="center"/>
    </xf>
    <xf numFmtId="0" fontId="14" fillId="10" borderId="33" xfId="0" applyFont="1" applyFill="1" applyBorder="1"/>
    <xf numFmtId="0" fontId="15" fillId="10" borderId="34" xfId="0" applyFont="1" applyFill="1" applyBorder="1" applyAlignment="1">
      <alignment horizontal="center"/>
    </xf>
    <xf numFmtId="9" fontId="15" fillId="10" borderId="35" xfId="0" applyNumberFormat="1" applyFont="1" applyFill="1" applyBorder="1" applyAlignment="1">
      <alignment horizontal="center"/>
    </xf>
    <xf numFmtId="9" fontId="14" fillId="10" borderId="29" xfId="0" applyNumberFormat="1" applyFont="1" applyFill="1" applyBorder="1"/>
    <xf numFmtId="9" fontId="14" fillId="10" borderId="33" xfId="0" applyNumberFormat="1" applyFont="1" applyFill="1" applyBorder="1"/>
    <xf numFmtId="0" fontId="16" fillId="6" borderId="26" xfId="0" applyFont="1" applyFill="1" applyBorder="1" applyAlignment="1">
      <alignment horizontal="center"/>
    </xf>
    <xf numFmtId="0" fontId="16" fillId="6" borderId="27" xfId="0" applyFont="1" applyFill="1" applyBorder="1" applyAlignment="1">
      <alignment horizontal="center"/>
    </xf>
    <xf numFmtId="0" fontId="14" fillId="10" borderId="0" xfId="0" applyFont="1" applyFill="1" applyAlignment="1">
      <alignment wrapText="1"/>
    </xf>
    <xf numFmtId="0" fontId="14" fillId="10" borderId="38" xfId="0" applyFont="1" applyFill="1" applyBorder="1" applyAlignment="1">
      <alignment wrapText="1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/>
    </xf>
    <xf numFmtId="1" fontId="9" fillId="6" borderId="9" xfId="0" applyNumberFormat="1" applyFont="1" applyFill="1" applyBorder="1" applyAlignment="1">
      <alignment horizontal="center" vertical="center"/>
    </xf>
    <xf numFmtId="1" fontId="9" fillId="6" borderId="10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7" fillId="8" borderId="26" xfId="0" applyFont="1" applyFill="1" applyBorder="1" applyAlignment="1">
      <alignment horizontal="center"/>
    </xf>
    <xf numFmtId="0" fontId="17" fillId="8" borderId="27" xfId="0" applyFont="1" applyFill="1" applyBorder="1" applyAlignment="1">
      <alignment horizontal="center"/>
    </xf>
    <xf numFmtId="0" fontId="5" fillId="5" borderId="0" xfId="0" applyFont="1" applyFill="1" applyAlignment="1">
      <alignment horizontal="left"/>
    </xf>
    <xf numFmtId="0" fontId="18" fillId="9" borderId="26" xfId="0" applyFont="1" applyFill="1" applyBorder="1" applyAlignment="1">
      <alignment horizontal="center"/>
    </xf>
    <xf numFmtId="0" fontId="18" fillId="9" borderId="27" xfId="0" applyFont="1" applyFill="1" applyBorder="1" applyAlignment="1">
      <alignment horizontal="center"/>
    </xf>
    <xf numFmtId="0" fontId="15" fillId="10" borderId="28" xfId="0" applyFont="1" applyFill="1" applyBorder="1" applyAlignment="1">
      <alignment horizontal="center" wrapText="1"/>
    </xf>
    <xf numFmtId="9" fontId="15" fillId="10" borderId="29" xfId="0" applyNumberFormat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15" fillId="10" borderId="29" xfId="0" applyFont="1" applyFill="1" applyBorder="1" applyAlignment="1">
      <alignment horizontal="center" wrapText="1"/>
    </xf>
    <xf numFmtId="9" fontId="10" fillId="7" borderId="14" xfId="0" applyNumberFormat="1" applyFont="1" applyFill="1" applyBorder="1" applyAlignment="1">
      <alignment horizontal="center" vertical="center"/>
    </xf>
    <xf numFmtId="9" fontId="10" fillId="7" borderId="15" xfId="0" applyNumberFormat="1" applyFont="1" applyFill="1" applyBorder="1" applyAlignment="1">
      <alignment horizontal="center" vertical="center"/>
    </xf>
    <xf numFmtId="9" fontId="10" fillId="7" borderId="8" xfId="0" applyNumberFormat="1" applyFont="1" applyFill="1" applyBorder="1" applyAlignment="1">
      <alignment horizontal="center" vertical="center"/>
    </xf>
    <xf numFmtId="9" fontId="10" fillId="7" borderId="16" xfId="0" applyNumberFormat="1" applyFont="1" applyFill="1" applyBorder="1" applyAlignment="1">
      <alignment horizontal="center" vertical="center"/>
    </xf>
    <xf numFmtId="9" fontId="10" fillId="7" borderId="4" xfId="0" applyNumberFormat="1" applyFont="1" applyFill="1" applyBorder="1" applyAlignment="1">
      <alignment horizontal="center" vertical="center"/>
    </xf>
    <xf numFmtId="9" fontId="10" fillId="7" borderId="10" xfId="0" applyNumberFormat="1" applyFont="1" applyFill="1" applyBorder="1" applyAlignment="1">
      <alignment horizontal="center" vertical="center"/>
    </xf>
    <xf numFmtId="9" fontId="10" fillId="7" borderId="17" xfId="0" applyNumberFormat="1" applyFont="1" applyFill="1" applyBorder="1" applyAlignment="1">
      <alignment horizontal="center" vertical="center"/>
    </xf>
    <xf numFmtId="9" fontId="10" fillId="7" borderId="18" xfId="0" applyNumberFormat="1" applyFont="1" applyFill="1" applyBorder="1" applyAlignment="1">
      <alignment horizontal="center" vertical="center"/>
    </xf>
    <xf numFmtId="9" fontId="10" fillId="7" borderId="13" xfId="0" applyNumberFormat="1" applyFont="1" applyFill="1" applyBorder="1" applyAlignment="1">
      <alignment horizontal="center" vertical="center"/>
    </xf>
    <xf numFmtId="9" fontId="11" fillId="8" borderId="19" xfId="0" applyNumberFormat="1" applyFont="1" applyFill="1" applyBorder="1" applyAlignment="1">
      <alignment horizontal="center" vertical="center"/>
    </xf>
    <xf numFmtId="9" fontId="11" fillId="8" borderId="20" xfId="0" applyNumberFormat="1" applyFont="1" applyFill="1" applyBorder="1" applyAlignment="1">
      <alignment horizontal="center" vertical="center"/>
    </xf>
    <xf numFmtId="9" fontId="11" fillId="8" borderId="8" xfId="0" applyNumberFormat="1" applyFont="1" applyFill="1" applyBorder="1" applyAlignment="1">
      <alignment horizontal="center" vertical="center"/>
    </xf>
    <xf numFmtId="9" fontId="11" fillId="8" borderId="21" xfId="0" applyNumberFormat="1" applyFont="1" applyFill="1" applyBorder="1" applyAlignment="1">
      <alignment horizontal="center" vertical="center"/>
    </xf>
    <xf numFmtId="9" fontId="11" fillId="8" borderId="0" xfId="0" applyNumberFormat="1" applyFont="1" applyFill="1" applyAlignment="1">
      <alignment horizontal="center" vertical="center"/>
    </xf>
    <xf numFmtId="9" fontId="11" fillId="8" borderId="10" xfId="0" applyNumberFormat="1" applyFont="1" applyFill="1" applyBorder="1" applyAlignment="1">
      <alignment horizontal="center" vertical="center"/>
    </xf>
    <xf numFmtId="9" fontId="11" fillId="8" borderId="22" xfId="0" applyNumberFormat="1" applyFont="1" applyFill="1" applyBorder="1" applyAlignment="1">
      <alignment horizontal="center" vertical="center"/>
    </xf>
    <xf numFmtId="9" fontId="11" fillId="8" borderId="12" xfId="0" applyNumberFormat="1" applyFont="1" applyFill="1" applyBorder="1" applyAlignment="1">
      <alignment horizontal="center" vertical="center"/>
    </xf>
    <xf numFmtId="9" fontId="11" fillId="8" borderId="13" xfId="0" applyNumberFormat="1" applyFont="1" applyFill="1" applyBorder="1" applyAlignment="1">
      <alignment horizontal="center" vertical="center"/>
    </xf>
    <xf numFmtId="1" fontId="12" fillId="9" borderId="23" xfId="0" applyNumberFormat="1" applyFont="1" applyFill="1" applyBorder="1" applyAlignment="1">
      <alignment horizontal="center" vertical="center"/>
    </xf>
    <xf numFmtId="1" fontId="12" fillId="9" borderId="7" xfId="0" applyNumberFormat="1" applyFont="1" applyFill="1" applyBorder="1" applyAlignment="1">
      <alignment horizontal="center" vertical="center"/>
    </xf>
    <xf numFmtId="1" fontId="12" fillId="9" borderId="8" xfId="0" applyNumberFormat="1" applyFont="1" applyFill="1" applyBorder="1" applyAlignment="1">
      <alignment horizontal="center" vertical="center"/>
    </xf>
    <xf numFmtId="1" fontId="12" fillId="9" borderId="24" xfId="0" applyNumberFormat="1" applyFont="1" applyFill="1" applyBorder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/>
    </xf>
    <xf numFmtId="1" fontId="12" fillId="9" borderId="10" xfId="0" applyNumberFormat="1" applyFont="1" applyFill="1" applyBorder="1" applyAlignment="1">
      <alignment horizontal="center" vertical="center"/>
    </xf>
    <xf numFmtId="1" fontId="12" fillId="9" borderId="25" xfId="0" applyNumberFormat="1" applyFont="1" applyFill="1" applyBorder="1" applyAlignment="1">
      <alignment horizontal="center" vertical="center"/>
    </xf>
    <xf numFmtId="1" fontId="12" fillId="9" borderId="12" xfId="0" applyNumberFormat="1" applyFont="1" applyFill="1" applyBorder="1" applyAlignment="1">
      <alignment horizontal="center" vertical="center"/>
    </xf>
    <xf numFmtId="1" fontId="12" fillId="9" borderId="13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9" fillId="11" borderId="37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4" fillId="10" borderId="0" xfId="0" applyFont="1" applyFill="1" applyAlignment="1">
      <alignment wrapText="1"/>
    </xf>
    <xf numFmtId="0" fontId="14" fillId="10" borderId="38" xfId="0" applyFont="1" applyFill="1" applyBorder="1" applyAlignment="1">
      <alignment wrapText="1"/>
    </xf>
    <xf numFmtId="0" fontId="21" fillId="10" borderId="39" xfId="0" applyFont="1" applyFill="1" applyBorder="1" applyAlignment="1">
      <alignment horizontal="right" vertical="center"/>
    </xf>
    <xf numFmtId="0" fontId="21" fillId="10" borderId="0" xfId="0" applyFont="1" applyFill="1" applyAlignment="1">
      <alignment horizontal="right" vertical="center"/>
    </xf>
    <xf numFmtId="0" fontId="0" fillId="5" borderId="0" xfId="0" applyFill="1" applyAlignment="1">
      <alignment horizontal="center"/>
    </xf>
    <xf numFmtId="0" fontId="14" fillId="10" borderId="28" xfId="0" applyFont="1" applyFill="1" applyBorder="1" applyAlignment="1">
      <alignment horizontal="center"/>
    </xf>
    <xf numFmtId="0" fontId="14" fillId="10" borderId="31" xfId="0" applyFont="1" applyFill="1" applyBorder="1" applyAlignment="1">
      <alignment horizontal="center"/>
    </xf>
    <xf numFmtId="0" fontId="14" fillId="10" borderId="3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10" borderId="36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0" fillId="12" borderId="0" xfId="0" applyFont="1" applyFill="1" applyAlignment="1">
      <alignment horizontal="center" wrapText="1"/>
    </xf>
    <xf numFmtId="1" fontId="9" fillId="6" borderId="1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" fontId="9" fillId="6" borderId="12" xfId="0" applyNumberFormat="1" applyFont="1" applyFill="1" applyBorder="1" applyAlignment="1">
      <alignment horizontal="center" vertical="center"/>
    </xf>
    <xf numFmtId="1" fontId="9" fillId="6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D64545"/>
      </font>
      <fill>
        <patternFill>
          <bgColor rgb="FFFDE2E2"/>
        </patternFill>
      </fill>
    </dxf>
    <dxf>
      <font>
        <b/>
        <color rgb="FFD64545"/>
      </font>
      <fill>
        <patternFill>
          <bgColor rgb="FFFDE2E2"/>
        </patternFill>
      </fill>
    </dxf>
    <dxf>
      <font>
        <b/>
        <color rgb="FFD64545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Fleet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 Tower'!$F$8:$F$12</c:f>
              <c:strCache>
                <c:ptCount val="5"/>
                <c:pt idx="0">
                  <c:v>Operational</c:v>
                </c:pt>
                <c:pt idx="1">
                  <c:v>Maintenance</c:v>
                </c:pt>
                <c:pt idx="2">
                  <c:v>Breakdown</c:v>
                </c:pt>
                <c:pt idx="3">
                  <c:v>Standby</c:v>
                </c:pt>
                <c:pt idx="4">
                  <c:v>Released</c:v>
                </c:pt>
              </c:strCache>
            </c:strRef>
          </c:cat>
          <c:val>
            <c:numRef>
              <c:f>'Control Tower'!$G$8:$G$12</c:f>
              <c:numCache>
                <c:formatCode>General</c:formatCode>
                <c:ptCount val="5"/>
                <c:pt idx="0">
                  <c:v>61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C-4117-925B-9C166C981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Facilities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Utilization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'Control Tower'!$J$8:$J$13</c:f>
              <c:strCache>
                <c:ptCount val="6"/>
                <c:pt idx="0">
                  <c:v>Accommodation</c:v>
                </c:pt>
                <c:pt idx="1">
                  <c:v>Catering</c:v>
                </c:pt>
                <c:pt idx="2">
                  <c:v>Laundry</c:v>
                </c:pt>
                <c:pt idx="3">
                  <c:v>Housekeeping</c:v>
                </c:pt>
                <c:pt idx="4">
                  <c:v>Water Supply</c:v>
                </c:pt>
                <c:pt idx="5">
                  <c:v>Waste Management</c:v>
                </c:pt>
              </c:strCache>
            </c:strRef>
          </c:cat>
          <c:val>
            <c:numRef>
              <c:f>'Control Tower'!$K$8:$K$13</c:f>
              <c:numCache>
                <c:formatCode>0%</c:formatCode>
                <c:ptCount val="6"/>
                <c:pt idx="0">
                  <c:v>0.80476466043808381</c:v>
                </c:pt>
                <c:pt idx="1">
                  <c:v>0.87228789609094426</c:v>
                </c:pt>
                <c:pt idx="2">
                  <c:v>0.81712285514008887</c:v>
                </c:pt>
                <c:pt idx="3">
                  <c:v>0.8397973850088869</c:v>
                </c:pt>
                <c:pt idx="4">
                  <c:v>0.86219302668140307</c:v>
                </c:pt>
                <c:pt idx="5">
                  <c:v>0.82631696680195799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3-4F7C-B653-3E8043601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Route Coverage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Count</c:v>
          </c:tx>
          <c:dPt>
            <c:idx val="0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'Control Tower'!$N$8:$N$10</c:f>
              <c:strCache>
                <c:ptCount val="3"/>
                <c:pt idx="0">
                  <c:v>Covered</c:v>
                </c:pt>
                <c:pt idx="1">
                  <c:v>Partially Covered</c:v>
                </c:pt>
                <c:pt idx="2">
                  <c:v>Exception</c:v>
                </c:pt>
              </c:strCache>
            </c:strRef>
          </c:cat>
          <c:val>
            <c:numRef>
              <c:f>'Control Tower'!$O$8:$O$10</c:f>
              <c:numCache>
                <c:formatCode>General</c:formatCode>
                <c:ptCount val="3"/>
                <c:pt idx="0">
                  <c:v>28</c:v>
                </c:pt>
                <c:pt idx="1">
                  <c:v>30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9-40D7-84D3-2B9D8D7F72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14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17144</xdr:colOff>
      <xdr:row>26</xdr:row>
      <xdr:rowOff>22858</xdr:rowOff>
    </xdr:from>
    <xdr:to>
      <xdr:col>10</xdr:col>
      <xdr:colOff>800099</xdr:colOff>
      <xdr:row>36</xdr:row>
      <xdr:rowOff>171449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eetTable" displayName="FleetTable" ref="A1:P81">
  <tableColumns count="16">
    <tableColumn id="1" xr3:uid="{00000000-0010-0000-0000-000001000000}" name="Vehicle ID"/>
    <tableColumn id="2" xr3:uid="{00000000-0010-0000-0000-000002000000}" name="Plate No."/>
    <tableColumn id="3" xr3:uid="{00000000-0010-0000-0000-000003000000}" name="Vehicle Type"/>
    <tableColumn id="4" xr3:uid="{00000000-0010-0000-0000-000004000000}" name="Site"/>
    <tableColumn id="5" xr3:uid="{00000000-0010-0000-0000-000005000000}" name="Department"/>
    <tableColumn id="6" xr3:uid="{00000000-0010-0000-0000-000006000000}" name="Assigned Driver"/>
    <tableColumn id="7" xr3:uid="{00000000-0010-0000-0000-000007000000}" name="Status"/>
    <tableColumn id="8" xr3:uid="{00000000-0010-0000-0000-000008000000}" name="Model Year"/>
    <tableColumn id="9" xr3:uid="{00000000-0010-0000-0000-000009000000}" name="Odometer KM"/>
    <tableColumn id="10" xr3:uid="{00000000-0010-0000-0000-00000A000000}" name="Fuel / Month L"/>
    <tableColumn id="11" xr3:uid="{00000000-0010-0000-0000-00000B000000}" name="Monthly Cost SAR"/>
    <tableColumn id="12" xr3:uid="{00000000-0010-0000-0000-00000C000000}" name="Last Service"/>
    <tableColumn id="13" xr3:uid="{00000000-0010-0000-0000-00000D000000}" name="Next Service"/>
    <tableColumn id="14" xr3:uid="{00000000-0010-0000-0000-00000E000000}" name="Days to Service"/>
    <tableColumn id="15" xr3:uid="{00000000-0010-0000-0000-00000F000000}" name="Breakdown Count"/>
    <tableColumn id="16" xr3:uid="{00000000-0010-0000-0000-000010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PlanTable" displayName="RoutePlanTable" ref="A1:N91">
  <tableColumns count="14">
    <tableColumn id="1" xr3:uid="{00000000-0010-0000-0100-000001000000}" name="Plan ID"/>
    <tableColumn id="2" xr3:uid="{00000000-0010-0000-0100-000002000000}" name="Date"/>
    <tableColumn id="3" xr3:uid="{00000000-0010-0000-0100-000003000000}" name="Shift"/>
    <tableColumn id="4" xr3:uid="{00000000-0010-0000-0100-000004000000}" name="Route"/>
    <tableColumn id="5" xr3:uid="{00000000-0010-0000-0100-000005000000}" name="Site"/>
    <tableColumn id="6" xr3:uid="{00000000-0010-0000-0100-000006000000}" name="Driver"/>
    <tableColumn id="7" xr3:uid="{00000000-0010-0000-0100-000007000000}" name="Vehicle ID"/>
    <tableColumn id="8" xr3:uid="{00000000-0010-0000-0100-000008000000}" name="Planned Trips"/>
    <tableColumn id="9" xr3:uid="{00000000-0010-0000-0100-000009000000}" name="Actual Trips"/>
    <tableColumn id="10" xr3:uid="{00000000-0010-0000-0100-00000A000000}" name="Passengers Planned"/>
    <tableColumn id="11" xr3:uid="{00000000-0010-0000-0100-00000B000000}" name="Passengers Actual"/>
    <tableColumn id="12" xr3:uid="{00000000-0010-0000-0100-00000C000000}" name="Coverage %"/>
    <tableColumn id="13" xr3:uid="{00000000-0010-0000-0100-00000D000000}" name="Status"/>
    <tableColumn id="14" xr3:uid="{00000000-0010-0000-0100-00000E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ilitiesTable" displayName="FacilitiesTable" ref="A1:L73">
  <tableColumns count="12">
    <tableColumn id="1" xr3:uid="{00000000-0010-0000-0200-000001000000}" name="Service ID"/>
    <tableColumn id="2" xr3:uid="{00000000-0010-0000-0200-000002000000}" name="Month"/>
    <tableColumn id="3" xr3:uid="{00000000-0010-0000-0200-000003000000}" name="Site"/>
    <tableColumn id="4" xr3:uid="{00000000-0010-0000-0200-000004000000}" name="Service Category"/>
    <tableColumn id="5" xr3:uid="{00000000-0010-0000-0200-000005000000}" name="Capacity / Plan"/>
    <tableColumn id="6" xr3:uid="{00000000-0010-0000-0200-000006000000}" name="Actual Usage"/>
    <tableColumn id="7" xr3:uid="{00000000-0010-0000-0200-000007000000}" name="Utilization %"/>
    <tableColumn id="8" xr3:uid="{00000000-0010-0000-0200-000008000000}" name="Service Status"/>
    <tableColumn id="9" xr3:uid="{00000000-0010-0000-0200-000009000000}" name="Monthly Cost SAR"/>
    <tableColumn id="10" xr3:uid="{00000000-0010-0000-0200-00000A000000}" name="Open Issues"/>
    <tableColumn id="11" xr3:uid="{00000000-0010-0000-0200-00000B000000}" name="Owner"/>
    <tableColumn id="12" xr3:uid="{00000000-0010-0000-0200-00000C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showGridLines="0" tabSelected="1" topLeftCell="A2" zoomScaleNormal="100" workbookViewId="0">
      <selection activeCell="T29" sqref="T29"/>
    </sheetView>
  </sheetViews>
  <sheetFormatPr defaultRowHeight="13.8"/>
  <cols>
    <col min="1" max="1" width="2.5" customWidth="1"/>
    <col min="2" max="4" width="10" customWidth="1"/>
    <col min="5" max="5" width="2.5" customWidth="1"/>
    <col min="6" max="6" width="11" style="87" customWidth="1"/>
    <col min="7" max="9" width="11" customWidth="1"/>
    <col min="10" max="10" width="13.796875" style="87" customWidth="1"/>
    <col min="11" max="13" width="11" customWidth="1"/>
    <col min="14" max="14" width="16.19921875" bestFit="1" customWidth="1"/>
    <col min="15" max="16" width="11" customWidth="1"/>
    <col min="17" max="17" width="1" customWidth="1"/>
  </cols>
  <sheetData>
    <row r="1" spans="1:17" ht="16.8" customHeight="1">
      <c r="A1" s="10"/>
      <c r="B1" s="10"/>
      <c r="C1" s="10"/>
      <c r="D1" s="10"/>
      <c r="E1" s="10"/>
      <c r="F1" s="81"/>
      <c r="G1" s="10"/>
      <c r="H1" s="10"/>
      <c r="I1" s="10"/>
      <c r="J1" s="81"/>
      <c r="K1" s="10"/>
      <c r="L1" s="10"/>
      <c r="M1" s="10"/>
      <c r="N1" s="10"/>
      <c r="O1" s="10"/>
      <c r="P1" s="10"/>
      <c r="Q1" s="10"/>
    </row>
    <row r="2" spans="1:17" ht="16.8" customHeight="1">
      <c r="A2" s="10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18"/>
      <c r="Q2" s="10">
        <f>COUNTA('Fleet Register'!A2:A81)</f>
        <v>80</v>
      </c>
    </row>
    <row r="3" spans="1:17" ht="16.8" customHeight="1">
      <c r="A3" s="1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18"/>
      <c r="Q3" s="10">
        <f>COUNTIF('Fleet Register'!G2:G81,"Operational")/COUNTA('Fleet Register'!A2:A81)</f>
        <v>0.76249999999999996</v>
      </c>
    </row>
    <row r="4" spans="1:17" ht="16.8" customHeight="1">
      <c r="A4" s="10"/>
      <c r="B4" s="32" t="s">
        <v>1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9"/>
      <c r="Q4" s="10">
        <f>AVERAGE('Driver &amp; Route Plan'!L2:L91)</f>
        <v>0.88997654346203425</v>
      </c>
    </row>
    <row r="5" spans="1:17" ht="16.8" customHeight="1">
      <c r="A5" s="10"/>
      <c r="B5" s="10"/>
      <c r="C5" s="10"/>
      <c r="D5" s="10"/>
      <c r="E5" s="10"/>
      <c r="F5" s="81"/>
      <c r="G5" s="10"/>
      <c r="H5" s="10"/>
      <c r="I5" s="10"/>
      <c r="J5" s="81"/>
      <c r="K5" s="10"/>
      <c r="L5" s="10"/>
      <c r="M5" s="10"/>
      <c r="N5" s="10"/>
      <c r="O5" s="10"/>
      <c r="P5" s="10"/>
      <c r="Q5" s="10">
        <f>SUM('Facilities Services'!J2:J73)</f>
        <v>235</v>
      </c>
    </row>
    <row r="6" spans="1:17" ht="16.8" customHeight="1">
      <c r="A6" s="10"/>
      <c r="B6" s="33" t="s">
        <v>50</v>
      </c>
      <c r="C6" s="92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0"/>
      <c r="Q6" s="10"/>
    </row>
    <row r="7" spans="1:17" ht="16.8" customHeight="1">
      <c r="A7" s="10"/>
      <c r="B7" s="93"/>
      <c r="C7" s="94"/>
      <c r="D7" s="95"/>
      <c r="E7" s="10"/>
      <c r="F7" s="27" t="s">
        <v>2</v>
      </c>
      <c r="G7" s="28" t="s">
        <v>3</v>
      </c>
      <c r="H7" s="10"/>
      <c r="I7" s="10"/>
      <c r="J7" s="36" t="s">
        <v>4</v>
      </c>
      <c r="K7" s="37" t="s">
        <v>5</v>
      </c>
      <c r="L7" s="38"/>
      <c r="M7" s="38"/>
      <c r="N7" s="39" t="s">
        <v>6</v>
      </c>
      <c r="O7" s="40" t="s">
        <v>3</v>
      </c>
      <c r="P7" s="10"/>
      <c r="Q7" s="10"/>
    </row>
    <row r="8" spans="1:17" ht="16.8" customHeight="1">
      <c r="A8" s="10"/>
      <c r="B8" s="72" t="s">
        <v>7</v>
      </c>
      <c r="C8" s="72"/>
      <c r="D8" s="72"/>
      <c r="E8" s="10"/>
      <c r="F8" s="82" t="s">
        <v>8</v>
      </c>
      <c r="G8" s="20">
        <f>COUNTIF('Fleet Register'!G2:G81,F8)</f>
        <v>61</v>
      </c>
      <c r="H8" s="10"/>
      <c r="I8" s="10"/>
      <c r="J8" s="41" t="s">
        <v>9</v>
      </c>
      <c r="K8" s="42">
        <f>AVERAGEIF('Facilities Services'!D:D,J8,'Facilities Services'!G:G)</f>
        <v>0.80476466043808381</v>
      </c>
      <c r="L8" s="43"/>
      <c r="M8" s="43"/>
      <c r="N8" s="41" t="s">
        <v>10</v>
      </c>
      <c r="O8" s="44">
        <f>COUNTIF('Driver &amp; Route Plan'!M2:M91,"Covered")</f>
        <v>28</v>
      </c>
      <c r="P8" s="10"/>
      <c r="Q8" s="10"/>
    </row>
    <row r="9" spans="1:17" ht="16.8" customHeight="1">
      <c r="A9" s="10"/>
      <c r="B9" s="45">
        <f>Q3</f>
        <v>0.76249999999999996</v>
      </c>
      <c r="C9" s="46"/>
      <c r="D9" s="47"/>
      <c r="E9" s="11"/>
      <c r="F9" s="21" t="s">
        <v>11</v>
      </c>
      <c r="G9" s="20">
        <f>COUNTIF('Fleet Register'!G2:G81,F9)</f>
        <v>5</v>
      </c>
      <c r="H9" s="10"/>
      <c r="I9" s="10"/>
      <c r="J9" s="23" t="s">
        <v>12</v>
      </c>
      <c r="K9" s="24">
        <f>AVERAGEIF('Facilities Services'!D:D,J9,'Facilities Services'!G:G)</f>
        <v>0.87228789609094426</v>
      </c>
      <c r="L9" s="10"/>
      <c r="M9" s="11"/>
      <c r="N9" s="21" t="s">
        <v>13</v>
      </c>
      <c r="O9" s="20">
        <f>COUNTIF('Driver &amp; Route Plan'!M2:M91,"Partially Covered")</f>
        <v>30</v>
      </c>
      <c r="P9" s="10"/>
      <c r="Q9" s="10"/>
    </row>
    <row r="10" spans="1:17" ht="16.8" customHeight="1">
      <c r="A10" s="10"/>
      <c r="B10" s="48"/>
      <c r="C10" s="49"/>
      <c r="D10" s="50"/>
      <c r="E10" s="12"/>
      <c r="F10" s="83" t="s">
        <v>14</v>
      </c>
      <c r="G10" s="20">
        <f>COUNTIF('Fleet Register'!G2:G81,F10)</f>
        <v>8</v>
      </c>
      <c r="H10" s="10"/>
      <c r="I10" s="10"/>
      <c r="J10" s="82" t="s">
        <v>15</v>
      </c>
      <c r="K10" s="25">
        <f>AVERAGEIF('Facilities Services'!D:D,J10,'Facilities Services'!G:G)</f>
        <v>0.81712285514008887</v>
      </c>
      <c r="L10" s="10"/>
      <c r="M10" s="12"/>
      <c r="N10" s="84" t="s">
        <v>16</v>
      </c>
      <c r="O10" s="22">
        <f>COUNTIF('Driver &amp; Route Plan'!M2:M91,"Exception")</f>
        <v>32</v>
      </c>
      <c r="P10" s="10"/>
      <c r="Q10" s="10"/>
    </row>
    <row r="11" spans="1:17" ht="16.8" customHeight="1">
      <c r="A11" s="10"/>
      <c r="B11" s="48"/>
      <c r="C11" s="49"/>
      <c r="D11" s="50"/>
      <c r="E11" s="12"/>
      <c r="F11" s="83" t="s">
        <v>17</v>
      </c>
      <c r="G11" s="20">
        <f>COUNTIF('Fleet Register'!G2:G81,F11)</f>
        <v>6</v>
      </c>
      <c r="H11" s="10"/>
      <c r="I11" s="10"/>
      <c r="J11" s="82" t="s">
        <v>18</v>
      </c>
      <c r="K11" s="25">
        <f>AVERAGEIF('Facilities Services'!D:D,J11,'Facilities Services'!G:G)</f>
        <v>0.8397973850088869</v>
      </c>
      <c r="L11" s="10"/>
      <c r="M11" s="12"/>
      <c r="N11" s="13"/>
      <c r="O11" s="10"/>
      <c r="P11" s="10"/>
      <c r="Q11" s="10"/>
    </row>
    <row r="12" spans="1:17" ht="16.8" customHeight="1">
      <c r="A12" s="10"/>
      <c r="B12" s="51"/>
      <c r="C12" s="52"/>
      <c r="D12" s="53"/>
      <c r="E12" s="12"/>
      <c r="F12" s="84" t="s">
        <v>19</v>
      </c>
      <c r="G12" s="22">
        <f>COUNTIF('Fleet Register'!G2:G81,F12)</f>
        <v>0</v>
      </c>
      <c r="H12" s="10"/>
      <c r="I12" s="10"/>
      <c r="J12" s="82" t="s">
        <v>20</v>
      </c>
      <c r="K12" s="25">
        <f>AVERAGEIF('Facilities Services'!D:D,J12,'Facilities Services'!G:G)</f>
        <v>0.86219302668140307</v>
      </c>
      <c r="L12" s="10"/>
      <c r="M12" s="15"/>
      <c r="N12" s="16"/>
      <c r="O12" s="10"/>
      <c r="P12" s="10"/>
      <c r="Q12" s="10"/>
    </row>
    <row r="13" spans="1:17" ht="16.8" customHeight="1">
      <c r="A13" s="10"/>
      <c r="B13" s="73" t="s">
        <v>21</v>
      </c>
      <c r="C13" s="74"/>
      <c r="D13" s="72"/>
      <c r="E13" s="12"/>
      <c r="F13" s="85"/>
      <c r="G13" s="10"/>
      <c r="H13" s="10"/>
      <c r="I13" s="10"/>
      <c r="J13" s="88" t="s">
        <v>22</v>
      </c>
      <c r="K13" s="26">
        <f>AVERAGEIF('Facilities Services'!D:D,J13,'Facilities Services'!G:G)</f>
        <v>0.82631696680195799</v>
      </c>
      <c r="L13" s="10"/>
      <c r="M13" s="10"/>
      <c r="N13" s="10"/>
      <c r="O13" s="10"/>
      <c r="P13" s="10"/>
      <c r="Q13" s="10"/>
    </row>
    <row r="14" spans="1:17" ht="16.8" customHeight="1">
      <c r="A14" s="10"/>
      <c r="B14" s="54">
        <f>Q4</f>
        <v>0.88997654346203425</v>
      </c>
      <c r="C14" s="55"/>
      <c r="D14" s="56"/>
      <c r="E14" s="12"/>
      <c r="F14" s="85"/>
      <c r="G14" s="10"/>
      <c r="H14" s="10"/>
      <c r="I14" s="10"/>
      <c r="J14" s="89"/>
      <c r="K14" s="14"/>
      <c r="L14" s="10"/>
      <c r="M14" s="10"/>
      <c r="N14" s="10"/>
      <c r="O14" s="10"/>
      <c r="P14" s="10"/>
      <c r="Q14" s="10"/>
    </row>
    <row r="15" spans="1:17" ht="16.8" customHeight="1">
      <c r="A15" s="10"/>
      <c r="B15" s="57"/>
      <c r="C15" s="58"/>
      <c r="D15" s="59"/>
      <c r="E15" s="12"/>
      <c r="F15" s="85"/>
      <c r="G15" s="10"/>
      <c r="H15" s="10"/>
      <c r="I15" s="10"/>
      <c r="J15" s="90"/>
      <c r="K15" s="17"/>
      <c r="L15" s="10"/>
      <c r="M15" s="10"/>
      <c r="N15" s="10"/>
      <c r="O15" s="10"/>
      <c r="P15" s="10"/>
      <c r="Q15" s="10"/>
    </row>
    <row r="16" spans="1:17" ht="16.8" customHeight="1">
      <c r="A16" s="10"/>
      <c r="B16" s="57"/>
      <c r="C16" s="58"/>
      <c r="D16" s="59"/>
      <c r="E16" s="12"/>
      <c r="F16" s="85"/>
      <c r="G16" s="10"/>
      <c r="H16" s="10"/>
      <c r="I16" s="10"/>
      <c r="J16" s="81"/>
      <c r="K16" s="10"/>
      <c r="L16" s="10"/>
      <c r="M16" s="10"/>
      <c r="N16" s="10"/>
      <c r="O16" s="10"/>
      <c r="P16" s="10"/>
      <c r="Q16" s="10"/>
    </row>
    <row r="17" spans="1:17" ht="16.8" customHeight="1">
      <c r="A17" s="10"/>
      <c r="B17" s="60"/>
      <c r="C17" s="61"/>
      <c r="D17" s="62"/>
      <c r="E17" s="12"/>
      <c r="F17" s="85"/>
      <c r="G17" s="10"/>
      <c r="H17" s="10"/>
      <c r="I17" s="10"/>
      <c r="J17" s="81"/>
      <c r="K17" s="10"/>
      <c r="L17" s="10"/>
      <c r="M17" s="10"/>
      <c r="N17" s="10"/>
      <c r="O17" s="10"/>
      <c r="P17" s="10"/>
      <c r="Q17" s="10"/>
    </row>
    <row r="18" spans="1:17" ht="16.8" customHeight="1">
      <c r="A18" s="10"/>
      <c r="B18" s="72" t="s">
        <v>23</v>
      </c>
      <c r="C18" s="72"/>
      <c r="D18" s="72"/>
      <c r="E18" s="15"/>
      <c r="F18" s="86"/>
      <c r="G18" s="10"/>
      <c r="H18" s="10"/>
      <c r="I18" s="10"/>
      <c r="J18" s="81"/>
      <c r="K18" s="10"/>
      <c r="L18" s="10"/>
      <c r="M18" s="10"/>
      <c r="N18" s="10"/>
      <c r="O18" s="10"/>
      <c r="P18" s="10"/>
      <c r="Q18" s="10"/>
    </row>
    <row r="19" spans="1:17" ht="16.8" customHeight="1">
      <c r="A19" s="10"/>
      <c r="B19" s="63">
        <f>Q5</f>
        <v>235</v>
      </c>
      <c r="C19" s="64"/>
      <c r="D19" s="65"/>
      <c r="E19" s="10"/>
      <c r="F19" s="81"/>
      <c r="G19" s="10"/>
      <c r="H19" s="10"/>
      <c r="I19" s="10"/>
      <c r="J19" s="81"/>
      <c r="K19" s="10"/>
      <c r="L19" s="10"/>
      <c r="M19" s="10"/>
      <c r="N19" s="10"/>
      <c r="O19" s="10"/>
      <c r="P19" s="10"/>
      <c r="Q19" s="10"/>
    </row>
    <row r="20" spans="1:17" ht="16.8" customHeight="1">
      <c r="A20" s="10"/>
      <c r="B20" s="66"/>
      <c r="C20" s="67"/>
      <c r="D20" s="68"/>
      <c r="E20" s="10"/>
      <c r="F20" s="81"/>
      <c r="G20" s="10"/>
      <c r="H20" s="10"/>
      <c r="I20" s="10"/>
      <c r="J20" s="81"/>
      <c r="K20" s="10"/>
      <c r="L20" s="10"/>
      <c r="M20" s="10"/>
      <c r="N20" s="10"/>
      <c r="O20" s="10"/>
      <c r="P20" s="10"/>
      <c r="Q20" s="10"/>
    </row>
    <row r="21" spans="1:17" ht="16.8" customHeight="1">
      <c r="A21" s="10"/>
      <c r="B21" s="66"/>
      <c r="C21" s="67"/>
      <c r="D21" s="68"/>
      <c r="E21" s="10"/>
      <c r="F21" s="81"/>
      <c r="G21" s="10"/>
      <c r="H21" s="10"/>
      <c r="I21" s="10"/>
      <c r="J21" s="81"/>
      <c r="K21" s="10"/>
      <c r="L21" s="10"/>
      <c r="M21" s="10"/>
      <c r="N21" s="10"/>
      <c r="O21" s="10"/>
      <c r="P21" s="10"/>
      <c r="Q21" s="10"/>
    </row>
    <row r="22" spans="1:17" ht="16.8" customHeight="1">
      <c r="A22" s="10"/>
      <c r="B22" s="69"/>
      <c r="C22" s="70"/>
      <c r="D22" s="71"/>
      <c r="E22" s="10"/>
      <c r="F22" s="81"/>
      <c r="G22" s="10"/>
      <c r="H22" s="10"/>
      <c r="I22" s="10"/>
      <c r="J22" s="81"/>
      <c r="K22" s="10"/>
      <c r="L22" s="10"/>
      <c r="M22" s="10"/>
      <c r="N22" s="10"/>
      <c r="O22" s="10"/>
      <c r="P22" s="10"/>
      <c r="Q22" s="10"/>
    </row>
    <row r="23" spans="1:17" ht="16.8" customHeight="1">
      <c r="A23" s="10"/>
      <c r="B23" s="72" t="s">
        <v>24</v>
      </c>
      <c r="C23" s="72"/>
      <c r="D23" s="72"/>
      <c r="E23" s="10"/>
      <c r="F23" s="81"/>
      <c r="G23" s="10"/>
      <c r="H23" s="10"/>
      <c r="I23" s="10"/>
      <c r="J23" s="81"/>
      <c r="K23" s="10"/>
      <c r="L23" s="10"/>
      <c r="M23" s="10"/>
      <c r="N23" s="10"/>
      <c r="O23" s="10"/>
      <c r="P23" s="10"/>
      <c r="Q23" s="10"/>
    </row>
    <row r="24" spans="1:17" ht="16.8" customHeight="1">
      <c r="A24" s="10"/>
      <c r="B24" s="10"/>
      <c r="C24" s="10"/>
      <c r="D24" s="10"/>
      <c r="E24" s="10"/>
      <c r="F24" s="81"/>
      <c r="G24" s="10"/>
      <c r="H24" s="10"/>
      <c r="I24" s="10"/>
      <c r="J24" s="81"/>
      <c r="K24" s="10"/>
      <c r="L24" s="10"/>
      <c r="M24" s="10"/>
      <c r="N24" s="10"/>
      <c r="O24" s="10"/>
      <c r="P24" s="10"/>
      <c r="Q24" s="10"/>
    </row>
    <row r="25" spans="1:17" ht="16.8" customHeight="1">
      <c r="A25" s="10"/>
      <c r="B25" s="10"/>
      <c r="C25" s="10"/>
      <c r="D25" s="10"/>
      <c r="E25" s="10"/>
      <c r="F25" s="81"/>
      <c r="G25" s="10"/>
      <c r="H25" s="10"/>
      <c r="I25" s="10"/>
      <c r="J25" s="81"/>
      <c r="K25" s="10"/>
      <c r="L25" s="10"/>
      <c r="M25" s="10"/>
      <c r="N25" s="10"/>
      <c r="O25" s="10"/>
      <c r="P25" s="10"/>
      <c r="Q25" s="10"/>
    </row>
    <row r="26" spans="1:17" ht="16.8" customHeight="1">
      <c r="A26" s="10"/>
      <c r="B26" s="10"/>
      <c r="C26" s="10"/>
      <c r="D26" s="10"/>
      <c r="E26" s="10"/>
      <c r="F26" s="81"/>
      <c r="G26" s="10"/>
      <c r="H26" s="10"/>
      <c r="I26" s="10"/>
      <c r="J26" s="81"/>
      <c r="K26" s="10"/>
      <c r="L26" s="10"/>
      <c r="M26" s="10"/>
      <c r="N26" s="10"/>
      <c r="O26" s="10"/>
      <c r="P26" s="10"/>
      <c r="Q26" s="10"/>
    </row>
    <row r="27" spans="1:17" ht="21.6" customHeight="1">
      <c r="A27" s="10"/>
      <c r="B27" s="10"/>
      <c r="C27" s="10"/>
      <c r="D27" s="10"/>
      <c r="E27" s="10"/>
      <c r="F27" s="81"/>
      <c r="G27" s="10"/>
      <c r="H27" s="10"/>
      <c r="I27" s="10"/>
      <c r="J27" s="81"/>
      <c r="K27" s="10"/>
      <c r="L27" s="75" t="s">
        <v>25</v>
      </c>
      <c r="M27" s="76"/>
      <c r="N27" s="76"/>
      <c r="O27" s="76"/>
      <c r="P27" s="76"/>
      <c r="Q27" s="10"/>
    </row>
    <row r="28" spans="1:17" ht="21.6" customHeight="1">
      <c r="A28" s="10"/>
      <c r="B28" s="10"/>
      <c r="C28" s="10"/>
      <c r="D28" s="10"/>
      <c r="E28" s="10"/>
      <c r="F28" s="81"/>
      <c r="G28" s="10"/>
      <c r="H28" s="10"/>
      <c r="I28" s="10"/>
      <c r="J28" s="81"/>
      <c r="K28" s="10"/>
      <c r="L28" s="75"/>
      <c r="M28" s="76"/>
      <c r="N28" s="76"/>
      <c r="O28" s="76"/>
      <c r="P28" s="76"/>
      <c r="Q28" s="10"/>
    </row>
    <row r="29" spans="1:17" ht="25.2" customHeight="1">
      <c r="A29" s="10"/>
      <c r="B29" s="10"/>
      <c r="C29" s="10"/>
      <c r="D29" s="10"/>
      <c r="E29" s="10"/>
      <c r="F29" s="81"/>
      <c r="G29" s="10"/>
      <c r="H29" s="10"/>
      <c r="I29" s="10"/>
      <c r="J29" s="81"/>
      <c r="K29" s="10"/>
      <c r="L29" s="91" t="s">
        <v>26</v>
      </c>
      <c r="M29" s="91" t="s">
        <v>27</v>
      </c>
      <c r="N29" s="91" t="s">
        <v>28</v>
      </c>
      <c r="O29" s="91"/>
      <c r="P29" s="91"/>
      <c r="Q29" s="10"/>
    </row>
    <row r="30" spans="1:17" ht="25.2" customHeight="1">
      <c r="A30" s="10"/>
      <c r="B30" s="10"/>
      <c r="C30" s="10"/>
      <c r="D30" s="10"/>
      <c r="E30" s="10"/>
      <c r="F30" s="81"/>
      <c r="G30" s="10"/>
      <c r="H30" s="10"/>
      <c r="I30" s="10"/>
      <c r="J30" s="81"/>
      <c r="K30" s="10"/>
      <c r="L30" s="29" t="s">
        <v>11</v>
      </c>
      <c r="M30" s="29" t="s">
        <v>29</v>
      </c>
      <c r="N30" s="77" t="s">
        <v>30</v>
      </c>
      <c r="O30" s="77"/>
      <c r="P30" s="77"/>
      <c r="Q30" s="10"/>
    </row>
    <row r="31" spans="1:17" ht="25.2" customHeight="1">
      <c r="A31" s="10"/>
      <c r="B31" s="10"/>
      <c r="C31" s="10"/>
      <c r="D31" s="10"/>
      <c r="E31" s="10"/>
      <c r="F31" s="81"/>
      <c r="G31" s="10"/>
      <c r="H31" s="10"/>
      <c r="I31" s="10"/>
      <c r="J31" s="81"/>
      <c r="K31" s="10"/>
      <c r="L31" s="29" t="s">
        <v>31</v>
      </c>
      <c r="M31" s="29" t="s">
        <v>32</v>
      </c>
      <c r="N31" s="77" t="s">
        <v>33</v>
      </c>
      <c r="O31" s="77"/>
      <c r="P31" s="77"/>
      <c r="Q31" s="10"/>
    </row>
    <row r="32" spans="1:17" ht="25.2" customHeight="1">
      <c r="A32" s="10"/>
      <c r="B32" s="10"/>
      <c r="C32" s="10"/>
      <c r="D32" s="10"/>
      <c r="E32" s="10"/>
      <c r="F32" s="81"/>
      <c r="G32" s="10"/>
      <c r="H32" s="10"/>
      <c r="I32" s="10"/>
      <c r="J32" s="81"/>
      <c r="K32" s="10"/>
      <c r="L32" s="29" t="s">
        <v>34</v>
      </c>
      <c r="M32" s="29" t="s">
        <v>35</v>
      </c>
      <c r="N32" s="77" t="s">
        <v>36</v>
      </c>
      <c r="O32" s="77"/>
      <c r="P32" s="77"/>
      <c r="Q32" s="10"/>
    </row>
    <row r="33" spans="1:17" ht="25.2" customHeight="1">
      <c r="A33" s="10"/>
      <c r="B33" s="10"/>
      <c r="C33" s="10"/>
      <c r="D33" s="10"/>
      <c r="E33" s="10"/>
      <c r="F33" s="81"/>
      <c r="G33" s="10"/>
      <c r="H33" s="10"/>
      <c r="I33" s="10"/>
      <c r="J33" s="81"/>
      <c r="K33" s="10"/>
      <c r="L33" s="29" t="s">
        <v>37</v>
      </c>
      <c r="M33" s="29" t="s">
        <v>38</v>
      </c>
      <c r="N33" s="77" t="s">
        <v>39</v>
      </c>
      <c r="O33" s="77"/>
      <c r="P33" s="77"/>
      <c r="Q33" s="10"/>
    </row>
    <row r="34" spans="1:17" ht="25.2" customHeight="1">
      <c r="A34" s="10"/>
      <c r="B34" s="10"/>
      <c r="C34" s="10"/>
      <c r="D34" s="10"/>
      <c r="E34" s="10"/>
      <c r="F34" s="81"/>
      <c r="G34" s="10"/>
      <c r="H34" s="10"/>
      <c r="I34" s="10"/>
      <c r="J34" s="81"/>
      <c r="K34" s="10"/>
      <c r="L34" s="30" t="s">
        <v>40</v>
      </c>
      <c r="M34" s="30" t="s">
        <v>41</v>
      </c>
      <c r="N34" s="78" t="s">
        <v>42</v>
      </c>
      <c r="O34" s="78"/>
      <c r="P34" s="78"/>
      <c r="Q34" s="10"/>
    </row>
    <row r="35" spans="1:17" ht="25.2" customHeight="1">
      <c r="A35" s="10"/>
      <c r="B35" s="10"/>
      <c r="C35" s="10"/>
      <c r="D35" s="10"/>
      <c r="E35" s="10"/>
      <c r="F35" s="81"/>
      <c r="G35" s="10"/>
      <c r="H35" s="10"/>
      <c r="I35" s="10"/>
      <c r="J35" s="81"/>
      <c r="K35" s="10"/>
      <c r="L35" s="10"/>
      <c r="M35" s="10"/>
      <c r="N35" s="10"/>
      <c r="O35" s="10"/>
      <c r="P35" s="10"/>
      <c r="Q35" s="10"/>
    </row>
    <row r="36" spans="1:17" ht="25.2" customHeight="1">
      <c r="A36" s="10"/>
      <c r="B36" s="10"/>
      <c r="C36" s="10"/>
      <c r="D36" s="10"/>
      <c r="E36" s="10"/>
      <c r="F36" s="81"/>
      <c r="G36" s="10"/>
      <c r="H36" s="10"/>
      <c r="I36" s="10"/>
      <c r="J36" s="81"/>
      <c r="K36" s="10"/>
      <c r="L36" s="10"/>
      <c r="M36" s="10"/>
      <c r="N36" s="10"/>
      <c r="O36" s="10"/>
      <c r="P36" s="10"/>
      <c r="Q36" s="10"/>
    </row>
    <row r="37" spans="1:17" ht="25.2" customHeight="1">
      <c r="A37" s="10"/>
      <c r="B37" s="10"/>
      <c r="C37" s="10"/>
      <c r="D37" s="10"/>
      <c r="E37" s="10"/>
      <c r="F37" s="81"/>
      <c r="G37" s="10"/>
      <c r="H37" s="10"/>
      <c r="I37" s="10"/>
      <c r="J37" s="81"/>
      <c r="K37" s="10"/>
      <c r="L37" s="10"/>
      <c r="M37" s="10"/>
      <c r="N37" s="10"/>
      <c r="O37" s="10"/>
      <c r="P37" s="10"/>
      <c r="Q37" s="10"/>
    </row>
    <row r="38" spans="1:17" ht="16.8" customHeight="1">
      <c r="A38" s="10"/>
      <c r="B38" s="79" t="s">
        <v>43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10"/>
    </row>
    <row r="39" spans="1:17" ht="16.8" customHeight="1">
      <c r="A39" s="1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10"/>
    </row>
    <row r="40" spans="1:17" ht="16.8" customHeight="1">
      <c r="A40" s="1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10"/>
    </row>
    <row r="41" spans="1:17" ht="16.8" customHeight="1">
      <c r="A41" s="10"/>
      <c r="B41" s="10"/>
      <c r="C41" s="10"/>
      <c r="D41" s="10"/>
      <c r="E41" s="10"/>
      <c r="F41" s="81"/>
      <c r="G41" s="10"/>
      <c r="H41" s="10"/>
      <c r="I41" s="10"/>
      <c r="J41" s="81"/>
      <c r="K41" s="10"/>
      <c r="L41" s="10"/>
      <c r="M41" s="10"/>
      <c r="N41" s="10"/>
      <c r="O41" s="10"/>
      <c r="P41" s="10"/>
      <c r="Q41" s="10"/>
    </row>
  </sheetData>
  <mergeCells count="23">
    <mergeCell ref="N33:P33"/>
    <mergeCell ref="N34:P34"/>
    <mergeCell ref="B38:P40"/>
    <mergeCell ref="B6:D7"/>
    <mergeCell ref="B23:D23"/>
    <mergeCell ref="L27:P28"/>
    <mergeCell ref="N30:P30"/>
    <mergeCell ref="N31:P31"/>
    <mergeCell ref="N32:P32"/>
    <mergeCell ref="J7:O7"/>
    <mergeCell ref="J8:O8"/>
    <mergeCell ref="B9:D12"/>
    <mergeCell ref="B14:D17"/>
    <mergeCell ref="B19:D22"/>
    <mergeCell ref="B8:D8"/>
    <mergeCell ref="B13:D13"/>
    <mergeCell ref="B18:D18"/>
    <mergeCell ref="E6:G6"/>
    <mergeCell ref="H6:J6"/>
    <mergeCell ref="K6:M6"/>
    <mergeCell ref="N6:O6"/>
    <mergeCell ref="B2:O3"/>
    <mergeCell ref="B4:O4"/>
  </mergeCells>
  <pageMargins left="0.7" right="0.7" top="0.25" bottom="0.75" header="0.3" footer="0.3"/>
  <pageSetup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workbookViewId="0"/>
  </sheetViews>
  <sheetFormatPr defaultRowHeight="13.8"/>
  <cols>
    <col min="1" max="1" width="12" customWidth="1"/>
    <col min="2" max="2" width="14" customWidth="1"/>
    <col min="3" max="6" width="18" customWidth="1"/>
    <col min="7" max="7" width="14" customWidth="1"/>
    <col min="8" max="8" width="12" customWidth="1"/>
    <col min="9" max="9" width="14" customWidth="1"/>
    <col min="10" max="10" width="15" customWidth="1"/>
    <col min="11" max="11" width="17" customWidth="1"/>
    <col min="12" max="14" width="14" customWidth="1"/>
    <col min="15" max="15" width="15" customWidth="1"/>
    <col min="16" max="16" width="28" customWidth="1"/>
  </cols>
  <sheetData>
    <row r="1" spans="1:16" ht="27.6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</row>
    <row r="2" spans="1:1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8</v>
      </c>
      <c r="H2">
        <v>2026</v>
      </c>
      <c r="I2" s="3">
        <v>40790</v>
      </c>
      <c r="J2" s="4">
        <v>2598</v>
      </c>
      <c r="K2" s="5">
        <v>9712</v>
      </c>
      <c r="L2" s="6">
        <v>46222</v>
      </c>
      <c r="M2" s="6">
        <v>46282</v>
      </c>
      <c r="N2">
        <f t="shared" ref="N2:N33" ca="1" si="0">M2-TODAY()</f>
        <v>51</v>
      </c>
      <c r="O2">
        <v>0</v>
      </c>
      <c r="P2" t="s">
        <v>66</v>
      </c>
    </row>
    <row r="3" spans="1:16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8</v>
      </c>
      <c r="H3">
        <v>2026</v>
      </c>
      <c r="I3" s="3">
        <v>127974</v>
      </c>
      <c r="J3" s="4">
        <v>1082</v>
      </c>
      <c r="K3" s="5">
        <v>10159</v>
      </c>
      <c r="L3" s="6">
        <v>46198</v>
      </c>
      <c r="M3" s="6">
        <v>46243</v>
      </c>
      <c r="N3">
        <f t="shared" ca="1" si="0"/>
        <v>12</v>
      </c>
      <c r="O3">
        <v>4</v>
      </c>
      <c r="P3" t="s">
        <v>66</v>
      </c>
    </row>
    <row r="4" spans="1:16">
      <c r="A4" t="s">
        <v>73</v>
      </c>
      <c r="B4" t="s">
        <v>74</v>
      </c>
      <c r="C4" t="s">
        <v>75</v>
      </c>
      <c r="D4" t="s">
        <v>76</v>
      </c>
      <c r="E4" t="s">
        <v>37</v>
      </c>
      <c r="F4" t="s">
        <v>77</v>
      </c>
      <c r="G4" t="s">
        <v>8</v>
      </c>
      <c r="H4">
        <v>2021</v>
      </c>
      <c r="I4" s="3">
        <v>218145</v>
      </c>
      <c r="J4" s="4">
        <v>1558</v>
      </c>
      <c r="K4" s="5">
        <v>4474</v>
      </c>
      <c r="L4" s="6">
        <v>46114</v>
      </c>
      <c r="M4" s="6">
        <v>46144</v>
      </c>
      <c r="N4">
        <f t="shared" ca="1" si="0"/>
        <v>-87</v>
      </c>
      <c r="O4">
        <v>0</v>
      </c>
      <c r="P4" t="s">
        <v>66</v>
      </c>
    </row>
    <row r="5" spans="1:16">
      <c r="A5" t="s">
        <v>78</v>
      </c>
      <c r="B5" t="s">
        <v>79</v>
      </c>
      <c r="C5" t="s">
        <v>80</v>
      </c>
      <c r="D5" t="s">
        <v>81</v>
      </c>
      <c r="E5" t="s">
        <v>71</v>
      </c>
      <c r="F5" t="s">
        <v>82</v>
      </c>
      <c r="G5" t="s">
        <v>8</v>
      </c>
      <c r="H5">
        <v>2024</v>
      </c>
      <c r="I5" s="3">
        <v>38656</v>
      </c>
      <c r="J5" s="4">
        <v>2441</v>
      </c>
      <c r="K5" s="5">
        <v>7603</v>
      </c>
      <c r="L5" s="6">
        <v>46180</v>
      </c>
      <c r="M5" s="6">
        <v>46240</v>
      </c>
      <c r="N5">
        <f t="shared" ca="1" si="0"/>
        <v>9</v>
      </c>
      <c r="O5">
        <v>4</v>
      </c>
      <c r="P5" t="s">
        <v>66</v>
      </c>
    </row>
    <row r="6" spans="1:16">
      <c r="A6" t="s">
        <v>83</v>
      </c>
      <c r="B6" t="s">
        <v>84</v>
      </c>
      <c r="C6" t="s">
        <v>80</v>
      </c>
      <c r="D6" t="s">
        <v>85</v>
      </c>
      <c r="E6" t="s">
        <v>86</v>
      </c>
      <c r="F6" t="s">
        <v>87</v>
      </c>
      <c r="G6" t="s">
        <v>14</v>
      </c>
      <c r="H6">
        <v>2019</v>
      </c>
      <c r="I6" s="3">
        <v>242216</v>
      </c>
      <c r="J6" s="4">
        <v>1133</v>
      </c>
      <c r="K6" s="5">
        <v>16996</v>
      </c>
      <c r="L6" s="6">
        <v>46179</v>
      </c>
      <c r="M6" s="6">
        <v>46224</v>
      </c>
      <c r="N6">
        <f t="shared" ca="1" si="0"/>
        <v>-7</v>
      </c>
      <c r="O6">
        <v>0</v>
      </c>
      <c r="P6" t="s">
        <v>88</v>
      </c>
    </row>
    <row r="7" spans="1:16">
      <c r="A7" t="s">
        <v>89</v>
      </c>
      <c r="B7" t="s">
        <v>90</v>
      </c>
      <c r="C7" t="s">
        <v>91</v>
      </c>
      <c r="D7" t="s">
        <v>76</v>
      </c>
      <c r="E7" t="s">
        <v>92</v>
      </c>
      <c r="F7" t="s">
        <v>93</v>
      </c>
      <c r="G7" t="s">
        <v>8</v>
      </c>
      <c r="H7">
        <v>2019</v>
      </c>
      <c r="I7" s="3">
        <v>177680</v>
      </c>
      <c r="J7" s="4">
        <v>2780</v>
      </c>
      <c r="K7" s="5">
        <v>5603</v>
      </c>
      <c r="L7" s="6">
        <v>46167</v>
      </c>
      <c r="M7" s="6">
        <v>46227</v>
      </c>
      <c r="N7">
        <f t="shared" ca="1" si="0"/>
        <v>-4</v>
      </c>
      <c r="O7">
        <v>4</v>
      </c>
      <c r="P7" t="s">
        <v>66</v>
      </c>
    </row>
    <row r="8" spans="1:16">
      <c r="A8" t="s">
        <v>94</v>
      </c>
      <c r="B8" t="s">
        <v>95</v>
      </c>
      <c r="C8" t="s">
        <v>96</v>
      </c>
      <c r="D8" t="s">
        <v>97</v>
      </c>
      <c r="E8" t="s">
        <v>92</v>
      </c>
      <c r="F8" t="s">
        <v>98</v>
      </c>
      <c r="G8" t="s">
        <v>11</v>
      </c>
      <c r="H8">
        <v>2018</v>
      </c>
      <c r="I8" s="3">
        <v>78043</v>
      </c>
      <c r="J8" s="4">
        <v>311</v>
      </c>
      <c r="K8" s="5">
        <v>15989</v>
      </c>
      <c r="L8" s="6">
        <v>46205</v>
      </c>
      <c r="M8" s="6">
        <v>46295</v>
      </c>
      <c r="N8">
        <f t="shared" ca="1" si="0"/>
        <v>64</v>
      </c>
      <c r="O8">
        <v>2</v>
      </c>
      <c r="P8" t="s">
        <v>66</v>
      </c>
    </row>
    <row r="9" spans="1:16">
      <c r="A9" t="s">
        <v>99</v>
      </c>
      <c r="B9" t="s">
        <v>100</v>
      </c>
      <c r="C9" t="s">
        <v>62</v>
      </c>
      <c r="D9" t="s">
        <v>81</v>
      </c>
      <c r="E9" t="s">
        <v>101</v>
      </c>
      <c r="F9" t="s">
        <v>102</v>
      </c>
      <c r="G9" t="s">
        <v>8</v>
      </c>
      <c r="H9">
        <v>2020</v>
      </c>
      <c r="I9" s="3">
        <v>87436</v>
      </c>
      <c r="J9" s="4">
        <v>751</v>
      </c>
      <c r="K9" s="5">
        <v>6840</v>
      </c>
      <c r="L9" s="6">
        <v>46217</v>
      </c>
      <c r="M9" s="6">
        <v>46262</v>
      </c>
      <c r="N9">
        <f t="shared" ca="1" si="0"/>
        <v>31</v>
      </c>
      <c r="O9">
        <v>4</v>
      </c>
      <c r="P9" t="s">
        <v>66</v>
      </c>
    </row>
    <row r="10" spans="1:16">
      <c r="A10" t="s">
        <v>103</v>
      </c>
      <c r="B10" t="s">
        <v>104</v>
      </c>
      <c r="C10" t="s">
        <v>91</v>
      </c>
      <c r="D10" t="s">
        <v>85</v>
      </c>
      <c r="E10" t="s">
        <v>92</v>
      </c>
      <c r="F10" t="s">
        <v>105</v>
      </c>
      <c r="G10" t="s">
        <v>8</v>
      </c>
      <c r="H10">
        <v>2025</v>
      </c>
      <c r="I10" s="3">
        <v>41831</v>
      </c>
      <c r="J10" s="4">
        <v>372</v>
      </c>
      <c r="K10" s="5">
        <v>16908</v>
      </c>
      <c r="L10" s="6">
        <v>46130</v>
      </c>
      <c r="M10" s="6">
        <v>46220</v>
      </c>
      <c r="N10">
        <f t="shared" ca="1" si="0"/>
        <v>-11</v>
      </c>
      <c r="O10">
        <v>0</v>
      </c>
      <c r="P10" t="s">
        <v>66</v>
      </c>
    </row>
    <row r="11" spans="1:16">
      <c r="A11" t="s">
        <v>106</v>
      </c>
      <c r="B11" t="s">
        <v>107</v>
      </c>
      <c r="C11" t="s">
        <v>75</v>
      </c>
      <c r="D11" t="s">
        <v>108</v>
      </c>
      <c r="E11" t="s">
        <v>71</v>
      </c>
      <c r="F11" t="s">
        <v>102</v>
      </c>
      <c r="G11" t="s">
        <v>8</v>
      </c>
      <c r="H11">
        <v>2026</v>
      </c>
      <c r="I11" s="3">
        <v>83906</v>
      </c>
      <c r="J11" s="4">
        <v>2446</v>
      </c>
      <c r="K11" s="5">
        <v>16903</v>
      </c>
      <c r="L11" s="6">
        <v>46205</v>
      </c>
      <c r="M11" s="6">
        <v>46295</v>
      </c>
      <c r="N11">
        <f t="shared" ca="1" si="0"/>
        <v>64</v>
      </c>
      <c r="O11">
        <v>0</v>
      </c>
      <c r="P11" t="s">
        <v>66</v>
      </c>
    </row>
    <row r="12" spans="1:16">
      <c r="A12" t="s">
        <v>109</v>
      </c>
      <c r="B12" t="s">
        <v>110</v>
      </c>
      <c r="C12" t="s">
        <v>111</v>
      </c>
      <c r="D12" t="s">
        <v>112</v>
      </c>
      <c r="E12" t="s">
        <v>101</v>
      </c>
      <c r="F12" t="s">
        <v>113</v>
      </c>
      <c r="G12" t="s">
        <v>8</v>
      </c>
      <c r="H12">
        <v>2025</v>
      </c>
      <c r="I12" s="3">
        <v>18850</v>
      </c>
      <c r="J12" s="4">
        <v>1258</v>
      </c>
      <c r="K12" s="5">
        <v>11001</v>
      </c>
      <c r="L12" s="6">
        <v>46211</v>
      </c>
      <c r="M12" s="6">
        <v>46271</v>
      </c>
      <c r="N12">
        <f t="shared" ca="1" si="0"/>
        <v>40</v>
      </c>
      <c r="O12">
        <v>1</v>
      </c>
      <c r="P12" t="s">
        <v>66</v>
      </c>
    </row>
    <row r="13" spans="1:16">
      <c r="A13" t="s">
        <v>114</v>
      </c>
      <c r="B13" t="s">
        <v>115</v>
      </c>
      <c r="C13" t="s">
        <v>69</v>
      </c>
      <c r="D13" t="s">
        <v>85</v>
      </c>
      <c r="E13" t="s">
        <v>92</v>
      </c>
      <c r="F13" t="s">
        <v>116</v>
      </c>
      <c r="G13" t="s">
        <v>8</v>
      </c>
      <c r="H13">
        <v>2020</v>
      </c>
      <c r="I13" s="3">
        <v>159394</v>
      </c>
      <c r="J13" s="4">
        <v>2352</v>
      </c>
      <c r="K13" s="5">
        <v>17848</v>
      </c>
      <c r="L13" s="6">
        <v>46212</v>
      </c>
      <c r="M13" s="6">
        <v>46272</v>
      </c>
      <c r="N13">
        <f t="shared" ca="1" si="0"/>
        <v>41</v>
      </c>
      <c r="O13">
        <v>0</v>
      </c>
      <c r="P13" t="s">
        <v>66</v>
      </c>
    </row>
    <row r="14" spans="1:16">
      <c r="A14" t="s">
        <v>117</v>
      </c>
      <c r="B14" t="s">
        <v>118</v>
      </c>
      <c r="C14" t="s">
        <v>91</v>
      </c>
      <c r="D14" t="s">
        <v>112</v>
      </c>
      <c r="E14" t="s">
        <v>92</v>
      </c>
      <c r="F14" t="s">
        <v>119</v>
      </c>
      <c r="G14" t="s">
        <v>8</v>
      </c>
      <c r="H14">
        <v>2021</v>
      </c>
      <c r="I14" s="3">
        <v>248164</v>
      </c>
      <c r="J14" s="4">
        <v>2503</v>
      </c>
      <c r="K14" s="5">
        <v>18314</v>
      </c>
      <c r="L14" s="6">
        <v>46163</v>
      </c>
      <c r="M14" s="6">
        <v>46193</v>
      </c>
      <c r="N14">
        <f t="shared" ca="1" si="0"/>
        <v>-38</v>
      </c>
      <c r="O14">
        <v>0</v>
      </c>
      <c r="P14" t="s">
        <v>66</v>
      </c>
    </row>
    <row r="15" spans="1:16">
      <c r="A15" t="s">
        <v>120</v>
      </c>
      <c r="B15" t="s">
        <v>121</v>
      </c>
      <c r="C15" t="s">
        <v>122</v>
      </c>
      <c r="D15" t="s">
        <v>63</v>
      </c>
      <c r="E15" t="s">
        <v>64</v>
      </c>
      <c r="F15" t="s">
        <v>123</v>
      </c>
      <c r="G15" t="s">
        <v>8</v>
      </c>
      <c r="H15">
        <v>2026</v>
      </c>
      <c r="I15" s="3">
        <v>61287</v>
      </c>
      <c r="J15" s="4">
        <v>1265</v>
      </c>
      <c r="K15" s="5">
        <v>11445</v>
      </c>
      <c r="L15" s="6">
        <v>46163</v>
      </c>
      <c r="M15" s="6">
        <v>46193</v>
      </c>
      <c r="N15">
        <f t="shared" ca="1" si="0"/>
        <v>-38</v>
      </c>
      <c r="O15">
        <v>4</v>
      </c>
      <c r="P15" t="s">
        <v>66</v>
      </c>
    </row>
    <row r="16" spans="1:16">
      <c r="A16" t="s">
        <v>124</v>
      </c>
      <c r="B16" t="s">
        <v>125</v>
      </c>
      <c r="C16" t="s">
        <v>75</v>
      </c>
      <c r="D16" t="s">
        <v>76</v>
      </c>
      <c r="E16" t="s">
        <v>101</v>
      </c>
      <c r="F16" t="s">
        <v>126</v>
      </c>
      <c r="G16" t="s">
        <v>8</v>
      </c>
      <c r="H16">
        <v>2025</v>
      </c>
      <c r="I16" s="3">
        <v>49720</v>
      </c>
      <c r="J16" s="4">
        <v>1195</v>
      </c>
      <c r="K16" s="5">
        <v>6481</v>
      </c>
      <c r="L16" s="6">
        <v>46198</v>
      </c>
      <c r="M16" s="6">
        <v>46243</v>
      </c>
      <c r="N16">
        <f t="shared" ca="1" si="0"/>
        <v>12</v>
      </c>
      <c r="O16">
        <v>0</v>
      </c>
      <c r="P16" t="s">
        <v>66</v>
      </c>
    </row>
    <row r="17" spans="1:16">
      <c r="A17" t="s">
        <v>127</v>
      </c>
      <c r="B17" t="s">
        <v>128</v>
      </c>
      <c r="C17" t="s">
        <v>80</v>
      </c>
      <c r="D17" t="s">
        <v>129</v>
      </c>
      <c r="E17" t="s">
        <v>64</v>
      </c>
      <c r="F17" t="s">
        <v>119</v>
      </c>
      <c r="G17" t="s">
        <v>8</v>
      </c>
      <c r="H17">
        <v>2021</v>
      </c>
      <c r="I17" s="3">
        <v>35668</v>
      </c>
      <c r="J17" s="4">
        <v>308</v>
      </c>
      <c r="K17" s="5">
        <v>16884</v>
      </c>
      <c r="L17" s="6">
        <v>46150</v>
      </c>
      <c r="M17" s="6">
        <v>46195</v>
      </c>
      <c r="N17">
        <f t="shared" ca="1" si="0"/>
        <v>-36</v>
      </c>
      <c r="O17">
        <v>2</v>
      </c>
      <c r="P17" t="s">
        <v>66</v>
      </c>
    </row>
    <row r="18" spans="1:16">
      <c r="A18" t="s">
        <v>130</v>
      </c>
      <c r="B18" t="s">
        <v>131</v>
      </c>
      <c r="C18" t="s">
        <v>62</v>
      </c>
      <c r="D18" t="s">
        <v>97</v>
      </c>
      <c r="E18" t="s">
        <v>92</v>
      </c>
      <c r="F18" t="s">
        <v>132</v>
      </c>
      <c r="G18" t="s">
        <v>8</v>
      </c>
      <c r="H18">
        <v>2025</v>
      </c>
      <c r="I18" s="3">
        <v>81700</v>
      </c>
      <c r="J18" s="4">
        <v>2117</v>
      </c>
      <c r="K18" s="5">
        <v>16030</v>
      </c>
      <c r="L18" s="6">
        <v>46195</v>
      </c>
      <c r="M18" s="6">
        <v>46255</v>
      </c>
      <c r="N18">
        <f t="shared" ca="1" si="0"/>
        <v>24</v>
      </c>
      <c r="O18">
        <v>3</v>
      </c>
      <c r="P18" t="s">
        <v>66</v>
      </c>
    </row>
    <row r="19" spans="1:16">
      <c r="A19" t="s">
        <v>133</v>
      </c>
      <c r="B19" t="s">
        <v>134</v>
      </c>
      <c r="C19" t="s">
        <v>75</v>
      </c>
      <c r="D19" t="s">
        <v>108</v>
      </c>
      <c r="E19" t="s">
        <v>101</v>
      </c>
      <c r="F19" t="s">
        <v>119</v>
      </c>
      <c r="G19" t="s">
        <v>8</v>
      </c>
      <c r="H19">
        <v>2019</v>
      </c>
      <c r="I19" s="3">
        <v>33889</v>
      </c>
      <c r="J19" s="4">
        <v>1829</v>
      </c>
      <c r="K19" s="5">
        <v>14731</v>
      </c>
      <c r="L19" s="6">
        <v>46213</v>
      </c>
      <c r="M19" s="6">
        <v>46303</v>
      </c>
      <c r="N19">
        <f t="shared" ca="1" si="0"/>
        <v>72</v>
      </c>
      <c r="O19">
        <v>2</v>
      </c>
      <c r="P19" t="s">
        <v>66</v>
      </c>
    </row>
    <row r="20" spans="1:16">
      <c r="A20" t="s">
        <v>135</v>
      </c>
      <c r="B20" t="s">
        <v>136</v>
      </c>
      <c r="C20" t="s">
        <v>62</v>
      </c>
      <c r="D20" t="s">
        <v>97</v>
      </c>
      <c r="E20" t="s">
        <v>101</v>
      </c>
      <c r="F20" t="s">
        <v>137</v>
      </c>
      <c r="G20" t="s">
        <v>11</v>
      </c>
      <c r="H20">
        <v>2024</v>
      </c>
      <c r="I20" s="3">
        <v>66100</v>
      </c>
      <c r="J20" s="4">
        <v>1320</v>
      </c>
      <c r="K20" s="5">
        <v>10379</v>
      </c>
      <c r="L20" s="6">
        <v>46212</v>
      </c>
      <c r="M20" s="6">
        <v>46257</v>
      </c>
      <c r="N20">
        <f t="shared" ca="1" si="0"/>
        <v>26</v>
      </c>
      <c r="O20">
        <v>1</v>
      </c>
      <c r="P20" t="s">
        <v>66</v>
      </c>
    </row>
    <row r="21" spans="1:16">
      <c r="A21" t="s">
        <v>138</v>
      </c>
      <c r="B21" t="s">
        <v>139</v>
      </c>
      <c r="C21" t="s">
        <v>80</v>
      </c>
      <c r="D21" t="s">
        <v>97</v>
      </c>
      <c r="E21" t="s">
        <v>86</v>
      </c>
      <c r="F21" t="s">
        <v>140</v>
      </c>
      <c r="G21" t="s">
        <v>14</v>
      </c>
      <c r="H21">
        <v>2019</v>
      </c>
      <c r="I21" s="3">
        <v>215542</v>
      </c>
      <c r="J21" s="4">
        <v>1148</v>
      </c>
      <c r="K21" s="5">
        <v>5524</v>
      </c>
      <c r="L21" s="6">
        <v>46216</v>
      </c>
      <c r="M21" s="6">
        <v>46306</v>
      </c>
      <c r="N21">
        <f t="shared" ca="1" si="0"/>
        <v>75</v>
      </c>
      <c r="O21">
        <v>3</v>
      </c>
      <c r="P21" t="s">
        <v>88</v>
      </c>
    </row>
    <row r="22" spans="1:16">
      <c r="A22" t="s">
        <v>141</v>
      </c>
      <c r="B22" t="s">
        <v>142</v>
      </c>
      <c r="C22" t="s">
        <v>122</v>
      </c>
      <c r="D22" t="s">
        <v>108</v>
      </c>
      <c r="E22" t="s">
        <v>143</v>
      </c>
      <c r="F22" t="s">
        <v>144</v>
      </c>
      <c r="G22" t="s">
        <v>8</v>
      </c>
      <c r="H22">
        <v>2022</v>
      </c>
      <c r="I22" s="3">
        <v>223539</v>
      </c>
      <c r="J22" s="4">
        <v>2043</v>
      </c>
      <c r="K22" s="5">
        <v>7473</v>
      </c>
      <c r="L22" s="6">
        <v>46198</v>
      </c>
      <c r="M22" s="6">
        <v>46288</v>
      </c>
      <c r="N22">
        <f t="shared" ca="1" si="0"/>
        <v>57</v>
      </c>
      <c r="O22">
        <v>3</v>
      </c>
      <c r="P22" t="s">
        <v>66</v>
      </c>
    </row>
    <row r="23" spans="1:16">
      <c r="A23" t="s">
        <v>145</v>
      </c>
      <c r="B23" t="s">
        <v>146</v>
      </c>
      <c r="C23" t="s">
        <v>62</v>
      </c>
      <c r="D23" t="s">
        <v>112</v>
      </c>
      <c r="E23" t="s">
        <v>92</v>
      </c>
      <c r="F23" t="s">
        <v>119</v>
      </c>
      <c r="G23" t="s">
        <v>8</v>
      </c>
      <c r="H23">
        <v>2026</v>
      </c>
      <c r="I23" s="3">
        <v>33979</v>
      </c>
      <c r="J23" s="4">
        <v>1464</v>
      </c>
      <c r="K23" s="5">
        <v>3736</v>
      </c>
      <c r="L23" s="6">
        <v>46132</v>
      </c>
      <c r="M23" s="6">
        <v>46222</v>
      </c>
      <c r="N23">
        <f t="shared" ca="1" si="0"/>
        <v>-9</v>
      </c>
      <c r="O23">
        <v>0</v>
      </c>
      <c r="P23" t="s">
        <v>66</v>
      </c>
    </row>
    <row r="24" spans="1:16">
      <c r="A24" t="s">
        <v>147</v>
      </c>
      <c r="B24" t="s">
        <v>148</v>
      </c>
      <c r="C24" t="s">
        <v>149</v>
      </c>
      <c r="D24" t="s">
        <v>129</v>
      </c>
      <c r="E24" t="s">
        <v>86</v>
      </c>
      <c r="F24" t="s">
        <v>150</v>
      </c>
      <c r="G24" t="s">
        <v>8</v>
      </c>
      <c r="H24">
        <v>2019</v>
      </c>
      <c r="I24" s="3">
        <v>173984</v>
      </c>
      <c r="J24" s="4">
        <v>458</v>
      </c>
      <c r="K24" s="5">
        <v>13862</v>
      </c>
      <c r="L24" s="6">
        <v>46161</v>
      </c>
      <c r="M24" s="6">
        <v>46206</v>
      </c>
      <c r="N24">
        <f t="shared" ca="1" si="0"/>
        <v>-25</v>
      </c>
      <c r="O24">
        <v>1</v>
      </c>
      <c r="P24" t="s">
        <v>66</v>
      </c>
    </row>
    <row r="25" spans="1:16">
      <c r="A25" t="s">
        <v>151</v>
      </c>
      <c r="B25" t="s">
        <v>152</v>
      </c>
      <c r="C25" t="s">
        <v>69</v>
      </c>
      <c r="D25" t="s">
        <v>129</v>
      </c>
      <c r="E25" t="s">
        <v>101</v>
      </c>
      <c r="F25" t="s">
        <v>153</v>
      </c>
      <c r="G25" t="s">
        <v>8</v>
      </c>
      <c r="H25">
        <v>2026</v>
      </c>
      <c r="I25" s="3">
        <v>100934</v>
      </c>
      <c r="J25" s="4">
        <v>1248</v>
      </c>
      <c r="K25" s="5">
        <v>6146</v>
      </c>
      <c r="L25" s="6">
        <v>46112</v>
      </c>
      <c r="M25" s="6">
        <v>46157</v>
      </c>
      <c r="N25">
        <f t="shared" ca="1" si="0"/>
        <v>-74</v>
      </c>
      <c r="O25">
        <v>2</v>
      </c>
      <c r="P25" t="s">
        <v>66</v>
      </c>
    </row>
    <row r="26" spans="1:16">
      <c r="A26" t="s">
        <v>154</v>
      </c>
      <c r="B26" t="s">
        <v>155</v>
      </c>
      <c r="C26" t="s">
        <v>156</v>
      </c>
      <c r="D26" t="s">
        <v>76</v>
      </c>
      <c r="E26" t="s">
        <v>86</v>
      </c>
      <c r="F26" t="s">
        <v>157</v>
      </c>
      <c r="G26" t="s">
        <v>8</v>
      </c>
      <c r="H26">
        <v>2018</v>
      </c>
      <c r="I26" s="3">
        <v>138136</v>
      </c>
      <c r="J26" s="4">
        <v>2724</v>
      </c>
      <c r="K26" s="5">
        <v>12024</v>
      </c>
      <c r="L26" s="6">
        <v>46175</v>
      </c>
      <c r="M26" s="6">
        <v>46220</v>
      </c>
      <c r="N26">
        <f t="shared" ca="1" si="0"/>
        <v>-11</v>
      </c>
      <c r="O26">
        <v>0</v>
      </c>
      <c r="P26" t="s">
        <v>66</v>
      </c>
    </row>
    <row r="27" spans="1:16">
      <c r="A27" t="s">
        <v>158</v>
      </c>
      <c r="B27" t="s">
        <v>159</v>
      </c>
      <c r="C27" t="s">
        <v>91</v>
      </c>
      <c r="D27" t="s">
        <v>129</v>
      </c>
      <c r="E27" t="s">
        <v>92</v>
      </c>
      <c r="F27" t="s">
        <v>116</v>
      </c>
      <c r="G27" t="s">
        <v>8</v>
      </c>
      <c r="H27">
        <v>2022</v>
      </c>
      <c r="I27" s="3">
        <v>59352</v>
      </c>
      <c r="J27" s="4">
        <v>1974</v>
      </c>
      <c r="K27" s="5">
        <v>16460</v>
      </c>
      <c r="L27" s="6">
        <v>46198</v>
      </c>
      <c r="M27" s="6">
        <v>46258</v>
      </c>
      <c r="N27">
        <f t="shared" ca="1" si="0"/>
        <v>27</v>
      </c>
      <c r="O27">
        <v>4</v>
      </c>
      <c r="P27" t="s">
        <v>66</v>
      </c>
    </row>
    <row r="28" spans="1:16">
      <c r="A28" t="s">
        <v>160</v>
      </c>
      <c r="B28" t="s">
        <v>161</v>
      </c>
      <c r="C28" t="s">
        <v>111</v>
      </c>
      <c r="D28" t="s">
        <v>63</v>
      </c>
      <c r="E28" t="s">
        <v>37</v>
      </c>
      <c r="F28" t="s">
        <v>82</v>
      </c>
      <c r="G28" t="s">
        <v>8</v>
      </c>
      <c r="H28">
        <v>2019</v>
      </c>
      <c r="I28" s="3">
        <v>212620</v>
      </c>
      <c r="J28" s="4">
        <v>2446</v>
      </c>
      <c r="K28" s="5">
        <v>5346</v>
      </c>
      <c r="L28" s="6">
        <v>46147</v>
      </c>
      <c r="M28" s="6">
        <v>46177</v>
      </c>
      <c r="N28">
        <f t="shared" ca="1" si="0"/>
        <v>-54</v>
      </c>
      <c r="O28">
        <v>2</v>
      </c>
      <c r="P28" t="s">
        <v>66</v>
      </c>
    </row>
    <row r="29" spans="1:16">
      <c r="A29" t="s">
        <v>162</v>
      </c>
      <c r="B29" t="s">
        <v>163</v>
      </c>
      <c r="C29" t="s">
        <v>96</v>
      </c>
      <c r="D29" t="s">
        <v>97</v>
      </c>
      <c r="E29" t="s">
        <v>101</v>
      </c>
      <c r="F29" t="s">
        <v>164</v>
      </c>
      <c r="G29" t="s">
        <v>8</v>
      </c>
      <c r="H29">
        <v>2018</v>
      </c>
      <c r="I29" s="3">
        <v>42195</v>
      </c>
      <c r="J29" s="4">
        <v>2778</v>
      </c>
      <c r="K29" s="5">
        <v>9739</v>
      </c>
      <c r="L29" s="6">
        <v>46199</v>
      </c>
      <c r="M29" s="6">
        <v>46259</v>
      </c>
      <c r="N29">
        <f t="shared" ca="1" si="0"/>
        <v>28</v>
      </c>
      <c r="O29">
        <v>2</v>
      </c>
      <c r="P29" t="s">
        <v>66</v>
      </c>
    </row>
    <row r="30" spans="1:16">
      <c r="A30" t="s">
        <v>165</v>
      </c>
      <c r="B30" t="s">
        <v>166</v>
      </c>
      <c r="C30" t="s">
        <v>122</v>
      </c>
      <c r="D30" t="s">
        <v>81</v>
      </c>
      <c r="E30" t="s">
        <v>71</v>
      </c>
      <c r="F30" t="s">
        <v>167</v>
      </c>
      <c r="G30" t="s">
        <v>8</v>
      </c>
      <c r="H30">
        <v>2026</v>
      </c>
      <c r="I30" s="3">
        <v>20534</v>
      </c>
      <c r="J30" s="4">
        <v>638</v>
      </c>
      <c r="K30" s="5">
        <v>4032</v>
      </c>
      <c r="L30" s="6">
        <v>46183</v>
      </c>
      <c r="M30" s="6">
        <v>46228</v>
      </c>
      <c r="N30">
        <f t="shared" ca="1" si="0"/>
        <v>-3</v>
      </c>
      <c r="O30">
        <v>1</v>
      </c>
      <c r="P30" t="s">
        <v>66</v>
      </c>
    </row>
    <row r="31" spans="1:16">
      <c r="A31" t="s">
        <v>168</v>
      </c>
      <c r="B31" t="s">
        <v>169</v>
      </c>
      <c r="C31" t="s">
        <v>75</v>
      </c>
      <c r="D31" t="s">
        <v>63</v>
      </c>
      <c r="E31" t="s">
        <v>143</v>
      </c>
      <c r="F31" t="s">
        <v>170</v>
      </c>
      <c r="G31" t="s">
        <v>8</v>
      </c>
      <c r="H31">
        <v>2023</v>
      </c>
      <c r="I31" s="3">
        <v>253662</v>
      </c>
      <c r="J31" s="4">
        <v>343</v>
      </c>
      <c r="K31" s="5">
        <v>17527</v>
      </c>
      <c r="L31" s="6">
        <v>46119</v>
      </c>
      <c r="M31" s="6">
        <v>46179</v>
      </c>
      <c r="N31">
        <f t="shared" ca="1" si="0"/>
        <v>-52</v>
      </c>
      <c r="O31">
        <v>2</v>
      </c>
      <c r="P31" t="s">
        <v>66</v>
      </c>
    </row>
    <row r="32" spans="1:16">
      <c r="A32" t="s">
        <v>171</v>
      </c>
      <c r="B32" t="s">
        <v>172</v>
      </c>
      <c r="C32" t="s">
        <v>149</v>
      </c>
      <c r="D32" t="s">
        <v>108</v>
      </c>
      <c r="E32" t="s">
        <v>71</v>
      </c>
      <c r="F32" t="s">
        <v>77</v>
      </c>
      <c r="G32" t="s">
        <v>8</v>
      </c>
      <c r="H32">
        <v>2021</v>
      </c>
      <c r="I32" s="3">
        <v>244651</v>
      </c>
      <c r="J32" s="4">
        <v>845</v>
      </c>
      <c r="K32" s="5">
        <v>15905</v>
      </c>
      <c r="L32" s="6">
        <v>46194</v>
      </c>
      <c r="M32" s="6">
        <v>46224</v>
      </c>
      <c r="N32">
        <f t="shared" ca="1" si="0"/>
        <v>-7</v>
      </c>
      <c r="O32">
        <v>1</v>
      </c>
      <c r="P32" t="s">
        <v>66</v>
      </c>
    </row>
    <row r="33" spans="1:16">
      <c r="A33" t="s">
        <v>173</v>
      </c>
      <c r="B33" t="s">
        <v>174</v>
      </c>
      <c r="C33" t="s">
        <v>75</v>
      </c>
      <c r="D33" t="s">
        <v>85</v>
      </c>
      <c r="E33" t="s">
        <v>37</v>
      </c>
      <c r="F33" t="s">
        <v>113</v>
      </c>
      <c r="G33" t="s">
        <v>14</v>
      </c>
      <c r="H33">
        <v>2019</v>
      </c>
      <c r="I33" s="3">
        <v>118281</v>
      </c>
      <c r="J33" s="4">
        <v>338</v>
      </c>
      <c r="K33" s="5">
        <v>16867</v>
      </c>
      <c r="L33" s="6">
        <v>46222</v>
      </c>
      <c r="M33" s="6">
        <v>46267</v>
      </c>
      <c r="N33">
        <f t="shared" ca="1" si="0"/>
        <v>36</v>
      </c>
      <c r="O33">
        <v>3</v>
      </c>
      <c r="P33" t="s">
        <v>88</v>
      </c>
    </row>
    <row r="34" spans="1:16">
      <c r="A34" t="s">
        <v>175</v>
      </c>
      <c r="B34" t="s">
        <v>176</v>
      </c>
      <c r="C34" t="s">
        <v>96</v>
      </c>
      <c r="D34" t="s">
        <v>85</v>
      </c>
      <c r="E34" t="s">
        <v>92</v>
      </c>
      <c r="F34" t="s">
        <v>177</v>
      </c>
      <c r="G34" t="s">
        <v>8</v>
      </c>
      <c r="H34">
        <v>2021</v>
      </c>
      <c r="I34" s="3">
        <v>122455</v>
      </c>
      <c r="J34" s="4">
        <v>1524</v>
      </c>
      <c r="K34" s="5">
        <v>7364</v>
      </c>
      <c r="L34" s="6">
        <v>46121</v>
      </c>
      <c r="M34" s="6">
        <v>46211</v>
      </c>
      <c r="N34">
        <f t="shared" ref="N34:N65" ca="1" si="1">M34-TODAY()</f>
        <v>-20</v>
      </c>
      <c r="O34">
        <v>0</v>
      </c>
      <c r="P34" t="s">
        <v>66</v>
      </c>
    </row>
    <row r="35" spans="1:16">
      <c r="A35" t="s">
        <v>178</v>
      </c>
      <c r="B35" t="s">
        <v>179</v>
      </c>
      <c r="C35" t="s">
        <v>75</v>
      </c>
      <c r="D35" t="s">
        <v>97</v>
      </c>
      <c r="E35" t="s">
        <v>37</v>
      </c>
      <c r="F35" t="s">
        <v>177</v>
      </c>
      <c r="G35" t="s">
        <v>17</v>
      </c>
      <c r="H35">
        <v>2019</v>
      </c>
      <c r="I35" s="3">
        <v>247910</v>
      </c>
      <c r="J35" s="4">
        <v>1249</v>
      </c>
      <c r="K35" s="5">
        <v>5725</v>
      </c>
      <c r="L35" s="6">
        <v>46190</v>
      </c>
      <c r="M35" s="6">
        <v>46250</v>
      </c>
      <c r="N35">
        <f t="shared" ca="1" si="1"/>
        <v>19</v>
      </c>
      <c r="O35">
        <v>4</v>
      </c>
      <c r="P35" t="s">
        <v>66</v>
      </c>
    </row>
    <row r="36" spans="1:16">
      <c r="A36" t="s">
        <v>180</v>
      </c>
      <c r="B36" t="s">
        <v>181</v>
      </c>
      <c r="C36" t="s">
        <v>69</v>
      </c>
      <c r="D36" t="s">
        <v>108</v>
      </c>
      <c r="E36" t="s">
        <v>37</v>
      </c>
      <c r="F36" t="s">
        <v>98</v>
      </c>
      <c r="G36" t="s">
        <v>17</v>
      </c>
      <c r="H36">
        <v>2024</v>
      </c>
      <c r="I36" s="3">
        <v>176914</v>
      </c>
      <c r="J36" s="4">
        <v>2274</v>
      </c>
      <c r="K36" s="5">
        <v>4694</v>
      </c>
      <c r="L36" s="6">
        <v>46192</v>
      </c>
      <c r="M36" s="6">
        <v>46222</v>
      </c>
      <c r="N36">
        <f t="shared" ca="1" si="1"/>
        <v>-9</v>
      </c>
      <c r="O36">
        <v>3</v>
      </c>
      <c r="P36" t="s">
        <v>66</v>
      </c>
    </row>
    <row r="37" spans="1:16">
      <c r="A37" t="s">
        <v>182</v>
      </c>
      <c r="B37" t="s">
        <v>183</v>
      </c>
      <c r="C37" t="s">
        <v>75</v>
      </c>
      <c r="D37" t="s">
        <v>70</v>
      </c>
      <c r="E37" t="s">
        <v>71</v>
      </c>
      <c r="F37" t="s">
        <v>184</v>
      </c>
      <c r="G37" t="s">
        <v>14</v>
      </c>
      <c r="H37">
        <v>2021</v>
      </c>
      <c r="I37" s="3">
        <v>113478</v>
      </c>
      <c r="J37" s="4">
        <v>1946</v>
      </c>
      <c r="K37" s="5">
        <v>3946</v>
      </c>
      <c r="L37" s="6">
        <v>46201</v>
      </c>
      <c r="M37" s="6">
        <v>46261</v>
      </c>
      <c r="N37">
        <f t="shared" ca="1" si="1"/>
        <v>30</v>
      </c>
      <c r="O37">
        <v>2</v>
      </c>
      <c r="P37" t="s">
        <v>88</v>
      </c>
    </row>
    <row r="38" spans="1:16">
      <c r="A38" t="s">
        <v>185</v>
      </c>
      <c r="B38" t="s">
        <v>186</v>
      </c>
      <c r="C38" t="s">
        <v>149</v>
      </c>
      <c r="D38" t="s">
        <v>112</v>
      </c>
      <c r="E38" t="s">
        <v>64</v>
      </c>
      <c r="F38" t="s">
        <v>187</v>
      </c>
      <c r="G38" t="s">
        <v>8</v>
      </c>
      <c r="H38">
        <v>2023</v>
      </c>
      <c r="I38" s="3">
        <v>123486</v>
      </c>
      <c r="J38" s="4">
        <v>1391</v>
      </c>
      <c r="K38" s="5">
        <v>11883</v>
      </c>
      <c r="L38" s="6">
        <v>46141</v>
      </c>
      <c r="M38" s="6">
        <v>46171</v>
      </c>
      <c r="N38">
        <f t="shared" ca="1" si="1"/>
        <v>-60</v>
      </c>
      <c r="O38">
        <v>1</v>
      </c>
      <c r="P38" t="s">
        <v>66</v>
      </c>
    </row>
    <row r="39" spans="1:16">
      <c r="A39" t="s">
        <v>188</v>
      </c>
      <c r="B39" t="s">
        <v>189</v>
      </c>
      <c r="C39" t="s">
        <v>69</v>
      </c>
      <c r="D39" t="s">
        <v>190</v>
      </c>
      <c r="E39" t="s">
        <v>37</v>
      </c>
      <c r="F39" t="s">
        <v>191</v>
      </c>
      <c r="G39" t="s">
        <v>8</v>
      </c>
      <c r="H39">
        <v>2026</v>
      </c>
      <c r="I39" s="3">
        <v>236556</v>
      </c>
      <c r="J39" s="4">
        <v>181</v>
      </c>
      <c r="K39" s="5">
        <v>7778</v>
      </c>
      <c r="L39" s="6">
        <v>46140</v>
      </c>
      <c r="M39" s="6">
        <v>46230</v>
      </c>
      <c r="N39">
        <f t="shared" ca="1" si="1"/>
        <v>-1</v>
      </c>
      <c r="O39">
        <v>2</v>
      </c>
      <c r="P39" t="s">
        <v>66</v>
      </c>
    </row>
    <row r="40" spans="1:16">
      <c r="A40" t="s">
        <v>192</v>
      </c>
      <c r="B40" t="s">
        <v>193</v>
      </c>
      <c r="C40" t="s">
        <v>156</v>
      </c>
      <c r="D40" t="s">
        <v>81</v>
      </c>
      <c r="E40" t="s">
        <v>64</v>
      </c>
      <c r="F40" t="s">
        <v>194</v>
      </c>
      <c r="G40" t="s">
        <v>8</v>
      </c>
      <c r="H40">
        <v>2026</v>
      </c>
      <c r="I40" s="3">
        <v>142042</v>
      </c>
      <c r="J40" s="4">
        <v>875</v>
      </c>
      <c r="K40" s="5">
        <v>13594</v>
      </c>
      <c r="L40" s="6">
        <v>46125</v>
      </c>
      <c r="M40" s="6">
        <v>46185</v>
      </c>
      <c r="N40">
        <f t="shared" ca="1" si="1"/>
        <v>-46</v>
      </c>
      <c r="O40">
        <v>0</v>
      </c>
      <c r="P40" t="s">
        <v>66</v>
      </c>
    </row>
    <row r="41" spans="1:16">
      <c r="A41" t="s">
        <v>195</v>
      </c>
      <c r="B41" t="s">
        <v>196</v>
      </c>
      <c r="C41" t="s">
        <v>62</v>
      </c>
      <c r="D41" t="s">
        <v>112</v>
      </c>
      <c r="E41" t="s">
        <v>92</v>
      </c>
      <c r="F41" t="s">
        <v>72</v>
      </c>
      <c r="G41" t="s">
        <v>8</v>
      </c>
      <c r="H41">
        <v>2020</v>
      </c>
      <c r="I41" s="3">
        <v>24402</v>
      </c>
      <c r="J41" s="4">
        <v>369</v>
      </c>
      <c r="K41" s="5">
        <v>6811</v>
      </c>
      <c r="L41" s="6">
        <v>46141</v>
      </c>
      <c r="M41" s="6">
        <v>46201</v>
      </c>
      <c r="N41">
        <f t="shared" ca="1" si="1"/>
        <v>-30</v>
      </c>
      <c r="O41">
        <v>3</v>
      </c>
      <c r="P41" t="s">
        <v>66</v>
      </c>
    </row>
    <row r="42" spans="1:16">
      <c r="A42" t="s">
        <v>197</v>
      </c>
      <c r="B42" t="s">
        <v>198</v>
      </c>
      <c r="C42" t="s">
        <v>75</v>
      </c>
      <c r="D42" t="s">
        <v>190</v>
      </c>
      <c r="E42" t="s">
        <v>92</v>
      </c>
      <c r="F42" t="s">
        <v>144</v>
      </c>
      <c r="G42" t="s">
        <v>8</v>
      </c>
      <c r="H42">
        <v>2025</v>
      </c>
      <c r="I42" s="3">
        <v>122766</v>
      </c>
      <c r="J42" s="4">
        <v>1179</v>
      </c>
      <c r="K42" s="5">
        <v>5217</v>
      </c>
      <c r="L42" s="6">
        <v>46127</v>
      </c>
      <c r="M42" s="6">
        <v>46157</v>
      </c>
      <c r="N42">
        <f t="shared" ca="1" si="1"/>
        <v>-74</v>
      </c>
      <c r="O42">
        <v>0</v>
      </c>
      <c r="P42" t="s">
        <v>66</v>
      </c>
    </row>
    <row r="43" spans="1:16">
      <c r="A43" t="s">
        <v>199</v>
      </c>
      <c r="B43" t="s">
        <v>200</v>
      </c>
      <c r="C43" t="s">
        <v>62</v>
      </c>
      <c r="D43" t="s">
        <v>63</v>
      </c>
      <c r="E43" t="s">
        <v>86</v>
      </c>
      <c r="F43" t="s">
        <v>126</v>
      </c>
      <c r="G43" t="s">
        <v>14</v>
      </c>
      <c r="H43">
        <v>2025</v>
      </c>
      <c r="I43" s="3">
        <v>31164</v>
      </c>
      <c r="J43" s="4">
        <v>2463</v>
      </c>
      <c r="K43" s="5">
        <v>6882</v>
      </c>
      <c r="L43" s="6">
        <v>46115</v>
      </c>
      <c r="M43" s="6">
        <v>46145</v>
      </c>
      <c r="N43">
        <f t="shared" ca="1" si="1"/>
        <v>-86</v>
      </c>
      <c r="O43">
        <v>0</v>
      </c>
      <c r="P43" t="s">
        <v>88</v>
      </c>
    </row>
    <row r="44" spans="1:16">
      <c r="A44" t="s">
        <v>201</v>
      </c>
      <c r="B44" t="s">
        <v>202</v>
      </c>
      <c r="C44" t="s">
        <v>149</v>
      </c>
      <c r="D44" t="s">
        <v>190</v>
      </c>
      <c r="E44" t="s">
        <v>37</v>
      </c>
      <c r="F44" t="s">
        <v>203</v>
      </c>
      <c r="G44" t="s">
        <v>8</v>
      </c>
      <c r="H44">
        <v>2026</v>
      </c>
      <c r="I44" s="3">
        <v>129867</v>
      </c>
      <c r="J44" s="4">
        <v>2424</v>
      </c>
      <c r="K44" s="5">
        <v>10105</v>
      </c>
      <c r="L44" s="6">
        <v>46123</v>
      </c>
      <c r="M44" s="6">
        <v>46213</v>
      </c>
      <c r="N44">
        <f t="shared" ca="1" si="1"/>
        <v>-18</v>
      </c>
      <c r="O44">
        <v>1</v>
      </c>
      <c r="P44" t="s">
        <v>66</v>
      </c>
    </row>
    <row r="45" spans="1:16">
      <c r="A45" t="s">
        <v>204</v>
      </c>
      <c r="B45" t="s">
        <v>205</v>
      </c>
      <c r="C45" t="s">
        <v>62</v>
      </c>
      <c r="D45" t="s">
        <v>112</v>
      </c>
      <c r="E45" t="s">
        <v>86</v>
      </c>
      <c r="F45" t="s">
        <v>126</v>
      </c>
      <c r="G45" t="s">
        <v>11</v>
      </c>
      <c r="H45">
        <v>2025</v>
      </c>
      <c r="I45" s="3">
        <v>182298</v>
      </c>
      <c r="J45" s="4">
        <v>1159</v>
      </c>
      <c r="K45" s="5">
        <v>7299</v>
      </c>
      <c r="L45" s="6">
        <v>46165</v>
      </c>
      <c r="M45" s="6">
        <v>46255</v>
      </c>
      <c r="N45">
        <f t="shared" ca="1" si="1"/>
        <v>24</v>
      </c>
      <c r="O45">
        <v>3</v>
      </c>
      <c r="P45" t="s">
        <v>66</v>
      </c>
    </row>
    <row r="46" spans="1:16">
      <c r="A46" t="s">
        <v>206</v>
      </c>
      <c r="B46" t="s">
        <v>207</v>
      </c>
      <c r="C46" t="s">
        <v>91</v>
      </c>
      <c r="D46" t="s">
        <v>76</v>
      </c>
      <c r="E46" t="s">
        <v>71</v>
      </c>
      <c r="F46" t="s">
        <v>208</v>
      </c>
      <c r="G46" t="s">
        <v>8</v>
      </c>
      <c r="H46">
        <v>2020</v>
      </c>
      <c r="I46" s="3">
        <v>57539</v>
      </c>
      <c r="J46" s="4">
        <v>1127</v>
      </c>
      <c r="K46" s="5">
        <v>9075</v>
      </c>
      <c r="L46" s="6">
        <v>46189</v>
      </c>
      <c r="M46" s="6">
        <v>46234</v>
      </c>
      <c r="N46">
        <f t="shared" ca="1" si="1"/>
        <v>3</v>
      </c>
      <c r="O46">
        <v>1</v>
      </c>
      <c r="P46" t="s">
        <v>66</v>
      </c>
    </row>
    <row r="47" spans="1:16">
      <c r="A47" t="s">
        <v>209</v>
      </c>
      <c r="B47" t="s">
        <v>210</v>
      </c>
      <c r="C47" t="s">
        <v>91</v>
      </c>
      <c r="D47" t="s">
        <v>97</v>
      </c>
      <c r="E47" t="s">
        <v>101</v>
      </c>
      <c r="F47" t="s">
        <v>187</v>
      </c>
      <c r="G47" t="s">
        <v>8</v>
      </c>
      <c r="H47">
        <v>2018</v>
      </c>
      <c r="I47" s="3">
        <v>72220</v>
      </c>
      <c r="J47" s="4">
        <v>1900</v>
      </c>
      <c r="K47" s="5">
        <v>9181</v>
      </c>
      <c r="L47" s="6">
        <v>46217</v>
      </c>
      <c r="M47" s="6">
        <v>46307</v>
      </c>
      <c r="N47">
        <f t="shared" ca="1" si="1"/>
        <v>76</v>
      </c>
      <c r="O47">
        <v>4</v>
      </c>
      <c r="P47" t="s">
        <v>66</v>
      </c>
    </row>
    <row r="48" spans="1:16">
      <c r="A48" t="s">
        <v>211</v>
      </c>
      <c r="B48" t="s">
        <v>212</v>
      </c>
      <c r="C48" t="s">
        <v>80</v>
      </c>
      <c r="D48" t="s">
        <v>76</v>
      </c>
      <c r="E48" t="s">
        <v>37</v>
      </c>
      <c r="F48" t="s">
        <v>144</v>
      </c>
      <c r="G48" t="s">
        <v>17</v>
      </c>
      <c r="H48">
        <v>2024</v>
      </c>
      <c r="I48" s="3">
        <v>159091</v>
      </c>
      <c r="J48" s="4">
        <v>2416</v>
      </c>
      <c r="K48" s="5">
        <v>15905</v>
      </c>
      <c r="L48" s="6">
        <v>46223</v>
      </c>
      <c r="M48" s="6">
        <v>46313</v>
      </c>
      <c r="N48">
        <f t="shared" ca="1" si="1"/>
        <v>82</v>
      </c>
      <c r="O48">
        <v>4</v>
      </c>
      <c r="P48" t="s">
        <v>66</v>
      </c>
    </row>
    <row r="49" spans="1:16">
      <c r="A49" t="s">
        <v>213</v>
      </c>
      <c r="B49" t="s">
        <v>214</v>
      </c>
      <c r="C49" t="s">
        <v>75</v>
      </c>
      <c r="D49" t="s">
        <v>81</v>
      </c>
      <c r="E49" t="s">
        <v>143</v>
      </c>
      <c r="F49" t="s">
        <v>144</v>
      </c>
      <c r="G49" t="s">
        <v>14</v>
      </c>
      <c r="H49">
        <v>2023</v>
      </c>
      <c r="I49" s="3">
        <v>193341</v>
      </c>
      <c r="J49" s="4">
        <v>1836</v>
      </c>
      <c r="K49" s="5">
        <v>14664</v>
      </c>
      <c r="L49" s="6">
        <v>46163</v>
      </c>
      <c r="M49" s="6">
        <v>46208</v>
      </c>
      <c r="N49">
        <f t="shared" ca="1" si="1"/>
        <v>-23</v>
      </c>
      <c r="O49">
        <v>1</v>
      </c>
      <c r="P49" t="s">
        <v>88</v>
      </c>
    </row>
    <row r="50" spans="1:16">
      <c r="A50" t="s">
        <v>215</v>
      </c>
      <c r="B50" t="s">
        <v>216</v>
      </c>
      <c r="C50" t="s">
        <v>69</v>
      </c>
      <c r="D50" t="s">
        <v>190</v>
      </c>
      <c r="E50" t="s">
        <v>64</v>
      </c>
      <c r="F50" t="s">
        <v>177</v>
      </c>
      <c r="G50" t="s">
        <v>11</v>
      </c>
      <c r="H50">
        <v>2019</v>
      </c>
      <c r="I50" s="3">
        <v>186492</v>
      </c>
      <c r="J50" s="4">
        <v>1935</v>
      </c>
      <c r="K50" s="5">
        <v>5023</v>
      </c>
      <c r="L50" s="6">
        <v>46209</v>
      </c>
      <c r="M50" s="6">
        <v>46239</v>
      </c>
      <c r="N50">
        <f t="shared" ca="1" si="1"/>
        <v>8</v>
      </c>
      <c r="O50">
        <v>3</v>
      </c>
      <c r="P50" t="s">
        <v>66</v>
      </c>
    </row>
    <row r="51" spans="1:16">
      <c r="A51" t="s">
        <v>217</v>
      </c>
      <c r="B51" t="s">
        <v>218</v>
      </c>
      <c r="C51" t="s">
        <v>62</v>
      </c>
      <c r="D51" t="s">
        <v>81</v>
      </c>
      <c r="E51" t="s">
        <v>37</v>
      </c>
      <c r="F51" t="s">
        <v>219</v>
      </c>
      <c r="G51" t="s">
        <v>8</v>
      </c>
      <c r="H51">
        <v>2024</v>
      </c>
      <c r="I51" s="3">
        <v>90943</v>
      </c>
      <c r="J51" s="4">
        <v>1906</v>
      </c>
      <c r="K51" s="5">
        <v>6933</v>
      </c>
      <c r="L51" s="6">
        <v>46192</v>
      </c>
      <c r="M51" s="6">
        <v>46282</v>
      </c>
      <c r="N51">
        <f t="shared" ca="1" si="1"/>
        <v>51</v>
      </c>
      <c r="O51">
        <v>0</v>
      </c>
      <c r="P51" t="s">
        <v>66</v>
      </c>
    </row>
    <row r="52" spans="1:16">
      <c r="A52" t="s">
        <v>220</v>
      </c>
      <c r="B52" t="s">
        <v>221</v>
      </c>
      <c r="C52" t="s">
        <v>62</v>
      </c>
      <c r="D52" t="s">
        <v>129</v>
      </c>
      <c r="E52" t="s">
        <v>86</v>
      </c>
      <c r="F52" t="s">
        <v>222</v>
      </c>
      <c r="G52" t="s">
        <v>8</v>
      </c>
      <c r="H52">
        <v>2018</v>
      </c>
      <c r="I52" s="3">
        <v>82823</v>
      </c>
      <c r="J52" s="4">
        <v>996</v>
      </c>
      <c r="K52" s="5">
        <v>16549</v>
      </c>
      <c r="L52" s="6">
        <v>46130</v>
      </c>
      <c r="M52" s="6">
        <v>46160</v>
      </c>
      <c r="N52">
        <f t="shared" ca="1" si="1"/>
        <v>-71</v>
      </c>
      <c r="O52">
        <v>0</v>
      </c>
      <c r="P52" t="s">
        <v>66</v>
      </c>
    </row>
    <row r="53" spans="1:16">
      <c r="A53" t="s">
        <v>223</v>
      </c>
      <c r="B53" t="s">
        <v>224</v>
      </c>
      <c r="C53" t="s">
        <v>111</v>
      </c>
      <c r="D53" t="s">
        <v>190</v>
      </c>
      <c r="E53" t="s">
        <v>92</v>
      </c>
      <c r="F53" t="s">
        <v>102</v>
      </c>
      <c r="G53" t="s">
        <v>8</v>
      </c>
      <c r="H53">
        <v>2022</v>
      </c>
      <c r="I53" s="3">
        <v>219037</v>
      </c>
      <c r="J53" s="4">
        <v>1690</v>
      </c>
      <c r="K53" s="5">
        <v>5549</v>
      </c>
      <c r="L53" s="6">
        <v>46195</v>
      </c>
      <c r="M53" s="6">
        <v>46240</v>
      </c>
      <c r="N53">
        <f t="shared" ca="1" si="1"/>
        <v>9</v>
      </c>
      <c r="O53">
        <v>4</v>
      </c>
      <c r="P53" t="s">
        <v>66</v>
      </c>
    </row>
    <row r="54" spans="1:16">
      <c r="A54" t="s">
        <v>225</v>
      </c>
      <c r="B54" t="s">
        <v>226</v>
      </c>
      <c r="C54" t="s">
        <v>96</v>
      </c>
      <c r="D54" t="s">
        <v>129</v>
      </c>
      <c r="E54" t="s">
        <v>71</v>
      </c>
      <c r="F54" t="s">
        <v>177</v>
      </c>
      <c r="G54" t="s">
        <v>8</v>
      </c>
      <c r="H54">
        <v>2022</v>
      </c>
      <c r="I54" s="3">
        <v>168941</v>
      </c>
      <c r="J54" s="4">
        <v>1717</v>
      </c>
      <c r="K54" s="5">
        <v>9298</v>
      </c>
      <c r="L54" s="6">
        <v>46130</v>
      </c>
      <c r="M54" s="6">
        <v>46160</v>
      </c>
      <c r="N54">
        <f t="shared" ca="1" si="1"/>
        <v>-71</v>
      </c>
      <c r="O54">
        <v>1</v>
      </c>
      <c r="P54" t="s">
        <v>66</v>
      </c>
    </row>
    <row r="55" spans="1:16">
      <c r="A55" t="s">
        <v>227</v>
      </c>
      <c r="B55" t="s">
        <v>228</v>
      </c>
      <c r="C55" t="s">
        <v>96</v>
      </c>
      <c r="D55" t="s">
        <v>190</v>
      </c>
      <c r="E55" t="s">
        <v>86</v>
      </c>
      <c r="F55" t="s">
        <v>82</v>
      </c>
      <c r="G55" t="s">
        <v>8</v>
      </c>
      <c r="H55">
        <v>2018</v>
      </c>
      <c r="I55" s="3">
        <v>109017</v>
      </c>
      <c r="J55" s="4">
        <v>2362</v>
      </c>
      <c r="K55" s="5">
        <v>9818</v>
      </c>
      <c r="L55" s="6">
        <v>46137</v>
      </c>
      <c r="M55" s="6">
        <v>46182</v>
      </c>
      <c r="N55">
        <f t="shared" ca="1" si="1"/>
        <v>-49</v>
      </c>
      <c r="O55">
        <v>2</v>
      </c>
      <c r="P55" t="s">
        <v>66</v>
      </c>
    </row>
    <row r="56" spans="1:16">
      <c r="A56" t="s">
        <v>229</v>
      </c>
      <c r="B56" t="s">
        <v>230</v>
      </c>
      <c r="C56" t="s">
        <v>75</v>
      </c>
      <c r="D56" t="s">
        <v>81</v>
      </c>
      <c r="E56" t="s">
        <v>143</v>
      </c>
      <c r="F56" t="s">
        <v>167</v>
      </c>
      <c r="G56" t="s">
        <v>8</v>
      </c>
      <c r="H56">
        <v>2023</v>
      </c>
      <c r="I56" s="3">
        <v>184614</v>
      </c>
      <c r="J56" s="4">
        <v>2063</v>
      </c>
      <c r="K56" s="5">
        <v>14388</v>
      </c>
      <c r="L56" s="6">
        <v>46143</v>
      </c>
      <c r="M56" s="6">
        <v>46203</v>
      </c>
      <c r="N56">
        <f t="shared" ca="1" si="1"/>
        <v>-28</v>
      </c>
      <c r="O56">
        <v>1</v>
      </c>
      <c r="P56" t="s">
        <v>66</v>
      </c>
    </row>
    <row r="57" spans="1:16">
      <c r="A57" t="s">
        <v>231</v>
      </c>
      <c r="B57" t="s">
        <v>232</v>
      </c>
      <c r="C57" t="s">
        <v>156</v>
      </c>
      <c r="D57" t="s">
        <v>81</v>
      </c>
      <c r="E57" t="s">
        <v>101</v>
      </c>
      <c r="F57" t="s">
        <v>153</v>
      </c>
      <c r="G57" t="s">
        <v>8</v>
      </c>
      <c r="H57">
        <v>2022</v>
      </c>
      <c r="I57" s="3">
        <v>102490</v>
      </c>
      <c r="J57" s="4">
        <v>1185</v>
      </c>
      <c r="K57" s="5">
        <v>16410</v>
      </c>
      <c r="L57" s="6">
        <v>46132</v>
      </c>
      <c r="M57" s="6">
        <v>46192</v>
      </c>
      <c r="N57">
        <f t="shared" ca="1" si="1"/>
        <v>-39</v>
      </c>
      <c r="O57">
        <v>0</v>
      </c>
      <c r="P57" t="s">
        <v>66</v>
      </c>
    </row>
    <row r="58" spans="1:16">
      <c r="A58" t="s">
        <v>233</v>
      </c>
      <c r="B58" t="s">
        <v>234</v>
      </c>
      <c r="C58" t="s">
        <v>69</v>
      </c>
      <c r="D58" t="s">
        <v>190</v>
      </c>
      <c r="E58" t="s">
        <v>64</v>
      </c>
      <c r="F58" t="s">
        <v>144</v>
      </c>
      <c r="G58" t="s">
        <v>8</v>
      </c>
      <c r="H58">
        <v>2023</v>
      </c>
      <c r="I58" s="3">
        <v>25523</v>
      </c>
      <c r="J58" s="4">
        <v>2204</v>
      </c>
      <c r="K58" s="5">
        <v>16742</v>
      </c>
      <c r="L58" s="6">
        <v>46168</v>
      </c>
      <c r="M58" s="6">
        <v>46213</v>
      </c>
      <c r="N58">
        <f t="shared" ca="1" si="1"/>
        <v>-18</v>
      </c>
      <c r="O58">
        <v>2</v>
      </c>
      <c r="P58" t="s">
        <v>66</v>
      </c>
    </row>
    <row r="59" spans="1:16">
      <c r="A59" t="s">
        <v>235</v>
      </c>
      <c r="B59" t="s">
        <v>236</v>
      </c>
      <c r="C59" t="s">
        <v>91</v>
      </c>
      <c r="D59" t="s">
        <v>112</v>
      </c>
      <c r="E59" t="s">
        <v>71</v>
      </c>
      <c r="F59" t="s">
        <v>93</v>
      </c>
      <c r="G59" t="s">
        <v>8</v>
      </c>
      <c r="H59">
        <v>2026</v>
      </c>
      <c r="I59" s="3">
        <v>20661</v>
      </c>
      <c r="J59" s="4">
        <v>2296</v>
      </c>
      <c r="K59" s="5">
        <v>18333</v>
      </c>
      <c r="L59" s="6">
        <v>46198</v>
      </c>
      <c r="M59" s="6">
        <v>46258</v>
      </c>
      <c r="N59">
        <f t="shared" ca="1" si="1"/>
        <v>27</v>
      </c>
      <c r="O59">
        <v>1</v>
      </c>
      <c r="P59" t="s">
        <v>66</v>
      </c>
    </row>
    <row r="60" spans="1:16">
      <c r="A60" t="s">
        <v>237</v>
      </c>
      <c r="B60" t="s">
        <v>238</v>
      </c>
      <c r="C60" t="s">
        <v>149</v>
      </c>
      <c r="D60" t="s">
        <v>85</v>
      </c>
      <c r="E60" t="s">
        <v>64</v>
      </c>
      <c r="F60" t="s">
        <v>123</v>
      </c>
      <c r="G60" t="s">
        <v>8</v>
      </c>
      <c r="H60">
        <v>2025</v>
      </c>
      <c r="I60" s="3">
        <v>135486</v>
      </c>
      <c r="J60" s="4">
        <v>250</v>
      </c>
      <c r="K60" s="5">
        <v>4324</v>
      </c>
      <c r="L60" s="6">
        <v>46133</v>
      </c>
      <c r="M60" s="6">
        <v>46223</v>
      </c>
      <c r="N60">
        <f t="shared" ca="1" si="1"/>
        <v>-8</v>
      </c>
      <c r="O60">
        <v>2</v>
      </c>
      <c r="P60" t="s">
        <v>66</v>
      </c>
    </row>
    <row r="61" spans="1:16">
      <c r="A61" t="s">
        <v>239</v>
      </c>
      <c r="B61" t="s">
        <v>240</v>
      </c>
      <c r="C61" t="s">
        <v>69</v>
      </c>
      <c r="D61" t="s">
        <v>76</v>
      </c>
      <c r="E61" t="s">
        <v>101</v>
      </c>
      <c r="F61" t="s">
        <v>241</v>
      </c>
      <c r="G61" t="s">
        <v>8</v>
      </c>
      <c r="H61">
        <v>2026</v>
      </c>
      <c r="I61" s="3">
        <v>108113</v>
      </c>
      <c r="J61" s="4">
        <v>1922</v>
      </c>
      <c r="K61" s="5">
        <v>15021</v>
      </c>
      <c r="L61" s="6">
        <v>46137</v>
      </c>
      <c r="M61" s="6">
        <v>46182</v>
      </c>
      <c r="N61">
        <f t="shared" ca="1" si="1"/>
        <v>-49</v>
      </c>
      <c r="O61">
        <v>4</v>
      </c>
      <c r="P61" t="s">
        <v>66</v>
      </c>
    </row>
    <row r="62" spans="1:16">
      <c r="A62" t="s">
        <v>242</v>
      </c>
      <c r="B62" t="s">
        <v>243</v>
      </c>
      <c r="C62" t="s">
        <v>96</v>
      </c>
      <c r="D62" t="s">
        <v>112</v>
      </c>
      <c r="E62" t="s">
        <v>92</v>
      </c>
      <c r="F62" t="s">
        <v>82</v>
      </c>
      <c r="G62" t="s">
        <v>8</v>
      </c>
      <c r="H62">
        <v>2021</v>
      </c>
      <c r="I62" s="3">
        <v>100719</v>
      </c>
      <c r="J62" s="4">
        <v>669</v>
      </c>
      <c r="K62" s="5">
        <v>14971</v>
      </c>
      <c r="L62" s="6">
        <v>46136</v>
      </c>
      <c r="M62" s="6">
        <v>46226</v>
      </c>
      <c r="N62">
        <f t="shared" ca="1" si="1"/>
        <v>-5</v>
      </c>
      <c r="O62">
        <v>4</v>
      </c>
      <c r="P62" t="s">
        <v>66</v>
      </c>
    </row>
    <row r="63" spans="1:16">
      <c r="A63" t="s">
        <v>244</v>
      </c>
      <c r="B63" t="s">
        <v>245</v>
      </c>
      <c r="C63" t="s">
        <v>62</v>
      </c>
      <c r="D63" t="s">
        <v>81</v>
      </c>
      <c r="E63" t="s">
        <v>37</v>
      </c>
      <c r="F63" t="s">
        <v>153</v>
      </c>
      <c r="G63" t="s">
        <v>17</v>
      </c>
      <c r="H63">
        <v>2026</v>
      </c>
      <c r="I63" s="3">
        <v>174445</v>
      </c>
      <c r="J63" s="4">
        <v>1339</v>
      </c>
      <c r="K63" s="5">
        <v>4447</v>
      </c>
      <c r="L63" s="6">
        <v>46137</v>
      </c>
      <c r="M63" s="6">
        <v>46182</v>
      </c>
      <c r="N63">
        <f t="shared" ca="1" si="1"/>
        <v>-49</v>
      </c>
      <c r="O63">
        <v>1</v>
      </c>
      <c r="P63" t="s">
        <v>66</v>
      </c>
    </row>
    <row r="64" spans="1:16">
      <c r="A64" t="s">
        <v>246</v>
      </c>
      <c r="B64" t="s">
        <v>247</v>
      </c>
      <c r="C64" t="s">
        <v>80</v>
      </c>
      <c r="D64" t="s">
        <v>97</v>
      </c>
      <c r="E64" t="s">
        <v>92</v>
      </c>
      <c r="F64" t="s">
        <v>93</v>
      </c>
      <c r="G64" t="s">
        <v>8</v>
      </c>
      <c r="H64">
        <v>2018</v>
      </c>
      <c r="I64" s="3">
        <v>32293</v>
      </c>
      <c r="J64" s="4">
        <v>2446</v>
      </c>
      <c r="K64" s="5">
        <v>7586</v>
      </c>
      <c r="L64" s="6">
        <v>46179</v>
      </c>
      <c r="M64" s="6">
        <v>46224</v>
      </c>
      <c r="N64">
        <f t="shared" ca="1" si="1"/>
        <v>-7</v>
      </c>
      <c r="O64">
        <v>1</v>
      </c>
      <c r="P64" t="s">
        <v>66</v>
      </c>
    </row>
    <row r="65" spans="1:16">
      <c r="A65" t="s">
        <v>248</v>
      </c>
      <c r="B65" t="s">
        <v>249</v>
      </c>
      <c r="C65" t="s">
        <v>80</v>
      </c>
      <c r="D65" t="s">
        <v>190</v>
      </c>
      <c r="E65" t="s">
        <v>37</v>
      </c>
      <c r="F65" t="s">
        <v>123</v>
      </c>
      <c r="G65" t="s">
        <v>8</v>
      </c>
      <c r="H65">
        <v>2025</v>
      </c>
      <c r="I65" s="3">
        <v>133466</v>
      </c>
      <c r="J65" s="4">
        <v>1575</v>
      </c>
      <c r="K65" s="5">
        <v>5820</v>
      </c>
      <c r="L65" s="6">
        <v>46129</v>
      </c>
      <c r="M65" s="6">
        <v>46219</v>
      </c>
      <c r="N65">
        <f t="shared" ca="1" si="1"/>
        <v>-12</v>
      </c>
      <c r="O65">
        <v>0</v>
      </c>
      <c r="P65" t="s">
        <v>66</v>
      </c>
    </row>
    <row r="66" spans="1:16">
      <c r="A66" t="s">
        <v>250</v>
      </c>
      <c r="B66" t="s">
        <v>251</v>
      </c>
      <c r="C66" t="s">
        <v>111</v>
      </c>
      <c r="D66" t="s">
        <v>108</v>
      </c>
      <c r="E66" t="s">
        <v>101</v>
      </c>
      <c r="F66" t="s">
        <v>157</v>
      </c>
      <c r="G66" t="s">
        <v>8</v>
      </c>
      <c r="H66">
        <v>2018</v>
      </c>
      <c r="I66" s="3">
        <v>57774</v>
      </c>
      <c r="J66" s="4">
        <v>791</v>
      </c>
      <c r="K66" s="5">
        <v>16089</v>
      </c>
      <c r="L66" s="6">
        <v>46115</v>
      </c>
      <c r="M66" s="6">
        <v>46205</v>
      </c>
      <c r="N66">
        <f t="shared" ref="N66:N97" ca="1" si="2">M66-TODAY()</f>
        <v>-26</v>
      </c>
      <c r="O66">
        <v>4</v>
      </c>
      <c r="P66" t="s">
        <v>66</v>
      </c>
    </row>
    <row r="67" spans="1:16">
      <c r="A67" t="s">
        <v>252</v>
      </c>
      <c r="B67" t="s">
        <v>253</v>
      </c>
      <c r="C67" t="s">
        <v>149</v>
      </c>
      <c r="D67" t="s">
        <v>108</v>
      </c>
      <c r="E67" t="s">
        <v>71</v>
      </c>
      <c r="F67" t="s">
        <v>254</v>
      </c>
      <c r="G67" t="s">
        <v>17</v>
      </c>
      <c r="H67">
        <v>2021</v>
      </c>
      <c r="I67" s="3">
        <v>221343</v>
      </c>
      <c r="J67" s="4">
        <v>2320</v>
      </c>
      <c r="K67" s="5">
        <v>9032</v>
      </c>
      <c r="L67" s="6">
        <v>46215</v>
      </c>
      <c r="M67" s="6">
        <v>46260</v>
      </c>
      <c r="N67">
        <f t="shared" ca="1" si="2"/>
        <v>29</v>
      </c>
      <c r="O67">
        <v>3</v>
      </c>
      <c r="P67" t="s">
        <v>66</v>
      </c>
    </row>
    <row r="68" spans="1:16">
      <c r="A68" t="s">
        <v>255</v>
      </c>
      <c r="B68" t="s">
        <v>256</v>
      </c>
      <c r="C68" t="s">
        <v>69</v>
      </c>
      <c r="D68" t="s">
        <v>190</v>
      </c>
      <c r="E68" t="s">
        <v>143</v>
      </c>
      <c r="F68" t="s">
        <v>257</v>
      </c>
      <c r="G68" t="s">
        <v>14</v>
      </c>
      <c r="H68">
        <v>2019</v>
      </c>
      <c r="I68" s="3">
        <v>217946</v>
      </c>
      <c r="J68" s="4">
        <v>1031</v>
      </c>
      <c r="K68" s="5">
        <v>13048</v>
      </c>
      <c r="L68" s="6">
        <v>46187</v>
      </c>
      <c r="M68" s="6">
        <v>46277</v>
      </c>
      <c r="N68">
        <f t="shared" ca="1" si="2"/>
        <v>46</v>
      </c>
      <c r="O68">
        <v>1</v>
      </c>
      <c r="P68" t="s">
        <v>88</v>
      </c>
    </row>
    <row r="69" spans="1:16">
      <c r="A69" t="s">
        <v>258</v>
      </c>
      <c r="B69" t="s">
        <v>259</v>
      </c>
      <c r="C69" t="s">
        <v>122</v>
      </c>
      <c r="D69" t="s">
        <v>97</v>
      </c>
      <c r="E69" t="s">
        <v>143</v>
      </c>
      <c r="F69" t="s">
        <v>113</v>
      </c>
      <c r="G69" t="s">
        <v>8</v>
      </c>
      <c r="H69">
        <v>2018</v>
      </c>
      <c r="I69" s="3">
        <v>125090</v>
      </c>
      <c r="J69" s="4">
        <v>2025</v>
      </c>
      <c r="K69" s="5">
        <v>14094</v>
      </c>
      <c r="L69" s="6">
        <v>46215</v>
      </c>
      <c r="M69" s="6">
        <v>46260</v>
      </c>
      <c r="N69">
        <f t="shared" ca="1" si="2"/>
        <v>29</v>
      </c>
      <c r="O69">
        <v>4</v>
      </c>
      <c r="P69" t="s">
        <v>66</v>
      </c>
    </row>
    <row r="70" spans="1:16">
      <c r="A70" t="s">
        <v>260</v>
      </c>
      <c r="B70" t="s">
        <v>261</v>
      </c>
      <c r="C70" t="s">
        <v>96</v>
      </c>
      <c r="D70" t="s">
        <v>81</v>
      </c>
      <c r="E70" t="s">
        <v>143</v>
      </c>
      <c r="F70" t="s">
        <v>262</v>
      </c>
      <c r="G70" t="s">
        <v>8</v>
      </c>
      <c r="H70">
        <v>2022</v>
      </c>
      <c r="I70" s="3">
        <v>224524</v>
      </c>
      <c r="J70" s="4">
        <v>2740</v>
      </c>
      <c r="K70" s="5">
        <v>12463</v>
      </c>
      <c r="L70" s="6">
        <v>46221</v>
      </c>
      <c r="M70" s="6">
        <v>46266</v>
      </c>
      <c r="N70">
        <f t="shared" ca="1" si="2"/>
        <v>35</v>
      </c>
      <c r="O70">
        <v>1</v>
      </c>
      <c r="P70" t="s">
        <v>66</v>
      </c>
    </row>
    <row r="71" spans="1:16">
      <c r="A71" t="s">
        <v>263</v>
      </c>
      <c r="B71" t="s">
        <v>264</v>
      </c>
      <c r="C71" t="s">
        <v>96</v>
      </c>
      <c r="D71" t="s">
        <v>63</v>
      </c>
      <c r="E71" t="s">
        <v>143</v>
      </c>
      <c r="F71" t="s">
        <v>119</v>
      </c>
      <c r="G71" t="s">
        <v>8</v>
      </c>
      <c r="H71">
        <v>2020</v>
      </c>
      <c r="I71" s="3">
        <v>225782</v>
      </c>
      <c r="J71" s="4">
        <v>1439</v>
      </c>
      <c r="K71" s="5">
        <v>12549</v>
      </c>
      <c r="L71" s="6">
        <v>46156</v>
      </c>
      <c r="M71" s="6">
        <v>46201</v>
      </c>
      <c r="N71">
        <f t="shared" ca="1" si="2"/>
        <v>-30</v>
      </c>
      <c r="O71">
        <v>4</v>
      </c>
      <c r="P71" t="s">
        <v>66</v>
      </c>
    </row>
    <row r="72" spans="1:16">
      <c r="A72" t="s">
        <v>265</v>
      </c>
      <c r="B72" t="s">
        <v>266</v>
      </c>
      <c r="C72" t="s">
        <v>96</v>
      </c>
      <c r="D72" t="s">
        <v>108</v>
      </c>
      <c r="E72" t="s">
        <v>37</v>
      </c>
      <c r="F72" t="s">
        <v>105</v>
      </c>
      <c r="G72" t="s">
        <v>17</v>
      </c>
      <c r="H72">
        <v>2026</v>
      </c>
      <c r="I72" s="3">
        <v>147445</v>
      </c>
      <c r="J72" s="4">
        <v>1973</v>
      </c>
      <c r="K72" s="5">
        <v>4117</v>
      </c>
      <c r="L72" s="6">
        <v>46169</v>
      </c>
      <c r="M72" s="6">
        <v>46199</v>
      </c>
      <c r="N72">
        <f t="shared" ca="1" si="2"/>
        <v>-32</v>
      </c>
      <c r="O72">
        <v>4</v>
      </c>
      <c r="P72" t="s">
        <v>66</v>
      </c>
    </row>
    <row r="73" spans="1:16">
      <c r="A73" t="s">
        <v>267</v>
      </c>
      <c r="B73" t="s">
        <v>268</v>
      </c>
      <c r="C73" t="s">
        <v>80</v>
      </c>
      <c r="D73" t="s">
        <v>129</v>
      </c>
      <c r="E73" t="s">
        <v>92</v>
      </c>
      <c r="F73" t="s">
        <v>132</v>
      </c>
      <c r="G73" t="s">
        <v>8</v>
      </c>
      <c r="H73">
        <v>2018</v>
      </c>
      <c r="I73" s="3">
        <v>218477</v>
      </c>
      <c r="J73" s="4">
        <v>1283</v>
      </c>
      <c r="K73" s="5">
        <v>12241</v>
      </c>
      <c r="L73" s="6">
        <v>46170</v>
      </c>
      <c r="M73" s="6">
        <v>46230</v>
      </c>
      <c r="N73">
        <f t="shared" ca="1" si="2"/>
        <v>-1</v>
      </c>
      <c r="O73">
        <v>0</v>
      </c>
      <c r="P73" t="s">
        <v>66</v>
      </c>
    </row>
    <row r="74" spans="1:16">
      <c r="A74" t="s">
        <v>269</v>
      </c>
      <c r="B74" t="s">
        <v>270</v>
      </c>
      <c r="C74" t="s">
        <v>156</v>
      </c>
      <c r="D74" t="s">
        <v>112</v>
      </c>
      <c r="E74" t="s">
        <v>92</v>
      </c>
      <c r="F74" t="s">
        <v>153</v>
      </c>
      <c r="G74" t="s">
        <v>11</v>
      </c>
      <c r="H74">
        <v>2024</v>
      </c>
      <c r="I74" s="3">
        <v>184405</v>
      </c>
      <c r="J74" s="4">
        <v>2194</v>
      </c>
      <c r="K74" s="5">
        <v>4294</v>
      </c>
      <c r="L74" s="6">
        <v>46203</v>
      </c>
      <c r="M74" s="6">
        <v>46293</v>
      </c>
      <c r="N74">
        <f t="shared" ca="1" si="2"/>
        <v>62</v>
      </c>
      <c r="O74">
        <v>3</v>
      </c>
      <c r="P74" t="s">
        <v>66</v>
      </c>
    </row>
    <row r="75" spans="1:16">
      <c r="A75" t="s">
        <v>271</v>
      </c>
      <c r="B75" t="s">
        <v>272</v>
      </c>
      <c r="C75" t="s">
        <v>122</v>
      </c>
      <c r="D75" t="s">
        <v>76</v>
      </c>
      <c r="E75" t="s">
        <v>101</v>
      </c>
      <c r="F75" t="s">
        <v>273</v>
      </c>
      <c r="G75" t="s">
        <v>8</v>
      </c>
      <c r="H75">
        <v>2022</v>
      </c>
      <c r="I75" s="3">
        <v>191692</v>
      </c>
      <c r="J75" s="4">
        <v>1820</v>
      </c>
      <c r="K75" s="5">
        <v>16129</v>
      </c>
      <c r="L75" s="6">
        <v>46183</v>
      </c>
      <c r="M75" s="6">
        <v>46243</v>
      </c>
      <c r="N75">
        <f t="shared" ca="1" si="2"/>
        <v>12</v>
      </c>
      <c r="O75">
        <v>4</v>
      </c>
      <c r="P75" t="s">
        <v>66</v>
      </c>
    </row>
    <row r="76" spans="1:16">
      <c r="A76" t="s">
        <v>274</v>
      </c>
      <c r="B76" t="s">
        <v>275</v>
      </c>
      <c r="C76" t="s">
        <v>91</v>
      </c>
      <c r="D76" t="s">
        <v>129</v>
      </c>
      <c r="E76" t="s">
        <v>86</v>
      </c>
      <c r="F76" t="s">
        <v>191</v>
      </c>
      <c r="G76" t="s">
        <v>8</v>
      </c>
      <c r="H76">
        <v>2026</v>
      </c>
      <c r="I76" s="3">
        <v>234249</v>
      </c>
      <c r="J76" s="4">
        <v>184</v>
      </c>
      <c r="K76" s="5">
        <v>13575</v>
      </c>
      <c r="L76" s="6">
        <v>46214</v>
      </c>
      <c r="M76" s="6">
        <v>46274</v>
      </c>
      <c r="N76">
        <f t="shared" ca="1" si="2"/>
        <v>43</v>
      </c>
      <c r="O76">
        <v>4</v>
      </c>
      <c r="P76" t="s">
        <v>66</v>
      </c>
    </row>
    <row r="77" spans="1:16">
      <c r="A77" t="s">
        <v>276</v>
      </c>
      <c r="B77" t="s">
        <v>277</v>
      </c>
      <c r="C77" t="s">
        <v>91</v>
      </c>
      <c r="D77" t="s">
        <v>190</v>
      </c>
      <c r="E77" t="s">
        <v>86</v>
      </c>
      <c r="F77" t="s">
        <v>273</v>
      </c>
      <c r="G77" t="s">
        <v>8</v>
      </c>
      <c r="H77">
        <v>2025</v>
      </c>
      <c r="I77" s="3">
        <v>217226</v>
      </c>
      <c r="J77" s="4">
        <v>391</v>
      </c>
      <c r="K77" s="5">
        <v>6135</v>
      </c>
      <c r="L77" s="6">
        <v>46219</v>
      </c>
      <c r="M77" s="6">
        <v>46264</v>
      </c>
      <c r="N77">
        <f t="shared" ca="1" si="2"/>
        <v>33</v>
      </c>
      <c r="O77">
        <v>2</v>
      </c>
      <c r="P77" t="s">
        <v>66</v>
      </c>
    </row>
    <row r="78" spans="1:16">
      <c r="A78" t="s">
        <v>278</v>
      </c>
      <c r="B78" t="s">
        <v>279</v>
      </c>
      <c r="C78" t="s">
        <v>111</v>
      </c>
      <c r="D78" t="s">
        <v>70</v>
      </c>
      <c r="E78" t="s">
        <v>64</v>
      </c>
      <c r="F78" t="s">
        <v>254</v>
      </c>
      <c r="G78" t="s">
        <v>8</v>
      </c>
      <c r="H78">
        <v>2021</v>
      </c>
      <c r="I78" s="3">
        <v>204065</v>
      </c>
      <c r="J78" s="4">
        <v>828</v>
      </c>
      <c r="K78" s="5">
        <v>7891</v>
      </c>
      <c r="L78" s="6">
        <v>46189</v>
      </c>
      <c r="M78" s="6">
        <v>46279</v>
      </c>
      <c r="N78">
        <f t="shared" ca="1" si="2"/>
        <v>48</v>
      </c>
      <c r="O78">
        <v>4</v>
      </c>
      <c r="P78" t="s">
        <v>66</v>
      </c>
    </row>
    <row r="79" spans="1:16">
      <c r="A79" t="s">
        <v>280</v>
      </c>
      <c r="B79" t="s">
        <v>281</v>
      </c>
      <c r="C79" t="s">
        <v>111</v>
      </c>
      <c r="D79" t="s">
        <v>81</v>
      </c>
      <c r="E79" t="s">
        <v>143</v>
      </c>
      <c r="F79" t="s">
        <v>77</v>
      </c>
      <c r="G79" t="s">
        <v>8</v>
      </c>
      <c r="H79">
        <v>2025</v>
      </c>
      <c r="I79" s="3">
        <v>205853</v>
      </c>
      <c r="J79" s="4">
        <v>1375</v>
      </c>
      <c r="K79" s="5">
        <v>11137</v>
      </c>
      <c r="L79" s="6">
        <v>46173</v>
      </c>
      <c r="M79" s="6">
        <v>46203</v>
      </c>
      <c r="N79">
        <f t="shared" ca="1" si="2"/>
        <v>-28</v>
      </c>
      <c r="O79">
        <v>2</v>
      </c>
      <c r="P79" t="s">
        <v>66</v>
      </c>
    </row>
    <row r="80" spans="1:16">
      <c r="A80" t="s">
        <v>282</v>
      </c>
      <c r="B80" t="s">
        <v>283</v>
      </c>
      <c r="C80" t="s">
        <v>156</v>
      </c>
      <c r="D80" t="s">
        <v>97</v>
      </c>
      <c r="E80" t="s">
        <v>92</v>
      </c>
      <c r="F80" t="s">
        <v>144</v>
      </c>
      <c r="G80" t="s">
        <v>8</v>
      </c>
      <c r="H80">
        <v>2021</v>
      </c>
      <c r="I80" s="3">
        <v>259662</v>
      </c>
      <c r="J80" s="4">
        <v>2635</v>
      </c>
      <c r="K80" s="5">
        <v>11127</v>
      </c>
      <c r="L80" s="6">
        <v>46164</v>
      </c>
      <c r="M80" s="6">
        <v>46254</v>
      </c>
      <c r="N80">
        <f t="shared" ca="1" si="2"/>
        <v>23</v>
      </c>
      <c r="O80">
        <v>1</v>
      </c>
      <c r="P80" t="s">
        <v>66</v>
      </c>
    </row>
    <row r="81" spans="1:16">
      <c r="A81" t="s">
        <v>284</v>
      </c>
      <c r="B81" t="s">
        <v>285</v>
      </c>
      <c r="C81" t="s">
        <v>149</v>
      </c>
      <c r="D81" t="s">
        <v>112</v>
      </c>
      <c r="E81" t="s">
        <v>86</v>
      </c>
      <c r="F81" t="s">
        <v>140</v>
      </c>
      <c r="G81" t="s">
        <v>14</v>
      </c>
      <c r="H81">
        <v>2022</v>
      </c>
      <c r="I81" s="3">
        <v>208329</v>
      </c>
      <c r="J81" s="4">
        <v>1402</v>
      </c>
      <c r="K81" s="5">
        <v>16521</v>
      </c>
      <c r="L81" s="6">
        <v>46190</v>
      </c>
      <c r="M81" s="6">
        <v>46280</v>
      </c>
      <c r="N81">
        <f t="shared" ca="1" si="2"/>
        <v>49</v>
      </c>
      <c r="O81">
        <v>4</v>
      </c>
      <c r="P81" t="s">
        <v>88</v>
      </c>
    </row>
  </sheetData>
  <conditionalFormatting sqref="G2:G81">
    <cfRule type="expression" dxfId="2" priority="1">
      <formula>G2="Breakdown"</formula>
    </cfRule>
  </conditionalFormatting>
  <conditionalFormatting sqref="N2:N81">
    <cfRule type="colorScale" priority="2">
      <colorScale>
        <cfvo type="min"/>
        <cfvo type="percentile" val="50"/>
        <cfvo type="max"/>
        <color rgb="FFF8D7DA"/>
        <color rgb="FFFFF3CD"/>
        <color rgb="FFD4EDD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Lists!$A$2:$A$6</xm:f>
          </x14:formula1>
          <xm:sqref>G2:G81</xm:sqref>
        </x14:dataValidation>
        <x14:dataValidation type="list" xr:uid="{00000000-0002-0000-0100-000001000000}">
          <x14:formula1>
            <xm:f>Lists!$B$2:$B$12</xm:f>
          </x14:formula1>
          <xm:sqref>C2:C81</xm:sqref>
        </x14:dataValidation>
        <x14:dataValidation type="list" xr:uid="{00000000-0002-0000-0100-000002000000}">
          <x14:formula1>
            <xm:f>Lists!$C$2:$C$12</xm:f>
          </x14:formula1>
          <xm:sqref>D2:D81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1"/>
  <sheetViews>
    <sheetView workbookViewId="0"/>
  </sheetViews>
  <sheetFormatPr defaultRowHeight="13.8"/>
  <cols>
    <col min="1" max="1" width="12" customWidth="1"/>
    <col min="2" max="2" width="13" customWidth="1"/>
    <col min="3" max="3" width="11" customWidth="1"/>
    <col min="4" max="4" width="22" customWidth="1"/>
    <col min="5" max="6" width="18" customWidth="1"/>
    <col min="7" max="7" width="12" customWidth="1"/>
    <col min="8" max="8" width="13" customWidth="1"/>
    <col min="9" max="9" width="12" customWidth="1"/>
    <col min="10" max="10" width="18" customWidth="1"/>
    <col min="11" max="11" width="17" customWidth="1"/>
    <col min="12" max="12" width="12" customWidth="1"/>
    <col min="13" max="13" width="18" customWidth="1"/>
    <col min="14" max="14" width="25" customWidth="1"/>
  </cols>
  <sheetData>
    <row r="1" spans="1:14" ht="27.6">
      <c r="A1" s="7" t="s">
        <v>286</v>
      </c>
      <c r="B1" s="7" t="s">
        <v>287</v>
      </c>
      <c r="C1" s="7" t="s">
        <v>288</v>
      </c>
      <c r="D1" s="7" t="s">
        <v>289</v>
      </c>
      <c r="E1" s="7" t="s">
        <v>47</v>
      </c>
      <c r="F1" s="7" t="s">
        <v>290</v>
      </c>
      <c r="G1" s="7" t="s">
        <v>44</v>
      </c>
      <c r="H1" s="7" t="s">
        <v>291</v>
      </c>
      <c r="I1" s="7" t="s">
        <v>292</v>
      </c>
      <c r="J1" s="7" t="s">
        <v>293</v>
      </c>
      <c r="K1" s="7" t="s">
        <v>294</v>
      </c>
      <c r="L1" s="7" t="s">
        <v>295</v>
      </c>
      <c r="M1" s="7" t="s">
        <v>50</v>
      </c>
      <c r="N1" s="7" t="s">
        <v>59</v>
      </c>
    </row>
    <row r="2" spans="1:14">
      <c r="A2" t="s">
        <v>296</v>
      </c>
      <c r="B2" s="6">
        <v>46216</v>
      </c>
      <c r="C2" t="s">
        <v>297</v>
      </c>
      <c r="D2" t="s">
        <v>298</v>
      </c>
      <c r="E2" t="s">
        <v>76</v>
      </c>
      <c r="F2" t="s">
        <v>219</v>
      </c>
      <c r="G2" t="s">
        <v>265</v>
      </c>
      <c r="H2">
        <v>11</v>
      </c>
      <c r="I2">
        <v>12</v>
      </c>
      <c r="J2">
        <v>165</v>
      </c>
      <c r="K2">
        <v>165</v>
      </c>
      <c r="L2" s="8">
        <f t="shared" ref="L2:L33" si="0">IF(J2=0,0,K2/J2)</f>
        <v>1</v>
      </c>
      <c r="M2" t="s">
        <v>16</v>
      </c>
      <c r="N2" t="s">
        <v>299</v>
      </c>
    </row>
    <row r="3" spans="1:14">
      <c r="A3" t="s">
        <v>300</v>
      </c>
      <c r="B3" s="6">
        <v>46208</v>
      </c>
      <c r="C3" t="s">
        <v>301</v>
      </c>
      <c r="D3" t="s">
        <v>302</v>
      </c>
      <c r="E3" t="s">
        <v>108</v>
      </c>
      <c r="F3" t="s">
        <v>262</v>
      </c>
      <c r="G3" t="s">
        <v>225</v>
      </c>
      <c r="H3">
        <v>8</v>
      </c>
      <c r="I3">
        <v>8</v>
      </c>
      <c r="J3">
        <v>122</v>
      </c>
      <c r="K3">
        <v>122</v>
      </c>
      <c r="L3" s="8">
        <f t="shared" si="0"/>
        <v>1</v>
      </c>
      <c r="M3" t="s">
        <v>10</v>
      </c>
      <c r="N3" t="s">
        <v>299</v>
      </c>
    </row>
    <row r="4" spans="1:14">
      <c r="A4" t="s">
        <v>303</v>
      </c>
      <c r="B4" s="6">
        <v>46205</v>
      </c>
      <c r="C4" t="s">
        <v>304</v>
      </c>
      <c r="D4" t="s">
        <v>298</v>
      </c>
      <c r="E4" t="s">
        <v>63</v>
      </c>
      <c r="F4" t="s">
        <v>273</v>
      </c>
      <c r="G4" t="s">
        <v>83</v>
      </c>
      <c r="H4">
        <v>7</v>
      </c>
      <c r="I4">
        <v>8</v>
      </c>
      <c r="J4">
        <v>161</v>
      </c>
      <c r="K4">
        <v>153</v>
      </c>
      <c r="L4" s="8">
        <f t="shared" si="0"/>
        <v>0.9503105590062112</v>
      </c>
      <c r="M4" t="s">
        <v>10</v>
      </c>
      <c r="N4" t="s">
        <v>299</v>
      </c>
    </row>
    <row r="5" spans="1:14">
      <c r="A5" t="s">
        <v>305</v>
      </c>
      <c r="B5" s="6">
        <v>46203</v>
      </c>
      <c r="C5" t="s">
        <v>304</v>
      </c>
      <c r="D5" t="s">
        <v>306</v>
      </c>
      <c r="E5" t="s">
        <v>97</v>
      </c>
      <c r="F5" t="s">
        <v>102</v>
      </c>
      <c r="G5" t="s">
        <v>67</v>
      </c>
      <c r="H5">
        <v>10</v>
      </c>
      <c r="I5">
        <v>10</v>
      </c>
      <c r="J5">
        <v>124</v>
      </c>
      <c r="K5">
        <v>124</v>
      </c>
      <c r="L5" s="8">
        <f t="shared" si="0"/>
        <v>1</v>
      </c>
      <c r="M5" t="s">
        <v>16</v>
      </c>
      <c r="N5" t="s">
        <v>299</v>
      </c>
    </row>
    <row r="6" spans="1:14">
      <c r="A6" t="s">
        <v>307</v>
      </c>
      <c r="B6" s="6">
        <v>46228</v>
      </c>
      <c r="C6" t="s">
        <v>304</v>
      </c>
      <c r="D6" t="s">
        <v>308</v>
      </c>
      <c r="E6" t="s">
        <v>76</v>
      </c>
      <c r="F6" t="s">
        <v>257</v>
      </c>
      <c r="G6" t="s">
        <v>220</v>
      </c>
      <c r="H6">
        <v>4</v>
      </c>
      <c r="I6">
        <v>4</v>
      </c>
      <c r="J6">
        <v>207</v>
      </c>
      <c r="K6">
        <v>215</v>
      </c>
      <c r="L6" s="8">
        <f t="shared" si="0"/>
        <v>1.038647342995169</v>
      </c>
      <c r="M6" t="s">
        <v>16</v>
      </c>
      <c r="N6" t="s">
        <v>299</v>
      </c>
    </row>
    <row r="7" spans="1:14">
      <c r="A7" t="s">
        <v>309</v>
      </c>
      <c r="B7" s="6">
        <v>46218</v>
      </c>
      <c r="C7" t="s">
        <v>304</v>
      </c>
      <c r="D7" t="s">
        <v>310</v>
      </c>
      <c r="E7" t="s">
        <v>81</v>
      </c>
      <c r="F7" t="s">
        <v>184</v>
      </c>
      <c r="G7" t="s">
        <v>83</v>
      </c>
      <c r="H7">
        <v>3</v>
      </c>
      <c r="I7">
        <v>3</v>
      </c>
      <c r="J7">
        <v>212</v>
      </c>
      <c r="K7">
        <v>212</v>
      </c>
      <c r="L7" s="8">
        <f t="shared" si="0"/>
        <v>1</v>
      </c>
      <c r="M7" t="s">
        <v>16</v>
      </c>
      <c r="N7" t="s">
        <v>299</v>
      </c>
    </row>
    <row r="8" spans="1:14">
      <c r="A8" t="s">
        <v>311</v>
      </c>
      <c r="B8" s="6">
        <v>46221</v>
      </c>
      <c r="C8" t="s">
        <v>301</v>
      </c>
      <c r="D8" t="s">
        <v>310</v>
      </c>
      <c r="E8" t="s">
        <v>129</v>
      </c>
      <c r="F8" t="s">
        <v>167</v>
      </c>
      <c r="G8" t="s">
        <v>117</v>
      </c>
      <c r="H8">
        <v>3</v>
      </c>
      <c r="I8">
        <v>2</v>
      </c>
      <c r="J8">
        <v>201</v>
      </c>
      <c r="K8">
        <v>190</v>
      </c>
      <c r="L8" s="8">
        <f t="shared" si="0"/>
        <v>0.94527363184079605</v>
      </c>
      <c r="M8" t="s">
        <v>16</v>
      </c>
      <c r="N8" t="s">
        <v>299</v>
      </c>
    </row>
    <row r="9" spans="1:14">
      <c r="A9" t="s">
        <v>312</v>
      </c>
      <c r="B9" s="6">
        <v>46202</v>
      </c>
      <c r="C9" t="s">
        <v>301</v>
      </c>
      <c r="D9" t="s">
        <v>306</v>
      </c>
      <c r="E9" t="s">
        <v>76</v>
      </c>
      <c r="F9" t="s">
        <v>119</v>
      </c>
      <c r="G9" t="s">
        <v>188</v>
      </c>
      <c r="H9">
        <v>3</v>
      </c>
      <c r="I9">
        <v>3</v>
      </c>
      <c r="J9">
        <v>82</v>
      </c>
      <c r="K9">
        <v>77</v>
      </c>
      <c r="L9" s="8">
        <f t="shared" si="0"/>
        <v>0.93902439024390238</v>
      </c>
      <c r="M9" t="s">
        <v>13</v>
      </c>
      <c r="N9" t="s">
        <v>299</v>
      </c>
    </row>
    <row r="10" spans="1:14">
      <c r="A10" t="s">
        <v>313</v>
      </c>
      <c r="B10" s="6">
        <v>46217</v>
      </c>
      <c r="C10" t="s">
        <v>297</v>
      </c>
      <c r="D10" t="s">
        <v>310</v>
      </c>
      <c r="E10" t="s">
        <v>63</v>
      </c>
      <c r="F10" t="s">
        <v>113</v>
      </c>
      <c r="G10" t="s">
        <v>147</v>
      </c>
      <c r="H10">
        <v>7</v>
      </c>
      <c r="I10">
        <v>7</v>
      </c>
      <c r="J10">
        <v>77</v>
      </c>
      <c r="K10">
        <v>61</v>
      </c>
      <c r="L10" s="8">
        <f t="shared" si="0"/>
        <v>0.79220779220779225</v>
      </c>
      <c r="M10" t="s">
        <v>10</v>
      </c>
      <c r="N10" t="s">
        <v>299</v>
      </c>
    </row>
    <row r="11" spans="1:14">
      <c r="A11" t="s">
        <v>314</v>
      </c>
      <c r="B11" s="6">
        <v>46215</v>
      </c>
      <c r="C11" t="s">
        <v>297</v>
      </c>
      <c r="D11" t="s">
        <v>315</v>
      </c>
      <c r="E11" t="s">
        <v>85</v>
      </c>
      <c r="F11" t="s">
        <v>102</v>
      </c>
      <c r="G11" t="s">
        <v>175</v>
      </c>
      <c r="H11">
        <v>11</v>
      </c>
      <c r="I11">
        <v>11</v>
      </c>
      <c r="J11">
        <v>198</v>
      </c>
      <c r="K11">
        <v>187</v>
      </c>
      <c r="L11" s="8">
        <f t="shared" si="0"/>
        <v>0.94444444444444442</v>
      </c>
      <c r="M11" t="s">
        <v>13</v>
      </c>
      <c r="N11" t="s">
        <v>299</v>
      </c>
    </row>
    <row r="12" spans="1:14">
      <c r="A12" t="s">
        <v>316</v>
      </c>
      <c r="B12" s="6">
        <v>46216</v>
      </c>
      <c r="C12" t="s">
        <v>304</v>
      </c>
      <c r="D12" t="s">
        <v>310</v>
      </c>
      <c r="E12" t="s">
        <v>97</v>
      </c>
      <c r="F12" t="s">
        <v>113</v>
      </c>
      <c r="G12" t="s">
        <v>106</v>
      </c>
      <c r="H12">
        <v>6</v>
      </c>
      <c r="I12">
        <v>7</v>
      </c>
      <c r="J12">
        <v>42</v>
      </c>
      <c r="K12">
        <v>42</v>
      </c>
      <c r="L12" s="8">
        <f t="shared" si="0"/>
        <v>1</v>
      </c>
      <c r="M12" t="s">
        <v>13</v>
      </c>
      <c r="N12" t="s">
        <v>299</v>
      </c>
    </row>
    <row r="13" spans="1:14">
      <c r="A13" t="s">
        <v>317</v>
      </c>
      <c r="B13" s="6">
        <v>46217</v>
      </c>
      <c r="C13" t="s">
        <v>297</v>
      </c>
      <c r="D13" t="s">
        <v>308</v>
      </c>
      <c r="E13" t="s">
        <v>81</v>
      </c>
      <c r="F13" t="s">
        <v>170</v>
      </c>
      <c r="G13" t="s">
        <v>158</v>
      </c>
      <c r="H13">
        <v>7</v>
      </c>
      <c r="I13">
        <v>7</v>
      </c>
      <c r="J13">
        <v>116</v>
      </c>
      <c r="K13">
        <v>107</v>
      </c>
      <c r="L13" s="8">
        <f t="shared" si="0"/>
        <v>0.92241379310344829</v>
      </c>
      <c r="M13" t="s">
        <v>13</v>
      </c>
      <c r="N13" t="s">
        <v>299</v>
      </c>
    </row>
    <row r="14" spans="1:14">
      <c r="A14" t="s">
        <v>318</v>
      </c>
      <c r="B14" s="6">
        <v>46219</v>
      </c>
      <c r="C14" t="s">
        <v>297</v>
      </c>
      <c r="D14" t="s">
        <v>308</v>
      </c>
      <c r="E14" t="s">
        <v>112</v>
      </c>
      <c r="F14" t="s">
        <v>177</v>
      </c>
      <c r="G14" t="s">
        <v>220</v>
      </c>
      <c r="H14">
        <v>9</v>
      </c>
      <c r="I14">
        <v>7</v>
      </c>
      <c r="J14">
        <v>100</v>
      </c>
      <c r="K14">
        <v>84</v>
      </c>
      <c r="L14" s="8">
        <f t="shared" si="0"/>
        <v>0.84</v>
      </c>
      <c r="M14" t="s">
        <v>13</v>
      </c>
      <c r="N14" t="s">
        <v>299</v>
      </c>
    </row>
    <row r="15" spans="1:14">
      <c r="A15" t="s">
        <v>319</v>
      </c>
      <c r="B15" s="6">
        <v>46229</v>
      </c>
      <c r="C15" t="s">
        <v>297</v>
      </c>
      <c r="D15" t="s">
        <v>310</v>
      </c>
      <c r="E15" t="s">
        <v>81</v>
      </c>
      <c r="F15" t="s">
        <v>87</v>
      </c>
      <c r="G15" t="s">
        <v>168</v>
      </c>
      <c r="H15">
        <v>2</v>
      </c>
      <c r="I15">
        <v>2</v>
      </c>
      <c r="J15">
        <v>215</v>
      </c>
      <c r="K15">
        <v>210</v>
      </c>
      <c r="L15" s="8">
        <f t="shared" si="0"/>
        <v>0.97674418604651159</v>
      </c>
      <c r="M15" t="s">
        <v>16</v>
      </c>
      <c r="N15" t="s">
        <v>299</v>
      </c>
    </row>
    <row r="16" spans="1:14">
      <c r="A16" t="s">
        <v>320</v>
      </c>
      <c r="B16" s="6">
        <v>46222</v>
      </c>
      <c r="C16" t="s">
        <v>297</v>
      </c>
      <c r="D16" t="s">
        <v>310</v>
      </c>
      <c r="E16" t="s">
        <v>63</v>
      </c>
      <c r="F16" t="s">
        <v>65</v>
      </c>
      <c r="G16" t="s">
        <v>89</v>
      </c>
      <c r="H16">
        <v>7</v>
      </c>
      <c r="I16">
        <v>6</v>
      </c>
      <c r="J16">
        <v>202</v>
      </c>
      <c r="K16">
        <v>158</v>
      </c>
      <c r="L16" s="8">
        <f t="shared" si="0"/>
        <v>0.78217821782178221</v>
      </c>
      <c r="M16" t="s">
        <v>13</v>
      </c>
      <c r="N16" t="s">
        <v>299</v>
      </c>
    </row>
    <row r="17" spans="1:14">
      <c r="A17" t="s">
        <v>321</v>
      </c>
      <c r="B17" s="6">
        <v>46226</v>
      </c>
      <c r="C17" t="s">
        <v>301</v>
      </c>
      <c r="D17" t="s">
        <v>308</v>
      </c>
      <c r="E17" t="s">
        <v>76</v>
      </c>
      <c r="F17" t="s">
        <v>187</v>
      </c>
      <c r="G17" t="s">
        <v>147</v>
      </c>
      <c r="H17">
        <v>9</v>
      </c>
      <c r="I17">
        <v>7</v>
      </c>
      <c r="J17">
        <v>188</v>
      </c>
      <c r="K17">
        <v>157</v>
      </c>
      <c r="L17" s="8">
        <f t="shared" si="0"/>
        <v>0.83510638297872342</v>
      </c>
      <c r="M17" t="s">
        <v>10</v>
      </c>
      <c r="N17" t="s">
        <v>299</v>
      </c>
    </row>
    <row r="18" spans="1:14">
      <c r="A18" t="s">
        <v>322</v>
      </c>
      <c r="B18" s="6">
        <v>46201</v>
      </c>
      <c r="C18" t="s">
        <v>304</v>
      </c>
      <c r="D18" t="s">
        <v>315</v>
      </c>
      <c r="E18" t="s">
        <v>112</v>
      </c>
      <c r="F18" t="s">
        <v>123</v>
      </c>
      <c r="G18" t="s">
        <v>188</v>
      </c>
      <c r="H18">
        <v>4</v>
      </c>
      <c r="I18">
        <v>4</v>
      </c>
      <c r="J18">
        <v>133</v>
      </c>
      <c r="K18">
        <v>119</v>
      </c>
      <c r="L18" s="8">
        <f t="shared" si="0"/>
        <v>0.89473684210526316</v>
      </c>
      <c r="M18" t="s">
        <v>16</v>
      </c>
      <c r="N18" t="s">
        <v>299</v>
      </c>
    </row>
    <row r="19" spans="1:14">
      <c r="A19" t="s">
        <v>323</v>
      </c>
      <c r="B19" s="6">
        <v>46226</v>
      </c>
      <c r="C19" t="s">
        <v>301</v>
      </c>
      <c r="D19" t="s">
        <v>310</v>
      </c>
      <c r="E19" t="s">
        <v>108</v>
      </c>
      <c r="F19" t="s">
        <v>241</v>
      </c>
      <c r="G19" t="s">
        <v>211</v>
      </c>
      <c r="H19">
        <v>7</v>
      </c>
      <c r="I19">
        <v>5</v>
      </c>
      <c r="J19">
        <v>159</v>
      </c>
      <c r="K19">
        <v>165</v>
      </c>
      <c r="L19" s="8">
        <f t="shared" si="0"/>
        <v>1.0377358490566038</v>
      </c>
      <c r="M19" t="s">
        <v>10</v>
      </c>
      <c r="N19" t="s">
        <v>299</v>
      </c>
    </row>
    <row r="20" spans="1:14">
      <c r="A20" t="s">
        <v>324</v>
      </c>
      <c r="B20" s="6">
        <v>46216</v>
      </c>
      <c r="C20" t="s">
        <v>304</v>
      </c>
      <c r="D20" t="s">
        <v>310</v>
      </c>
      <c r="E20" t="s">
        <v>112</v>
      </c>
      <c r="F20" t="s">
        <v>153</v>
      </c>
      <c r="G20" t="s">
        <v>215</v>
      </c>
      <c r="H20">
        <v>8</v>
      </c>
      <c r="I20">
        <v>6</v>
      </c>
      <c r="J20">
        <v>107</v>
      </c>
      <c r="K20">
        <v>95</v>
      </c>
      <c r="L20" s="8">
        <f t="shared" si="0"/>
        <v>0.88785046728971961</v>
      </c>
      <c r="M20" t="s">
        <v>16</v>
      </c>
      <c r="N20" t="s">
        <v>299</v>
      </c>
    </row>
    <row r="21" spans="1:14">
      <c r="A21" t="s">
        <v>325</v>
      </c>
      <c r="B21" s="6">
        <v>46230</v>
      </c>
      <c r="C21" t="s">
        <v>297</v>
      </c>
      <c r="D21" t="s">
        <v>302</v>
      </c>
      <c r="E21" t="s">
        <v>76</v>
      </c>
      <c r="F21" t="s">
        <v>257</v>
      </c>
      <c r="G21" t="s">
        <v>165</v>
      </c>
      <c r="H21">
        <v>7</v>
      </c>
      <c r="I21">
        <v>5</v>
      </c>
      <c r="J21">
        <v>212</v>
      </c>
      <c r="K21">
        <v>168</v>
      </c>
      <c r="L21" s="8">
        <f t="shared" si="0"/>
        <v>0.79245283018867929</v>
      </c>
      <c r="M21" t="s">
        <v>16</v>
      </c>
      <c r="N21" t="s">
        <v>299</v>
      </c>
    </row>
    <row r="22" spans="1:14">
      <c r="A22" t="s">
        <v>326</v>
      </c>
      <c r="B22" s="6">
        <v>46221</v>
      </c>
      <c r="C22" t="s">
        <v>297</v>
      </c>
      <c r="D22" t="s">
        <v>298</v>
      </c>
      <c r="E22" t="s">
        <v>129</v>
      </c>
      <c r="F22" t="s">
        <v>137</v>
      </c>
      <c r="G22" t="s">
        <v>89</v>
      </c>
      <c r="H22">
        <v>3</v>
      </c>
      <c r="I22">
        <v>4</v>
      </c>
      <c r="J22">
        <v>158</v>
      </c>
      <c r="K22">
        <v>161</v>
      </c>
      <c r="L22" s="8">
        <f t="shared" si="0"/>
        <v>1.018987341772152</v>
      </c>
      <c r="M22" t="s">
        <v>10</v>
      </c>
      <c r="N22" t="s">
        <v>299</v>
      </c>
    </row>
    <row r="23" spans="1:14">
      <c r="A23" t="s">
        <v>327</v>
      </c>
      <c r="B23" s="6">
        <v>46202</v>
      </c>
      <c r="C23" t="s">
        <v>297</v>
      </c>
      <c r="D23" t="s">
        <v>315</v>
      </c>
      <c r="E23" t="s">
        <v>108</v>
      </c>
      <c r="F23" t="s">
        <v>102</v>
      </c>
      <c r="G23" t="s">
        <v>213</v>
      </c>
      <c r="H23">
        <v>6</v>
      </c>
      <c r="I23">
        <v>6</v>
      </c>
      <c r="J23">
        <v>69</v>
      </c>
      <c r="K23">
        <v>51</v>
      </c>
      <c r="L23" s="8">
        <f t="shared" si="0"/>
        <v>0.73913043478260865</v>
      </c>
      <c r="M23" t="s">
        <v>16</v>
      </c>
      <c r="N23" t="s">
        <v>299</v>
      </c>
    </row>
    <row r="24" spans="1:14">
      <c r="A24" t="s">
        <v>328</v>
      </c>
      <c r="B24" s="6">
        <v>46226</v>
      </c>
      <c r="C24" t="s">
        <v>304</v>
      </c>
      <c r="D24" t="s">
        <v>310</v>
      </c>
      <c r="E24" t="s">
        <v>129</v>
      </c>
      <c r="F24" t="s">
        <v>273</v>
      </c>
      <c r="G24" t="s">
        <v>282</v>
      </c>
      <c r="H24">
        <v>10</v>
      </c>
      <c r="I24">
        <v>10</v>
      </c>
      <c r="J24">
        <v>190</v>
      </c>
      <c r="K24">
        <v>183</v>
      </c>
      <c r="L24" s="8">
        <f t="shared" si="0"/>
        <v>0.9631578947368421</v>
      </c>
      <c r="M24" t="s">
        <v>13</v>
      </c>
      <c r="N24" t="s">
        <v>299</v>
      </c>
    </row>
    <row r="25" spans="1:14">
      <c r="A25" t="s">
        <v>329</v>
      </c>
      <c r="B25" s="6">
        <v>46216</v>
      </c>
      <c r="C25" t="s">
        <v>304</v>
      </c>
      <c r="D25" t="s">
        <v>315</v>
      </c>
      <c r="E25" t="s">
        <v>76</v>
      </c>
      <c r="F25" t="s">
        <v>65</v>
      </c>
      <c r="G25" t="s">
        <v>213</v>
      </c>
      <c r="H25">
        <v>6</v>
      </c>
      <c r="I25">
        <v>4</v>
      </c>
      <c r="J25">
        <v>216</v>
      </c>
      <c r="K25">
        <v>181</v>
      </c>
      <c r="L25" s="8">
        <f t="shared" si="0"/>
        <v>0.83796296296296291</v>
      </c>
      <c r="M25" t="s">
        <v>16</v>
      </c>
      <c r="N25" t="s">
        <v>299</v>
      </c>
    </row>
    <row r="26" spans="1:14">
      <c r="A26" t="s">
        <v>330</v>
      </c>
      <c r="B26" s="6">
        <v>46224</v>
      </c>
      <c r="C26" t="s">
        <v>301</v>
      </c>
      <c r="D26" t="s">
        <v>298</v>
      </c>
      <c r="E26" t="s">
        <v>129</v>
      </c>
      <c r="F26" t="s">
        <v>194</v>
      </c>
      <c r="G26" t="s">
        <v>278</v>
      </c>
      <c r="H26">
        <v>12</v>
      </c>
      <c r="I26">
        <v>12</v>
      </c>
      <c r="J26">
        <v>55</v>
      </c>
      <c r="K26">
        <v>46</v>
      </c>
      <c r="L26" s="8">
        <f t="shared" si="0"/>
        <v>0.83636363636363631</v>
      </c>
      <c r="M26" t="s">
        <v>10</v>
      </c>
      <c r="N26" t="s">
        <v>299</v>
      </c>
    </row>
    <row r="27" spans="1:14">
      <c r="A27" t="s">
        <v>331</v>
      </c>
      <c r="B27" s="6">
        <v>46205</v>
      </c>
      <c r="C27" t="s">
        <v>297</v>
      </c>
      <c r="D27" t="s">
        <v>315</v>
      </c>
      <c r="E27" t="s">
        <v>129</v>
      </c>
      <c r="F27" t="s">
        <v>241</v>
      </c>
      <c r="G27" t="s">
        <v>160</v>
      </c>
      <c r="H27">
        <v>2</v>
      </c>
      <c r="I27">
        <v>2</v>
      </c>
      <c r="J27">
        <v>102</v>
      </c>
      <c r="K27">
        <v>106</v>
      </c>
      <c r="L27" s="8">
        <f t="shared" si="0"/>
        <v>1.0392156862745099</v>
      </c>
      <c r="M27" t="s">
        <v>16</v>
      </c>
      <c r="N27" t="s">
        <v>299</v>
      </c>
    </row>
    <row r="28" spans="1:14">
      <c r="A28" t="s">
        <v>332</v>
      </c>
      <c r="B28" s="6">
        <v>46205</v>
      </c>
      <c r="C28" t="s">
        <v>297</v>
      </c>
      <c r="D28" t="s">
        <v>306</v>
      </c>
      <c r="E28" t="s">
        <v>112</v>
      </c>
      <c r="F28" t="s">
        <v>77</v>
      </c>
      <c r="G28" t="s">
        <v>130</v>
      </c>
      <c r="H28">
        <v>5</v>
      </c>
      <c r="I28">
        <v>4</v>
      </c>
      <c r="J28">
        <v>124</v>
      </c>
      <c r="K28">
        <v>120</v>
      </c>
      <c r="L28" s="8">
        <f t="shared" si="0"/>
        <v>0.967741935483871</v>
      </c>
      <c r="M28" t="s">
        <v>16</v>
      </c>
      <c r="N28" t="s">
        <v>299</v>
      </c>
    </row>
    <row r="29" spans="1:14">
      <c r="A29" t="s">
        <v>333</v>
      </c>
      <c r="B29" s="6">
        <v>46230</v>
      </c>
      <c r="C29" t="s">
        <v>301</v>
      </c>
      <c r="D29" t="s">
        <v>306</v>
      </c>
      <c r="E29" t="s">
        <v>76</v>
      </c>
      <c r="F29" t="s">
        <v>334</v>
      </c>
      <c r="G29" t="s">
        <v>276</v>
      </c>
      <c r="H29">
        <v>6</v>
      </c>
      <c r="I29">
        <v>5</v>
      </c>
      <c r="J29">
        <v>68</v>
      </c>
      <c r="K29">
        <v>63</v>
      </c>
      <c r="L29" s="8">
        <f t="shared" si="0"/>
        <v>0.92647058823529416</v>
      </c>
      <c r="M29" t="s">
        <v>13</v>
      </c>
      <c r="N29" t="s">
        <v>299</v>
      </c>
    </row>
    <row r="30" spans="1:14">
      <c r="A30" t="s">
        <v>335</v>
      </c>
      <c r="B30" s="6">
        <v>46207</v>
      </c>
      <c r="C30" t="s">
        <v>304</v>
      </c>
      <c r="D30" t="s">
        <v>302</v>
      </c>
      <c r="E30" t="s">
        <v>129</v>
      </c>
      <c r="F30" t="s">
        <v>157</v>
      </c>
      <c r="G30" t="s">
        <v>242</v>
      </c>
      <c r="H30">
        <v>2</v>
      </c>
      <c r="I30">
        <v>1</v>
      </c>
      <c r="J30">
        <v>107</v>
      </c>
      <c r="K30">
        <v>78</v>
      </c>
      <c r="L30" s="8">
        <f t="shared" si="0"/>
        <v>0.7289719626168224</v>
      </c>
      <c r="M30" t="s">
        <v>13</v>
      </c>
      <c r="N30" t="s">
        <v>299</v>
      </c>
    </row>
    <row r="31" spans="1:14">
      <c r="A31" t="s">
        <v>336</v>
      </c>
      <c r="B31" s="6">
        <v>46214</v>
      </c>
      <c r="C31" t="s">
        <v>301</v>
      </c>
      <c r="D31" t="s">
        <v>302</v>
      </c>
      <c r="E31" t="s">
        <v>70</v>
      </c>
      <c r="F31" t="s">
        <v>126</v>
      </c>
      <c r="G31" t="s">
        <v>192</v>
      </c>
      <c r="H31">
        <v>7</v>
      </c>
      <c r="I31">
        <v>7</v>
      </c>
      <c r="J31">
        <v>191</v>
      </c>
      <c r="K31">
        <v>144</v>
      </c>
      <c r="L31" s="8">
        <f t="shared" si="0"/>
        <v>0.75392670157068065</v>
      </c>
      <c r="M31" t="s">
        <v>13</v>
      </c>
      <c r="N31" t="s">
        <v>299</v>
      </c>
    </row>
    <row r="32" spans="1:14">
      <c r="A32" t="s">
        <v>337</v>
      </c>
      <c r="B32" s="6">
        <v>46203</v>
      </c>
      <c r="C32" t="s">
        <v>304</v>
      </c>
      <c r="D32" t="s">
        <v>298</v>
      </c>
      <c r="E32" t="s">
        <v>129</v>
      </c>
      <c r="F32" t="s">
        <v>273</v>
      </c>
      <c r="G32" t="s">
        <v>233</v>
      </c>
      <c r="H32">
        <v>12</v>
      </c>
      <c r="I32">
        <v>10</v>
      </c>
      <c r="J32">
        <v>55</v>
      </c>
      <c r="K32">
        <v>57</v>
      </c>
      <c r="L32" s="8">
        <f t="shared" si="0"/>
        <v>1.0363636363636364</v>
      </c>
      <c r="M32" t="s">
        <v>10</v>
      </c>
      <c r="N32" t="s">
        <v>299</v>
      </c>
    </row>
    <row r="33" spans="1:14">
      <c r="A33" t="s">
        <v>338</v>
      </c>
      <c r="B33" s="6">
        <v>46226</v>
      </c>
      <c r="C33" t="s">
        <v>304</v>
      </c>
      <c r="D33" t="s">
        <v>302</v>
      </c>
      <c r="E33" t="s">
        <v>190</v>
      </c>
      <c r="F33" t="s">
        <v>241</v>
      </c>
      <c r="G33" t="s">
        <v>199</v>
      </c>
      <c r="H33">
        <v>3</v>
      </c>
      <c r="I33">
        <v>3</v>
      </c>
      <c r="J33">
        <v>195</v>
      </c>
      <c r="K33">
        <v>149</v>
      </c>
      <c r="L33" s="8">
        <f t="shared" si="0"/>
        <v>0.76410256410256405</v>
      </c>
      <c r="M33" t="s">
        <v>13</v>
      </c>
      <c r="N33" t="s">
        <v>299</v>
      </c>
    </row>
    <row r="34" spans="1:14">
      <c r="A34" t="s">
        <v>339</v>
      </c>
      <c r="B34" s="6">
        <v>46211</v>
      </c>
      <c r="C34" t="s">
        <v>304</v>
      </c>
      <c r="D34" t="s">
        <v>306</v>
      </c>
      <c r="E34" t="s">
        <v>129</v>
      </c>
      <c r="F34" t="s">
        <v>241</v>
      </c>
      <c r="G34" t="s">
        <v>162</v>
      </c>
      <c r="H34">
        <v>11</v>
      </c>
      <c r="I34">
        <v>11</v>
      </c>
      <c r="J34">
        <v>115</v>
      </c>
      <c r="K34">
        <v>100</v>
      </c>
      <c r="L34" s="8">
        <f t="shared" ref="L34:L65" si="1">IF(J34=0,0,K34/J34)</f>
        <v>0.86956521739130432</v>
      </c>
      <c r="M34" t="s">
        <v>13</v>
      </c>
      <c r="N34" t="s">
        <v>299</v>
      </c>
    </row>
    <row r="35" spans="1:14">
      <c r="A35" t="s">
        <v>340</v>
      </c>
      <c r="B35" s="6">
        <v>46216</v>
      </c>
      <c r="C35" t="s">
        <v>304</v>
      </c>
      <c r="D35" t="s">
        <v>298</v>
      </c>
      <c r="E35" t="s">
        <v>129</v>
      </c>
      <c r="F35" t="s">
        <v>98</v>
      </c>
      <c r="G35" t="s">
        <v>229</v>
      </c>
      <c r="H35">
        <v>9</v>
      </c>
      <c r="I35">
        <v>8</v>
      </c>
      <c r="J35">
        <v>145</v>
      </c>
      <c r="K35">
        <v>120</v>
      </c>
      <c r="L35" s="8">
        <f t="shared" si="1"/>
        <v>0.82758620689655171</v>
      </c>
      <c r="M35" t="s">
        <v>13</v>
      </c>
      <c r="N35" t="s">
        <v>299</v>
      </c>
    </row>
    <row r="36" spans="1:14">
      <c r="A36" t="s">
        <v>341</v>
      </c>
      <c r="B36" s="6">
        <v>46209</v>
      </c>
      <c r="C36" t="s">
        <v>304</v>
      </c>
      <c r="D36" t="s">
        <v>306</v>
      </c>
      <c r="E36" t="s">
        <v>129</v>
      </c>
      <c r="F36" t="s">
        <v>208</v>
      </c>
      <c r="G36" t="s">
        <v>114</v>
      </c>
      <c r="H36">
        <v>12</v>
      </c>
      <c r="I36">
        <v>12</v>
      </c>
      <c r="J36">
        <v>135</v>
      </c>
      <c r="K36">
        <v>139</v>
      </c>
      <c r="L36" s="8">
        <f t="shared" si="1"/>
        <v>1.0296296296296297</v>
      </c>
      <c r="M36" t="s">
        <v>13</v>
      </c>
      <c r="N36" t="s">
        <v>299</v>
      </c>
    </row>
    <row r="37" spans="1:14">
      <c r="A37" t="s">
        <v>342</v>
      </c>
      <c r="B37" s="6">
        <v>46226</v>
      </c>
      <c r="C37" t="s">
        <v>297</v>
      </c>
      <c r="D37" t="s">
        <v>306</v>
      </c>
      <c r="E37" t="s">
        <v>190</v>
      </c>
      <c r="F37" t="s">
        <v>241</v>
      </c>
      <c r="G37" t="s">
        <v>267</v>
      </c>
      <c r="H37">
        <v>3</v>
      </c>
      <c r="I37">
        <v>4</v>
      </c>
      <c r="J37">
        <v>229</v>
      </c>
      <c r="K37">
        <v>193</v>
      </c>
      <c r="L37" s="8">
        <f t="shared" si="1"/>
        <v>0.84279475982532748</v>
      </c>
      <c r="M37" t="s">
        <v>13</v>
      </c>
      <c r="N37" t="s">
        <v>299</v>
      </c>
    </row>
    <row r="38" spans="1:14">
      <c r="A38" t="s">
        <v>343</v>
      </c>
      <c r="B38" s="6">
        <v>46209</v>
      </c>
      <c r="C38" t="s">
        <v>304</v>
      </c>
      <c r="D38" t="s">
        <v>310</v>
      </c>
      <c r="E38" t="s">
        <v>70</v>
      </c>
      <c r="F38" t="s">
        <v>87</v>
      </c>
      <c r="G38" t="s">
        <v>278</v>
      </c>
      <c r="H38">
        <v>12</v>
      </c>
      <c r="I38">
        <v>10</v>
      </c>
      <c r="J38">
        <v>145</v>
      </c>
      <c r="K38">
        <v>121</v>
      </c>
      <c r="L38" s="8">
        <f t="shared" si="1"/>
        <v>0.83448275862068966</v>
      </c>
      <c r="M38" t="s">
        <v>13</v>
      </c>
      <c r="N38" t="s">
        <v>299</v>
      </c>
    </row>
    <row r="39" spans="1:14">
      <c r="A39" t="s">
        <v>344</v>
      </c>
      <c r="B39" s="6">
        <v>46226</v>
      </c>
      <c r="C39" t="s">
        <v>297</v>
      </c>
      <c r="D39" t="s">
        <v>298</v>
      </c>
      <c r="E39" t="s">
        <v>85</v>
      </c>
      <c r="F39" t="s">
        <v>65</v>
      </c>
      <c r="G39" t="s">
        <v>206</v>
      </c>
      <c r="H39">
        <v>7</v>
      </c>
      <c r="I39">
        <v>5</v>
      </c>
      <c r="J39">
        <v>187</v>
      </c>
      <c r="K39">
        <v>165</v>
      </c>
      <c r="L39" s="8">
        <f t="shared" si="1"/>
        <v>0.88235294117647056</v>
      </c>
      <c r="M39" t="s">
        <v>16</v>
      </c>
      <c r="N39" t="s">
        <v>299</v>
      </c>
    </row>
    <row r="40" spans="1:14">
      <c r="A40" t="s">
        <v>345</v>
      </c>
      <c r="B40" s="6">
        <v>46223</v>
      </c>
      <c r="C40" t="s">
        <v>304</v>
      </c>
      <c r="D40" t="s">
        <v>302</v>
      </c>
      <c r="E40" t="s">
        <v>190</v>
      </c>
      <c r="F40" t="s">
        <v>257</v>
      </c>
      <c r="G40" t="s">
        <v>267</v>
      </c>
      <c r="H40">
        <v>7</v>
      </c>
      <c r="I40">
        <v>5</v>
      </c>
      <c r="J40">
        <v>235</v>
      </c>
      <c r="K40">
        <v>190</v>
      </c>
      <c r="L40" s="8">
        <f t="shared" si="1"/>
        <v>0.80851063829787229</v>
      </c>
      <c r="M40" t="s">
        <v>10</v>
      </c>
      <c r="N40" t="s">
        <v>299</v>
      </c>
    </row>
    <row r="41" spans="1:14">
      <c r="A41" t="s">
        <v>346</v>
      </c>
      <c r="B41" s="6">
        <v>46225</v>
      </c>
      <c r="C41" t="s">
        <v>304</v>
      </c>
      <c r="D41" t="s">
        <v>310</v>
      </c>
      <c r="E41" t="s">
        <v>112</v>
      </c>
      <c r="F41" t="s">
        <v>219</v>
      </c>
      <c r="G41" t="s">
        <v>206</v>
      </c>
      <c r="H41">
        <v>11</v>
      </c>
      <c r="I41">
        <v>12</v>
      </c>
      <c r="J41">
        <v>217</v>
      </c>
      <c r="K41">
        <v>175</v>
      </c>
      <c r="L41" s="8">
        <f t="shared" si="1"/>
        <v>0.80645161290322576</v>
      </c>
      <c r="M41" t="s">
        <v>10</v>
      </c>
      <c r="N41" t="s">
        <v>299</v>
      </c>
    </row>
    <row r="42" spans="1:14">
      <c r="A42" t="s">
        <v>347</v>
      </c>
      <c r="B42" s="6">
        <v>46228</v>
      </c>
      <c r="C42" t="s">
        <v>301</v>
      </c>
      <c r="D42" t="s">
        <v>310</v>
      </c>
      <c r="E42" t="s">
        <v>70</v>
      </c>
      <c r="F42" t="s">
        <v>208</v>
      </c>
      <c r="G42" t="s">
        <v>258</v>
      </c>
      <c r="H42">
        <v>4</v>
      </c>
      <c r="I42">
        <v>3</v>
      </c>
      <c r="J42">
        <v>184</v>
      </c>
      <c r="K42">
        <v>172</v>
      </c>
      <c r="L42" s="8">
        <f t="shared" si="1"/>
        <v>0.93478260869565222</v>
      </c>
      <c r="M42" t="s">
        <v>10</v>
      </c>
      <c r="N42" t="s">
        <v>299</v>
      </c>
    </row>
    <row r="43" spans="1:14">
      <c r="A43" t="s">
        <v>348</v>
      </c>
      <c r="B43" s="6">
        <v>46219</v>
      </c>
      <c r="C43" t="s">
        <v>304</v>
      </c>
      <c r="D43" t="s">
        <v>310</v>
      </c>
      <c r="E43" t="s">
        <v>76</v>
      </c>
      <c r="F43" t="s">
        <v>132</v>
      </c>
      <c r="G43" t="s">
        <v>278</v>
      </c>
      <c r="H43">
        <v>8</v>
      </c>
      <c r="I43">
        <v>8</v>
      </c>
      <c r="J43">
        <v>156</v>
      </c>
      <c r="K43">
        <v>129</v>
      </c>
      <c r="L43" s="8">
        <f t="shared" si="1"/>
        <v>0.82692307692307687</v>
      </c>
      <c r="M43" t="s">
        <v>10</v>
      </c>
      <c r="N43" t="s">
        <v>299</v>
      </c>
    </row>
    <row r="44" spans="1:14">
      <c r="A44" t="s">
        <v>349</v>
      </c>
      <c r="B44" s="6">
        <v>46229</v>
      </c>
      <c r="C44" t="s">
        <v>297</v>
      </c>
      <c r="D44" t="s">
        <v>306</v>
      </c>
      <c r="E44" t="s">
        <v>112</v>
      </c>
      <c r="F44" t="s">
        <v>203</v>
      </c>
      <c r="G44" t="s">
        <v>229</v>
      </c>
      <c r="H44">
        <v>2</v>
      </c>
      <c r="I44">
        <v>1</v>
      </c>
      <c r="J44">
        <v>80</v>
      </c>
      <c r="K44">
        <v>77</v>
      </c>
      <c r="L44" s="8">
        <f t="shared" si="1"/>
        <v>0.96250000000000002</v>
      </c>
      <c r="M44" t="s">
        <v>13</v>
      </c>
      <c r="N44" t="s">
        <v>299</v>
      </c>
    </row>
    <row r="45" spans="1:14">
      <c r="A45" t="s">
        <v>350</v>
      </c>
      <c r="B45" s="6">
        <v>46206</v>
      </c>
      <c r="C45" t="s">
        <v>297</v>
      </c>
      <c r="D45" t="s">
        <v>306</v>
      </c>
      <c r="E45" t="s">
        <v>76</v>
      </c>
      <c r="F45" t="s">
        <v>167</v>
      </c>
      <c r="G45" t="s">
        <v>124</v>
      </c>
      <c r="H45">
        <v>11</v>
      </c>
      <c r="I45">
        <v>11</v>
      </c>
      <c r="J45">
        <v>146</v>
      </c>
      <c r="K45">
        <v>118</v>
      </c>
      <c r="L45" s="8">
        <f t="shared" si="1"/>
        <v>0.80821917808219179</v>
      </c>
      <c r="M45" t="s">
        <v>13</v>
      </c>
      <c r="N45" t="s">
        <v>299</v>
      </c>
    </row>
    <row r="46" spans="1:14">
      <c r="A46" t="s">
        <v>351</v>
      </c>
      <c r="B46" s="6">
        <v>46209</v>
      </c>
      <c r="C46" t="s">
        <v>304</v>
      </c>
      <c r="D46" t="s">
        <v>306</v>
      </c>
      <c r="E46" t="s">
        <v>85</v>
      </c>
      <c r="F46" t="s">
        <v>191</v>
      </c>
      <c r="G46" t="s">
        <v>278</v>
      </c>
      <c r="H46">
        <v>12</v>
      </c>
      <c r="I46">
        <v>13</v>
      </c>
      <c r="J46">
        <v>191</v>
      </c>
      <c r="K46">
        <v>168</v>
      </c>
      <c r="L46" s="8">
        <f t="shared" si="1"/>
        <v>0.87958115183246077</v>
      </c>
      <c r="M46" t="s">
        <v>10</v>
      </c>
      <c r="N46" t="s">
        <v>299</v>
      </c>
    </row>
    <row r="47" spans="1:14">
      <c r="A47" t="s">
        <v>352</v>
      </c>
      <c r="B47" s="6">
        <v>46206</v>
      </c>
      <c r="C47" t="s">
        <v>301</v>
      </c>
      <c r="D47" t="s">
        <v>308</v>
      </c>
      <c r="E47" t="s">
        <v>112</v>
      </c>
      <c r="F47" t="s">
        <v>98</v>
      </c>
      <c r="G47" t="s">
        <v>127</v>
      </c>
      <c r="H47">
        <v>2</v>
      </c>
      <c r="I47">
        <v>1</v>
      </c>
      <c r="J47">
        <v>117</v>
      </c>
      <c r="K47">
        <v>120</v>
      </c>
      <c r="L47" s="8">
        <f t="shared" si="1"/>
        <v>1.0256410256410255</v>
      </c>
      <c r="M47" t="s">
        <v>10</v>
      </c>
      <c r="N47" t="s">
        <v>299</v>
      </c>
    </row>
    <row r="48" spans="1:14">
      <c r="A48" t="s">
        <v>353</v>
      </c>
      <c r="B48" s="6">
        <v>46218</v>
      </c>
      <c r="C48" t="s">
        <v>297</v>
      </c>
      <c r="D48" t="s">
        <v>310</v>
      </c>
      <c r="E48" t="s">
        <v>85</v>
      </c>
      <c r="F48" t="s">
        <v>105</v>
      </c>
      <c r="G48" t="s">
        <v>267</v>
      </c>
      <c r="H48">
        <v>9</v>
      </c>
      <c r="I48">
        <v>10</v>
      </c>
      <c r="J48">
        <v>150</v>
      </c>
      <c r="K48">
        <v>116</v>
      </c>
      <c r="L48" s="8">
        <f t="shared" si="1"/>
        <v>0.77333333333333332</v>
      </c>
      <c r="M48" t="s">
        <v>16</v>
      </c>
      <c r="N48" t="s">
        <v>299</v>
      </c>
    </row>
    <row r="49" spans="1:14">
      <c r="A49" t="s">
        <v>354</v>
      </c>
      <c r="B49" s="6">
        <v>46229</v>
      </c>
      <c r="C49" t="s">
        <v>304</v>
      </c>
      <c r="D49" t="s">
        <v>306</v>
      </c>
      <c r="E49" t="s">
        <v>81</v>
      </c>
      <c r="F49" t="s">
        <v>157</v>
      </c>
      <c r="G49" t="s">
        <v>197</v>
      </c>
      <c r="H49">
        <v>7</v>
      </c>
      <c r="I49">
        <v>5</v>
      </c>
      <c r="J49">
        <v>141</v>
      </c>
      <c r="K49">
        <v>141</v>
      </c>
      <c r="L49" s="8">
        <f t="shared" si="1"/>
        <v>1</v>
      </c>
      <c r="M49" t="s">
        <v>16</v>
      </c>
      <c r="N49" t="s">
        <v>299</v>
      </c>
    </row>
    <row r="50" spans="1:14">
      <c r="A50" t="s">
        <v>355</v>
      </c>
      <c r="B50" s="6">
        <v>46217</v>
      </c>
      <c r="C50" t="s">
        <v>304</v>
      </c>
      <c r="D50" t="s">
        <v>306</v>
      </c>
      <c r="E50" t="s">
        <v>108</v>
      </c>
      <c r="F50" t="s">
        <v>177</v>
      </c>
      <c r="G50" t="s">
        <v>199</v>
      </c>
      <c r="H50">
        <v>8</v>
      </c>
      <c r="I50">
        <v>8</v>
      </c>
      <c r="J50">
        <v>143</v>
      </c>
      <c r="K50">
        <v>136</v>
      </c>
      <c r="L50" s="8">
        <f t="shared" si="1"/>
        <v>0.95104895104895104</v>
      </c>
      <c r="M50" t="s">
        <v>10</v>
      </c>
      <c r="N50" t="s">
        <v>299</v>
      </c>
    </row>
    <row r="51" spans="1:14">
      <c r="A51" t="s">
        <v>356</v>
      </c>
      <c r="B51" s="6">
        <v>46228</v>
      </c>
      <c r="C51" t="s">
        <v>304</v>
      </c>
      <c r="D51" t="s">
        <v>306</v>
      </c>
      <c r="E51" t="s">
        <v>85</v>
      </c>
      <c r="F51" t="s">
        <v>167</v>
      </c>
      <c r="G51" t="s">
        <v>276</v>
      </c>
      <c r="H51">
        <v>11</v>
      </c>
      <c r="I51">
        <v>11</v>
      </c>
      <c r="J51">
        <v>216</v>
      </c>
      <c r="K51">
        <v>221</v>
      </c>
      <c r="L51" s="8">
        <f t="shared" si="1"/>
        <v>1.0231481481481481</v>
      </c>
      <c r="M51" t="s">
        <v>13</v>
      </c>
      <c r="N51" t="s">
        <v>299</v>
      </c>
    </row>
    <row r="52" spans="1:14">
      <c r="A52" t="s">
        <v>357</v>
      </c>
      <c r="B52" s="6">
        <v>46207</v>
      </c>
      <c r="C52" t="s">
        <v>304</v>
      </c>
      <c r="D52" t="s">
        <v>315</v>
      </c>
      <c r="E52" t="s">
        <v>76</v>
      </c>
      <c r="F52" t="s">
        <v>113</v>
      </c>
      <c r="G52" t="s">
        <v>106</v>
      </c>
      <c r="H52">
        <v>10</v>
      </c>
      <c r="I52">
        <v>8</v>
      </c>
      <c r="J52">
        <v>141</v>
      </c>
      <c r="K52">
        <v>142</v>
      </c>
      <c r="L52" s="8">
        <f t="shared" si="1"/>
        <v>1.0070921985815602</v>
      </c>
      <c r="M52" t="s">
        <v>16</v>
      </c>
      <c r="N52" t="s">
        <v>299</v>
      </c>
    </row>
    <row r="53" spans="1:14">
      <c r="A53" t="s">
        <v>358</v>
      </c>
      <c r="B53" s="6">
        <v>46202</v>
      </c>
      <c r="C53" t="s">
        <v>304</v>
      </c>
      <c r="D53" t="s">
        <v>308</v>
      </c>
      <c r="E53" t="s">
        <v>63</v>
      </c>
      <c r="F53" t="s">
        <v>334</v>
      </c>
      <c r="G53" t="s">
        <v>120</v>
      </c>
      <c r="H53">
        <v>12</v>
      </c>
      <c r="I53">
        <v>10</v>
      </c>
      <c r="J53">
        <v>175</v>
      </c>
      <c r="K53">
        <v>155</v>
      </c>
      <c r="L53" s="8">
        <f t="shared" si="1"/>
        <v>0.88571428571428568</v>
      </c>
      <c r="M53" t="s">
        <v>10</v>
      </c>
      <c r="N53" t="s">
        <v>299</v>
      </c>
    </row>
    <row r="54" spans="1:14">
      <c r="A54" t="s">
        <v>359</v>
      </c>
      <c r="B54" s="6">
        <v>46206</v>
      </c>
      <c r="C54" t="s">
        <v>297</v>
      </c>
      <c r="D54" t="s">
        <v>306</v>
      </c>
      <c r="E54" t="s">
        <v>63</v>
      </c>
      <c r="F54" t="s">
        <v>273</v>
      </c>
      <c r="G54" t="s">
        <v>239</v>
      </c>
      <c r="H54">
        <v>6</v>
      </c>
      <c r="I54">
        <v>5</v>
      </c>
      <c r="J54">
        <v>84</v>
      </c>
      <c r="K54">
        <v>77</v>
      </c>
      <c r="L54" s="8">
        <f t="shared" si="1"/>
        <v>0.91666666666666663</v>
      </c>
      <c r="M54" t="s">
        <v>16</v>
      </c>
      <c r="N54" t="s">
        <v>299</v>
      </c>
    </row>
    <row r="55" spans="1:14">
      <c r="A55" t="s">
        <v>360</v>
      </c>
      <c r="B55" s="6">
        <v>46212</v>
      </c>
      <c r="C55" t="s">
        <v>297</v>
      </c>
      <c r="D55" t="s">
        <v>310</v>
      </c>
      <c r="E55" t="s">
        <v>190</v>
      </c>
      <c r="F55" t="s">
        <v>98</v>
      </c>
      <c r="G55" t="s">
        <v>197</v>
      </c>
      <c r="H55">
        <v>11</v>
      </c>
      <c r="I55">
        <v>11</v>
      </c>
      <c r="J55">
        <v>214</v>
      </c>
      <c r="K55">
        <v>219</v>
      </c>
      <c r="L55" s="8">
        <f t="shared" si="1"/>
        <v>1.0233644859813085</v>
      </c>
      <c r="M55" t="s">
        <v>10</v>
      </c>
      <c r="N55" t="s">
        <v>299</v>
      </c>
    </row>
    <row r="56" spans="1:14">
      <c r="A56" t="s">
        <v>361</v>
      </c>
      <c r="B56" s="6">
        <v>46221</v>
      </c>
      <c r="C56" t="s">
        <v>304</v>
      </c>
      <c r="D56" t="s">
        <v>302</v>
      </c>
      <c r="E56" t="s">
        <v>70</v>
      </c>
      <c r="F56" t="s">
        <v>362</v>
      </c>
      <c r="G56" t="s">
        <v>250</v>
      </c>
      <c r="H56">
        <v>9</v>
      </c>
      <c r="I56">
        <v>7</v>
      </c>
      <c r="J56">
        <v>160</v>
      </c>
      <c r="K56">
        <v>138</v>
      </c>
      <c r="L56" s="8">
        <f t="shared" si="1"/>
        <v>0.86250000000000004</v>
      </c>
      <c r="M56" t="s">
        <v>10</v>
      </c>
      <c r="N56" t="s">
        <v>299</v>
      </c>
    </row>
    <row r="57" spans="1:14">
      <c r="A57" t="s">
        <v>363</v>
      </c>
      <c r="B57" s="6">
        <v>46219</v>
      </c>
      <c r="C57" t="s">
        <v>304</v>
      </c>
      <c r="D57" t="s">
        <v>306</v>
      </c>
      <c r="E57" t="s">
        <v>129</v>
      </c>
      <c r="F57" t="s">
        <v>257</v>
      </c>
      <c r="G57" t="s">
        <v>278</v>
      </c>
      <c r="H57">
        <v>6</v>
      </c>
      <c r="I57">
        <v>6</v>
      </c>
      <c r="J57">
        <v>155</v>
      </c>
      <c r="K57">
        <v>113</v>
      </c>
      <c r="L57" s="8">
        <f t="shared" si="1"/>
        <v>0.7290322580645161</v>
      </c>
      <c r="M57" t="s">
        <v>16</v>
      </c>
      <c r="N57" t="s">
        <v>299</v>
      </c>
    </row>
    <row r="58" spans="1:14">
      <c r="A58" t="s">
        <v>364</v>
      </c>
      <c r="B58" s="6">
        <v>46205</v>
      </c>
      <c r="C58" t="s">
        <v>297</v>
      </c>
      <c r="D58" t="s">
        <v>306</v>
      </c>
      <c r="E58" t="s">
        <v>81</v>
      </c>
      <c r="F58" t="s">
        <v>132</v>
      </c>
      <c r="G58" t="s">
        <v>154</v>
      </c>
      <c r="H58">
        <v>8</v>
      </c>
      <c r="I58">
        <v>8</v>
      </c>
      <c r="J58">
        <v>188</v>
      </c>
      <c r="K58">
        <v>169</v>
      </c>
      <c r="L58" s="8">
        <f t="shared" si="1"/>
        <v>0.89893617021276595</v>
      </c>
      <c r="M58" t="s">
        <v>13</v>
      </c>
      <c r="N58" t="s">
        <v>299</v>
      </c>
    </row>
    <row r="59" spans="1:14">
      <c r="A59" t="s">
        <v>365</v>
      </c>
      <c r="B59" s="6">
        <v>46229</v>
      </c>
      <c r="C59" t="s">
        <v>304</v>
      </c>
      <c r="D59" t="s">
        <v>306</v>
      </c>
      <c r="E59" t="s">
        <v>76</v>
      </c>
      <c r="F59" t="s">
        <v>208</v>
      </c>
      <c r="G59" t="s">
        <v>250</v>
      </c>
      <c r="H59">
        <v>11</v>
      </c>
      <c r="I59">
        <v>11</v>
      </c>
      <c r="J59">
        <v>168</v>
      </c>
      <c r="K59">
        <v>129</v>
      </c>
      <c r="L59" s="8">
        <f t="shared" si="1"/>
        <v>0.7678571428571429</v>
      </c>
      <c r="M59" t="s">
        <v>16</v>
      </c>
      <c r="N59" t="s">
        <v>299</v>
      </c>
    </row>
    <row r="60" spans="1:14">
      <c r="A60" t="s">
        <v>366</v>
      </c>
      <c r="B60" s="6">
        <v>46216</v>
      </c>
      <c r="C60" t="s">
        <v>297</v>
      </c>
      <c r="D60" t="s">
        <v>302</v>
      </c>
      <c r="E60" t="s">
        <v>190</v>
      </c>
      <c r="F60" t="s">
        <v>113</v>
      </c>
      <c r="G60" t="s">
        <v>211</v>
      </c>
      <c r="H60">
        <v>4</v>
      </c>
      <c r="I60">
        <v>2</v>
      </c>
      <c r="J60">
        <v>103</v>
      </c>
      <c r="K60">
        <v>98</v>
      </c>
      <c r="L60" s="8">
        <f t="shared" si="1"/>
        <v>0.95145631067961167</v>
      </c>
      <c r="M60" t="s">
        <v>13</v>
      </c>
      <c r="N60" t="s">
        <v>299</v>
      </c>
    </row>
    <row r="61" spans="1:14">
      <c r="A61" t="s">
        <v>367</v>
      </c>
      <c r="B61" s="6">
        <v>46209</v>
      </c>
      <c r="C61" t="s">
        <v>297</v>
      </c>
      <c r="D61" t="s">
        <v>306</v>
      </c>
      <c r="E61" t="s">
        <v>76</v>
      </c>
      <c r="F61" t="s">
        <v>157</v>
      </c>
      <c r="G61" t="s">
        <v>201</v>
      </c>
      <c r="H61">
        <v>6</v>
      </c>
      <c r="I61">
        <v>6</v>
      </c>
      <c r="J61">
        <v>144</v>
      </c>
      <c r="K61">
        <v>140</v>
      </c>
      <c r="L61" s="8">
        <f t="shared" si="1"/>
        <v>0.97222222222222221</v>
      </c>
      <c r="M61" t="s">
        <v>10</v>
      </c>
      <c r="N61" t="s">
        <v>299</v>
      </c>
    </row>
    <row r="62" spans="1:14">
      <c r="A62" t="s">
        <v>368</v>
      </c>
      <c r="B62" s="6">
        <v>46207</v>
      </c>
      <c r="C62" t="s">
        <v>297</v>
      </c>
      <c r="D62" t="s">
        <v>302</v>
      </c>
      <c r="E62" t="s">
        <v>63</v>
      </c>
      <c r="F62" t="s">
        <v>219</v>
      </c>
      <c r="G62" t="s">
        <v>109</v>
      </c>
      <c r="H62">
        <v>10</v>
      </c>
      <c r="I62">
        <v>11</v>
      </c>
      <c r="J62">
        <v>138</v>
      </c>
      <c r="K62">
        <v>112</v>
      </c>
      <c r="L62" s="8">
        <f t="shared" si="1"/>
        <v>0.81159420289855078</v>
      </c>
      <c r="M62" t="s">
        <v>16</v>
      </c>
      <c r="N62" t="s">
        <v>299</v>
      </c>
    </row>
    <row r="63" spans="1:14">
      <c r="A63" t="s">
        <v>369</v>
      </c>
      <c r="B63" s="6">
        <v>46210</v>
      </c>
      <c r="C63" t="s">
        <v>297</v>
      </c>
      <c r="D63" t="s">
        <v>310</v>
      </c>
      <c r="E63" t="s">
        <v>108</v>
      </c>
      <c r="F63" t="s">
        <v>137</v>
      </c>
      <c r="G63" t="s">
        <v>278</v>
      </c>
      <c r="H63">
        <v>12</v>
      </c>
      <c r="I63">
        <v>11</v>
      </c>
      <c r="J63">
        <v>129</v>
      </c>
      <c r="K63">
        <v>106</v>
      </c>
      <c r="L63" s="8">
        <f t="shared" si="1"/>
        <v>0.82170542635658916</v>
      </c>
      <c r="M63" t="s">
        <v>16</v>
      </c>
      <c r="N63" t="s">
        <v>299</v>
      </c>
    </row>
    <row r="64" spans="1:14">
      <c r="A64" t="s">
        <v>370</v>
      </c>
      <c r="B64" s="6">
        <v>46205</v>
      </c>
      <c r="C64" t="s">
        <v>304</v>
      </c>
      <c r="D64" t="s">
        <v>315</v>
      </c>
      <c r="E64" t="s">
        <v>97</v>
      </c>
      <c r="F64" t="s">
        <v>208</v>
      </c>
      <c r="G64" t="s">
        <v>229</v>
      </c>
      <c r="H64">
        <v>3</v>
      </c>
      <c r="I64">
        <v>3</v>
      </c>
      <c r="J64">
        <v>183</v>
      </c>
      <c r="K64">
        <v>154</v>
      </c>
      <c r="L64" s="8">
        <f t="shared" si="1"/>
        <v>0.84153005464480879</v>
      </c>
      <c r="M64" t="s">
        <v>16</v>
      </c>
      <c r="N64" t="s">
        <v>299</v>
      </c>
    </row>
    <row r="65" spans="1:14">
      <c r="A65" t="s">
        <v>371</v>
      </c>
      <c r="B65" s="6">
        <v>46200</v>
      </c>
      <c r="C65" t="s">
        <v>301</v>
      </c>
      <c r="D65" t="s">
        <v>308</v>
      </c>
      <c r="E65" t="s">
        <v>81</v>
      </c>
      <c r="F65" t="s">
        <v>72</v>
      </c>
      <c r="G65" t="s">
        <v>165</v>
      </c>
      <c r="H65">
        <v>7</v>
      </c>
      <c r="I65">
        <v>5</v>
      </c>
      <c r="J65">
        <v>132</v>
      </c>
      <c r="K65">
        <v>108</v>
      </c>
      <c r="L65" s="8">
        <f t="shared" si="1"/>
        <v>0.81818181818181823</v>
      </c>
      <c r="M65" t="s">
        <v>10</v>
      </c>
      <c r="N65" t="s">
        <v>299</v>
      </c>
    </row>
    <row r="66" spans="1:14">
      <c r="A66" t="s">
        <v>372</v>
      </c>
      <c r="B66" s="6">
        <v>46227</v>
      </c>
      <c r="C66" t="s">
        <v>297</v>
      </c>
      <c r="D66" t="s">
        <v>302</v>
      </c>
      <c r="E66" t="s">
        <v>97</v>
      </c>
      <c r="F66" t="s">
        <v>222</v>
      </c>
      <c r="G66" t="s">
        <v>204</v>
      </c>
      <c r="H66">
        <v>4</v>
      </c>
      <c r="I66">
        <v>2</v>
      </c>
      <c r="J66">
        <v>115</v>
      </c>
      <c r="K66">
        <v>114</v>
      </c>
      <c r="L66" s="8">
        <f t="shared" ref="L66:L97" si="2">IF(J66=0,0,K66/J66)</f>
        <v>0.99130434782608701</v>
      </c>
      <c r="M66" t="s">
        <v>16</v>
      </c>
      <c r="N66" t="s">
        <v>299</v>
      </c>
    </row>
    <row r="67" spans="1:14">
      <c r="A67" t="s">
        <v>373</v>
      </c>
      <c r="B67" s="6">
        <v>46225</v>
      </c>
      <c r="C67" t="s">
        <v>297</v>
      </c>
      <c r="D67" t="s">
        <v>302</v>
      </c>
      <c r="E67" t="s">
        <v>63</v>
      </c>
      <c r="F67" t="s">
        <v>203</v>
      </c>
      <c r="G67" t="s">
        <v>89</v>
      </c>
      <c r="H67">
        <v>4</v>
      </c>
      <c r="I67">
        <v>4</v>
      </c>
      <c r="J67">
        <v>136</v>
      </c>
      <c r="K67">
        <v>104</v>
      </c>
      <c r="L67" s="8">
        <f t="shared" si="2"/>
        <v>0.76470588235294112</v>
      </c>
      <c r="M67" t="s">
        <v>13</v>
      </c>
      <c r="N67" t="s">
        <v>299</v>
      </c>
    </row>
    <row r="68" spans="1:14">
      <c r="A68" t="s">
        <v>374</v>
      </c>
      <c r="B68" s="6">
        <v>46216</v>
      </c>
      <c r="C68" t="s">
        <v>297</v>
      </c>
      <c r="D68" t="s">
        <v>308</v>
      </c>
      <c r="E68" t="s">
        <v>81</v>
      </c>
      <c r="F68" t="s">
        <v>262</v>
      </c>
      <c r="G68" t="s">
        <v>260</v>
      </c>
      <c r="H68">
        <v>7</v>
      </c>
      <c r="I68">
        <v>8</v>
      </c>
      <c r="J68">
        <v>224</v>
      </c>
      <c r="K68">
        <v>178</v>
      </c>
      <c r="L68" s="8">
        <f t="shared" si="2"/>
        <v>0.7946428571428571</v>
      </c>
      <c r="M68" t="s">
        <v>10</v>
      </c>
      <c r="N68" t="s">
        <v>299</v>
      </c>
    </row>
    <row r="69" spans="1:14">
      <c r="A69" t="s">
        <v>375</v>
      </c>
      <c r="B69" s="6">
        <v>46200</v>
      </c>
      <c r="C69" t="s">
        <v>297</v>
      </c>
      <c r="D69" t="s">
        <v>298</v>
      </c>
      <c r="E69" t="s">
        <v>81</v>
      </c>
      <c r="F69" t="s">
        <v>87</v>
      </c>
      <c r="G69" t="s">
        <v>215</v>
      </c>
      <c r="H69">
        <v>6</v>
      </c>
      <c r="I69">
        <v>6</v>
      </c>
      <c r="J69">
        <v>89</v>
      </c>
      <c r="K69">
        <v>74</v>
      </c>
      <c r="L69" s="8">
        <f t="shared" si="2"/>
        <v>0.8314606741573034</v>
      </c>
      <c r="M69" t="s">
        <v>16</v>
      </c>
      <c r="N69" t="s">
        <v>299</v>
      </c>
    </row>
    <row r="70" spans="1:14">
      <c r="A70" t="s">
        <v>376</v>
      </c>
      <c r="B70" s="6">
        <v>46205</v>
      </c>
      <c r="C70" t="s">
        <v>297</v>
      </c>
      <c r="D70" t="s">
        <v>315</v>
      </c>
      <c r="E70" t="s">
        <v>112</v>
      </c>
      <c r="F70" t="s">
        <v>119</v>
      </c>
      <c r="G70" t="s">
        <v>244</v>
      </c>
      <c r="H70">
        <v>10</v>
      </c>
      <c r="I70">
        <v>10</v>
      </c>
      <c r="J70">
        <v>81</v>
      </c>
      <c r="K70">
        <v>80</v>
      </c>
      <c r="L70" s="8">
        <f t="shared" si="2"/>
        <v>0.98765432098765427</v>
      </c>
      <c r="M70" t="s">
        <v>13</v>
      </c>
      <c r="N70" t="s">
        <v>299</v>
      </c>
    </row>
    <row r="71" spans="1:14">
      <c r="A71" t="s">
        <v>377</v>
      </c>
      <c r="B71" s="6">
        <v>46203</v>
      </c>
      <c r="C71" t="s">
        <v>301</v>
      </c>
      <c r="D71" t="s">
        <v>308</v>
      </c>
      <c r="E71" t="s">
        <v>129</v>
      </c>
      <c r="F71" t="s">
        <v>113</v>
      </c>
      <c r="G71" t="s">
        <v>180</v>
      </c>
      <c r="H71">
        <v>10</v>
      </c>
      <c r="I71">
        <v>8</v>
      </c>
      <c r="J71">
        <v>222</v>
      </c>
      <c r="K71">
        <v>221</v>
      </c>
      <c r="L71" s="8">
        <f t="shared" si="2"/>
        <v>0.99549549549549554</v>
      </c>
      <c r="M71" t="s">
        <v>13</v>
      </c>
      <c r="N71" t="s">
        <v>299</v>
      </c>
    </row>
    <row r="72" spans="1:14">
      <c r="A72" t="s">
        <v>378</v>
      </c>
      <c r="B72" s="6">
        <v>46201</v>
      </c>
      <c r="C72" t="s">
        <v>301</v>
      </c>
      <c r="D72" t="s">
        <v>298</v>
      </c>
      <c r="E72" t="s">
        <v>76</v>
      </c>
      <c r="F72" t="s">
        <v>177</v>
      </c>
      <c r="G72" t="s">
        <v>227</v>
      </c>
      <c r="H72">
        <v>10</v>
      </c>
      <c r="I72">
        <v>9</v>
      </c>
      <c r="J72">
        <v>151</v>
      </c>
      <c r="K72">
        <v>113</v>
      </c>
      <c r="L72" s="8">
        <f t="shared" si="2"/>
        <v>0.7483443708609272</v>
      </c>
      <c r="M72" t="s">
        <v>10</v>
      </c>
      <c r="N72" t="s">
        <v>299</v>
      </c>
    </row>
    <row r="73" spans="1:14">
      <c r="A73" t="s">
        <v>379</v>
      </c>
      <c r="B73" s="6">
        <v>46228</v>
      </c>
      <c r="C73" t="s">
        <v>304</v>
      </c>
      <c r="D73" t="s">
        <v>315</v>
      </c>
      <c r="E73" t="s">
        <v>70</v>
      </c>
      <c r="F73" t="s">
        <v>98</v>
      </c>
      <c r="G73" t="s">
        <v>117</v>
      </c>
      <c r="H73">
        <v>8</v>
      </c>
      <c r="I73">
        <v>8</v>
      </c>
      <c r="J73">
        <v>135</v>
      </c>
      <c r="K73">
        <v>107</v>
      </c>
      <c r="L73" s="8">
        <f t="shared" si="2"/>
        <v>0.79259259259259263</v>
      </c>
      <c r="M73" t="s">
        <v>16</v>
      </c>
      <c r="N73" t="s">
        <v>299</v>
      </c>
    </row>
    <row r="74" spans="1:14">
      <c r="A74" t="s">
        <v>380</v>
      </c>
      <c r="B74" s="6">
        <v>46221</v>
      </c>
      <c r="C74" t="s">
        <v>304</v>
      </c>
      <c r="D74" t="s">
        <v>310</v>
      </c>
      <c r="E74" t="s">
        <v>63</v>
      </c>
      <c r="F74" t="s">
        <v>123</v>
      </c>
      <c r="G74" t="s">
        <v>235</v>
      </c>
      <c r="H74">
        <v>12</v>
      </c>
      <c r="I74">
        <v>12</v>
      </c>
      <c r="J74">
        <v>77</v>
      </c>
      <c r="K74">
        <v>58</v>
      </c>
      <c r="L74" s="8">
        <f t="shared" si="2"/>
        <v>0.75324675324675328</v>
      </c>
      <c r="M74" t="s">
        <v>16</v>
      </c>
      <c r="N74" t="s">
        <v>299</v>
      </c>
    </row>
    <row r="75" spans="1:14">
      <c r="A75" t="s">
        <v>381</v>
      </c>
      <c r="B75" s="6">
        <v>46204</v>
      </c>
      <c r="C75" t="s">
        <v>301</v>
      </c>
      <c r="D75" t="s">
        <v>302</v>
      </c>
      <c r="E75" t="s">
        <v>190</v>
      </c>
      <c r="F75" t="s">
        <v>126</v>
      </c>
      <c r="G75" t="s">
        <v>229</v>
      </c>
      <c r="H75">
        <v>2</v>
      </c>
      <c r="I75">
        <v>0</v>
      </c>
      <c r="J75">
        <v>44</v>
      </c>
      <c r="K75">
        <v>35</v>
      </c>
      <c r="L75" s="8">
        <f t="shared" si="2"/>
        <v>0.79545454545454541</v>
      </c>
      <c r="M75" t="s">
        <v>10</v>
      </c>
      <c r="N75" t="s">
        <v>299</v>
      </c>
    </row>
    <row r="76" spans="1:14">
      <c r="A76" t="s">
        <v>382</v>
      </c>
      <c r="B76" s="6">
        <v>46223</v>
      </c>
      <c r="C76" t="s">
        <v>304</v>
      </c>
      <c r="D76" t="s">
        <v>310</v>
      </c>
      <c r="E76" t="s">
        <v>190</v>
      </c>
      <c r="F76" t="s">
        <v>102</v>
      </c>
      <c r="G76" t="s">
        <v>103</v>
      </c>
      <c r="H76">
        <v>6</v>
      </c>
      <c r="I76">
        <v>5</v>
      </c>
      <c r="J76">
        <v>117</v>
      </c>
      <c r="K76">
        <v>88</v>
      </c>
      <c r="L76" s="8">
        <f t="shared" si="2"/>
        <v>0.75213675213675213</v>
      </c>
      <c r="M76" t="s">
        <v>10</v>
      </c>
      <c r="N76" t="s">
        <v>299</v>
      </c>
    </row>
    <row r="77" spans="1:14">
      <c r="A77" t="s">
        <v>383</v>
      </c>
      <c r="B77" s="6">
        <v>46214</v>
      </c>
      <c r="C77" t="s">
        <v>297</v>
      </c>
      <c r="D77" t="s">
        <v>315</v>
      </c>
      <c r="E77" t="s">
        <v>63</v>
      </c>
      <c r="F77" t="s">
        <v>87</v>
      </c>
      <c r="G77" t="s">
        <v>229</v>
      </c>
      <c r="H77">
        <v>9</v>
      </c>
      <c r="I77">
        <v>9</v>
      </c>
      <c r="J77">
        <v>177</v>
      </c>
      <c r="K77">
        <v>128</v>
      </c>
      <c r="L77" s="8">
        <f t="shared" si="2"/>
        <v>0.7231638418079096</v>
      </c>
      <c r="M77" t="s">
        <v>10</v>
      </c>
      <c r="N77" t="s">
        <v>299</v>
      </c>
    </row>
    <row r="78" spans="1:14">
      <c r="A78" t="s">
        <v>384</v>
      </c>
      <c r="B78" s="6">
        <v>46225</v>
      </c>
      <c r="C78" t="s">
        <v>297</v>
      </c>
      <c r="D78" t="s">
        <v>310</v>
      </c>
      <c r="E78" t="s">
        <v>129</v>
      </c>
      <c r="F78" t="s">
        <v>126</v>
      </c>
      <c r="G78" t="s">
        <v>211</v>
      </c>
      <c r="H78">
        <v>11</v>
      </c>
      <c r="I78">
        <v>11</v>
      </c>
      <c r="J78">
        <v>101</v>
      </c>
      <c r="K78">
        <v>91</v>
      </c>
      <c r="L78" s="8">
        <f t="shared" si="2"/>
        <v>0.90099009900990101</v>
      </c>
      <c r="M78" t="s">
        <v>10</v>
      </c>
      <c r="N78" t="s">
        <v>299</v>
      </c>
    </row>
    <row r="79" spans="1:14">
      <c r="A79" t="s">
        <v>385</v>
      </c>
      <c r="B79" s="6">
        <v>46214</v>
      </c>
      <c r="C79" t="s">
        <v>297</v>
      </c>
      <c r="D79" t="s">
        <v>306</v>
      </c>
      <c r="E79" t="s">
        <v>108</v>
      </c>
      <c r="F79" t="s">
        <v>123</v>
      </c>
      <c r="G79" t="s">
        <v>89</v>
      </c>
      <c r="H79">
        <v>10</v>
      </c>
      <c r="I79">
        <v>10</v>
      </c>
      <c r="J79">
        <v>169</v>
      </c>
      <c r="K79">
        <v>165</v>
      </c>
      <c r="L79" s="8">
        <f t="shared" si="2"/>
        <v>0.97633136094674555</v>
      </c>
      <c r="M79" t="s">
        <v>16</v>
      </c>
      <c r="N79" t="s">
        <v>299</v>
      </c>
    </row>
    <row r="80" spans="1:14">
      <c r="A80" t="s">
        <v>386</v>
      </c>
      <c r="B80" s="6">
        <v>46219</v>
      </c>
      <c r="C80" t="s">
        <v>301</v>
      </c>
      <c r="D80" t="s">
        <v>308</v>
      </c>
      <c r="E80" t="s">
        <v>85</v>
      </c>
      <c r="F80" t="s">
        <v>65</v>
      </c>
      <c r="G80" t="s">
        <v>274</v>
      </c>
      <c r="H80">
        <v>8</v>
      </c>
      <c r="I80">
        <v>8</v>
      </c>
      <c r="J80">
        <v>104</v>
      </c>
      <c r="K80">
        <v>100</v>
      </c>
      <c r="L80" s="8">
        <f t="shared" si="2"/>
        <v>0.96153846153846156</v>
      </c>
      <c r="M80" t="s">
        <v>16</v>
      </c>
      <c r="N80" t="s">
        <v>299</v>
      </c>
    </row>
    <row r="81" spans="1:14">
      <c r="A81" t="s">
        <v>387</v>
      </c>
      <c r="B81" s="6">
        <v>46220</v>
      </c>
      <c r="C81" t="s">
        <v>297</v>
      </c>
      <c r="D81" t="s">
        <v>315</v>
      </c>
      <c r="E81" t="s">
        <v>81</v>
      </c>
      <c r="F81" t="s">
        <v>123</v>
      </c>
      <c r="G81" t="s">
        <v>151</v>
      </c>
      <c r="H81">
        <v>7</v>
      </c>
      <c r="I81">
        <v>6</v>
      </c>
      <c r="J81">
        <v>51</v>
      </c>
      <c r="K81">
        <v>42</v>
      </c>
      <c r="L81" s="8">
        <f t="shared" si="2"/>
        <v>0.82352941176470584</v>
      </c>
      <c r="M81" t="s">
        <v>10</v>
      </c>
      <c r="N81" t="s">
        <v>299</v>
      </c>
    </row>
    <row r="82" spans="1:14">
      <c r="A82" t="s">
        <v>388</v>
      </c>
      <c r="B82" s="6">
        <v>46229</v>
      </c>
      <c r="C82" t="s">
        <v>304</v>
      </c>
      <c r="D82" t="s">
        <v>315</v>
      </c>
      <c r="E82" t="s">
        <v>70</v>
      </c>
      <c r="F82" t="s">
        <v>72</v>
      </c>
      <c r="G82" t="s">
        <v>89</v>
      </c>
      <c r="H82">
        <v>3</v>
      </c>
      <c r="I82">
        <v>4</v>
      </c>
      <c r="J82">
        <v>238</v>
      </c>
      <c r="K82">
        <v>245</v>
      </c>
      <c r="L82" s="8">
        <f t="shared" si="2"/>
        <v>1.0294117647058822</v>
      </c>
      <c r="M82" t="s">
        <v>13</v>
      </c>
      <c r="N82" t="s">
        <v>299</v>
      </c>
    </row>
    <row r="83" spans="1:14">
      <c r="A83" t="s">
        <v>389</v>
      </c>
      <c r="B83" s="6">
        <v>46213</v>
      </c>
      <c r="C83" t="s">
        <v>304</v>
      </c>
      <c r="D83" t="s">
        <v>308</v>
      </c>
      <c r="E83" t="s">
        <v>70</v>
      </c>
      <c r="F83" t="s">
        <v>72</v>
      </c>
      <c r="G83" t="s">
        <v>185</v>
      </c>
      <c r="H83">
        <v>6</v>
      </c>
      <c r="I83">
        <v>6</v>
      </c>
      <c r="J83">
        <v>141</v>
      </c>
      <c r="K83">
        <v>147</v>
      </c>
      <c r="L83" s="8">
        <f t="shared" si="2"/>
        <v>1.0425531914893618</v>
      </c>
      <c r="M83" t="s">
        <v>13</v>
      </c>
      <c r="N83" t="s">
        <v>299</v>
      </c>
    </row>
    <row r="84" spans="1:14">
      <c r="A84" t="s">
        <v>390</v>
      </c>
      <c r="B84" s="6">
        <v>46205</v>
      </c>
      <c r="C84" t="s">
        <v>304</v>
      </c>
      <c r="D84" t="s">
        <v>298</v>
      </c>
      <c r="E84" t="s">
        <v>108</v>
      </c>
      <c r="F84" t="s">
        <v>203</v>
      </c>
      <c r="G84" t="s">
        <v>217</v>
      </c>
      <c r="H84">
        <v>2</v>
      </c>
      <c r="I84">
        <v>3</v>
      </c>
      <c r="J84">
        <v>124</v>
      </c>
      <c r="K84">
        <v>100</v>
      </c>
      <c r="L84" s="8">
        <f t="shared" si="2"/>
        <v>0.80645161290322576</v>
      </c>
      <c r="M84" t="s">
        <v>13</v>
      </c>
      <c r="N84" t="s">
        <v>299</v>
      </c>
    </row>
    <row r="85" spans="1:14">
      <c r="A85" t="s">
        <v>391</v>
      </c>
      <c r="B85" s="6">
        <v>46201</v>
      </c>
      <c r="C85" t="s">
        <v>297</v>
      </c>
      <c r="D85" t="s">
        <v>308</v>
      </c>
      <c r="E85" t="s">
        <v>129</v>
      </c>
      <c r="F85" t="s">
        <v>167</v>
      </c>
      <c r="G85" t="s">
        <v>109</v>
      </c>
      <c r="H85">
        <v>4</v>
      </c>
      <c r="I85">
        <v>4</v>
      </c>
      <c r="J85">
        <v>217</v>
      </c>
      <c r="K85">
        <v>191</v>
      </c>
      <c r="L85" s="8">
        <f t="shared" si="2"/>
        <v>0.88018433179723499</v>
      </c>
      <c r="M85" t="s">
        <v>13</v>
      </c>
      <c r="N85" t="s">
        <v>299</v>
      </c>
    </row>
    <row r="86" spans="1:14">
      <c r="A86" t="s">
        <v>392</v>
      </c>
      <c r="B86" s="6">
        <v>46227</v>
      </c>
      <c r="C86" t="s">
        <v>301</v>
      </c>
      <c r="D86" t="s">
        <v>308</v>
      </c>
      <c r="E86" t="s">
        <v>112</v>
      </c>
      <c r="F86" t="s">
        <v>170</v>
      </c>
      <c r="G86" t="s">
        <v>235</v>
      </c>
      <c r="H86">
        <v>11</v>
      </c>
      <c r="I86">
        <v>10</v>
      </c>
      <c r="J86">
        <v>179</v>
      </c>
      <c r="K86">
        <v>146</v>
      </c>
      <c r="L86" s="8">
        <f t="shared" si="2"/>
        <v>0.81564245810055869</v>
      </c>
      <c r="M86" t="s">
        <v>16</v>
      </c>
      <c r="N86" t="s">
        <v>299</v>
      </c>
    </row>
    <row r="87" spans="1:14">
      <c r="A87" t="s">
        <v>393</v>
      </c>
      <c r="B87" s="6">
        <v>46216</v>
      </c>
      <c r="C87" t="s">
        <v>301</v>
      </c>
      <c r="D87" t="s">
        <v>310</v>
      </c>
      <c r="E87" t="s">
        <v>76</v>
      </c>
      <c r="F87" t="s">
        <v>257</v>
      </c>
      <c r="G87" t="s">
        <v>231</v>
      </c>
      <c r="H87">
        <v>8</v>
      </c>
      <c r="I87">
        <v>7</v>
      </c>
      <c r="J87">
        <v>216</v>
      </c>
      <c r="K87">
        <v>187</v>
      </c>
      <c r="L87" s="8">
        <f t="shared" si="2"/>
        <v>0.8657407407407407</v>
      </c>
      <c r="M87" t="s">
        <v>13</v>
      </c>
      <c r="N87" t="s">
        <v>299</v>
      </c>
    </row>
    <row r="88" spans="1:14">
      <c r="A88" t="s">
        <v>394</v>
      </c>
      <c r="B88" s="6">
        <v>46218</v>
      </c>
      <c r="C88" t="s">
        <v>304</v>
      </c>
      <c r="D88" t="s">
        <v>302</v>
      </c>
      <c r="E88" t="s">
        <v>63</v>
      </c>
      <c r="F88" t="s">
        <v>177</v>
      </c>
      <c r="G88" t="s">
        <v>135</v>
      </c>
      <c r="H88">
        <v>12</v>
      </c>
      <c r="I88">
        <v>10</v>
      </c>
      <c r="J88">
        <v>59</v>
      </c>
      <c r="K88">
        <v>55</v>
      </c>
      <c r="L88" s="8">
        <f t="shared" si="2"/>
        <v>0.93220338983050843</v>
      </c>
      <c r="M88" t="s">
        <v>16</v>
      </c>
      <c r="N88" t="s">
        <v>299</v>
      </c>
    </row>
    <row r="89" spans="1:14">
      <c r="A89" t="s">
        <v>395</v>
      </c>
      <c r="B89" s="6">
        <v>46223</v>
      </c>
      <c r="C89" t="s">
        <v>297</v>
      </c>
      <c r="D89" t="s">
        <v>308</v>
      </c>
      <c r="E89" t="s">
        <v>76</v>
      </c>
      <c r="F89" t="s">
        <v>144</v>
      </c>
      <c r="G89" t="s">
        <v>269</v>
      </c>
      <c r="H89">
        <v>12</v>
      </c>
      <c r="I89">
        <v>12</v>
      </c>
      <c r="J89">
        <v>48</v>
      </c>
      <c r="K89">
        <v>36</v>
      </c>
      <c r="L89" s="8">
        <f t="shared" si="2"/>
        <v>0.75</v>
      </c>
      <c r="M89" t="s">
        <v>10</v>
      </c>
      <c r="N89" t="s">
        <v>299</v>
      </c>
    </row>
    <row r="90" spans="1:14">
      <c r="A90" t="s">
        <v>396</v>
      </c>
      <c r="B90" s="6">
        <v>46219</v>
      </c>
      <c r="C90" t="s">
        <v>304</v>
      </c>
      <c r="D90" t="s">
        <v>298</v>
      </c>
      <c r="E90" t="s">
        <v>129</v>
      </c>
      <c r="F90" t="s">
        <v>132</v>
      </c>
      <c r="G90" t="s">
        <v>133</v>
      </c>
      <c r="H90">
        <v>11</v>
      </c>
      <c r="I90">
        <v>10</v>
      </c>
      <c r="J90">
        <v>213</v>
      </c>
      <c r="K90">
        <v>184</v>
      </c>
      <c r="L90" s="8">
        <f t="shared" si="2"/>
        <v>0.863849765258216</v>
      </c>
      <c r="M90" t="s">
        <v>16</v>
      </c>
      <c r="N90" t="s">
        <v>299</v>
      </c>
    </row>
    <row r="91" spans="1:14">
      <c r="A91" t="s">
        <v>397</v>
      </c>
      <c r="B91" s="6">
        <v>46223</v>
      </c>
      <c r="C91" t="s">
        <v>301</v>
      </c>
      <c r="D91" t="s">
        <v>306</v>
      </c>
      <c r="E91" t="s">
        <v>63</v>
      </c>
      <c r="F91" t="s">
        <v>273</v>
      </c>
      <c r="G91" t="s">
        <v>255</v>
      </c>
      <c r="H91">
        <v>7</v>
      </c>
      <c r="I91">
        <v>7</v>
      </c>
      <c r="J91">
        <v>120</v>
      </c>
      <c r="K91">
        <v>112</v>
      </c>
      <c r="L91" s="8">
        <f t="shared" si="2"/>
        <v>0.93333333333333335</v>
      </c>
      <c r="M91" t="s">
        <v>13</v>
      </c>
      <c r="N91" t="s">
        <v>299</v>
      </c>
    </row>
  </sheetData>
  <conditionalFormatting sqref="L2:L91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M2:M91">
    <cfRule type="expression" dxfId="1" priority="2">
      <formula>M2="Exception"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3"/>
  <sheetViews>
    <sheetView workbookViewId="0"/>
  </sheetViews>
  <sheetFormatPr defaultRowHeight="13.8"/>
  <cols>
    <col min="1" max="1" width="12" customWidth="1"/>
    <col min="2" max="2" width="13" customWidth="1"/>
    <col min="3" max="3" width="18" customWidth="1"/>
    <col min="4" max="4" width="20" customWidth="1"/>
    <col min="5" max="5" width="16" customWidth="1"/>
    <col min="6" max="6" width="15" customWidth="1"/>
    <col min="7" max="7" width="14" customWidth="1"/>
    <col min="8" max="8" width="16" customWidth="1"/>
    <col min="9" max="9" width="17" customWidth="1"/>
    <col min="10" max="10" width="13" customWidth="1"/>
    <col min="11" max="11" width="22" customWidth="1"/>
    <col min="12" max="12" width="26" customWidth="1"/>
  </cols>
  <sheetData>
    <row r="1" spans="1:12">
      <c r="A1" s="9" t="s">
        <v>398</v>
      </c>
      <c r="B1" s="9" t="s">
        <v>399</v>
      </c>
      <c r="C1" s="9" t="s">
        <v>47</v>
      </c>
      <c r="D1" s="9" t="s">
        <v>400</v>
      </c>
      <c r="E1" s="9" t="s">
        <v>401</v>
      </c>
      <c r="F1" s="9" t="s">
        <v>402</v>
      </c>
      <c r="G1" s="9" t="s">
        <v>403</v>
      </c>
      <c r="H1" s="9" t="s">
        <v>404</v>
      </c>
      <c r="I1" s="9" t="s">
        <v>54</v>
      </c>
      <c r="J1" s="9" t="s">
        <v>405</v>
      </c>
      <c r="K1" s="9" t="s">
        <v>406</v>
      </c>
      <c r="L1" s="9" t="s">
        <v>59</v>
      </c>
    </row>
    <row r="2" spans="1:12">
      <c r="A2" t="s">
        <v>407</v>
      </c>
      <c r="B2" t="s">
        <v>408</v>
      </c>
      <c r="C2" t="s">
        <v>112</v>
      </c>
      <c r="D2" t="s">
        <v>22</v>
      </c>
      <c r="E2">
        <v>655</v>
      </c>
      <c r="F2">
        <v>485</v>
      </c>
      <c r="G2" s="8">
        <f t="shared" ref="G2:G33" si="0">IF(E2=0,0,F2/E2)</f>
        <v>0.74045801526717558</v>
      </c>
      <c r="H2" t="s">
        <v>409</v>
      </c>
      <c r="I2" s="5">
        <v>172399</v>
      </c>
      <c r="J2">
        <v>2</v>
      </c>
      <c r="K2" t="s">
        <v>410</v>
      </c>
      <c r="L2" t="s">
        <v>411</v>
      </c>
    </row>
    <row r="3" spans="1:12">
      <c r="A3" t="s">
        <v>412</v>
      </c>
      <c r="B3" t="s">
        <v>413</v>
      </c>
      <c r="C3" t="s">
        <v>129</v>
      </c>
      <c r="D3" t="s">
        <v>18</v>
      </c>
      <c r="E3">
        <v>284</v>
      </c>
      <c r="F3">
        <v>199</v>
      </c>
      <c r="G3" s="8">
        <f t="shared" si="0"/>
        <v>0.70070422535211263</v>
      </c>
      <c r="H3" t="s">
        <v>409</v>
      </c>
      <c r="I3" s="5">
        <v>128683</v>
      </c>
      <c r="J3">
        <v>0</v>
      </c>
      <c r="K3" t="s">
        <v>414</v>
      </c>
      <c r="L3" t="s">
        <v>411</v>
      </c>
    </row>
    <row r="4" spans="1:12">
      <c r="A4" t="s">
        <v>415</v>
      </c>
      <c r="B4" t="s">
        <v>416</v>
      </c>
      <c r="C4" t="s">
        <v>97</v>
      </c>
      <c r="D4" t="s">
        <v>15</v>
      </c>
      <c r="E4">
        <v>435</v>
      </c>
      <c r="F4">
        <v>298</v>
      </c>
      <c r="G4" s="8">
        <f t="shared" si="0"/>
        <v>0.68505747126436778</v>
      </c>
      <c r="H4" t="s">
        <v>417</v>
      </c>
      <c r="I4" s="5">
        <v>53289</v>
      </c>
      <c r="J4">
        <v>5</v>
      </c>
      <c r="K4" t="s">
        <v>418</v>
      </c>
      <c r="L4" t="s">
        <v>411</v>
      </c>
    </row>
    <row r="5" spans="1:12">
      <c r="A5" t="s">
        <v>419</v>
      </c>
      <c r="B5" t="s">
        <v>413</v>
      </c>
      <c r="C5" t="s">
        <v>129</v>
      </c>
      <c r="D5" t="s">
        <v>12</v>
      </c>
      <c r="E5">
        <v>450</v>
      </c>
      <c r="F5">
        <v>422</v>
      </c>
      <c r="G5" s="8">
        <f t="shared" si="0"/>
        <v>0.93777777777777782</v>
      </c>
      <c r="H5" t="s">
        <v>417</v>
      </c>
      <c r="I5" s="5">
        <v>74058</v>
      </c>
      <c r="J5">
        <v>6</v>
      </c>
      <c r="K5" t="s">
        <v>410</v>
      </c>
      <c r="L5" t="s">
        <v>411</v>
      </c>
    </row>
    <row r="6" spans="1:12">
      <c r="A6" t="s">
        <v>420</v>
      </c>
      <c r="B6" t="s">
        <v>416</v>
      </c>
      <c r="C6" t="s">
        <v>190</v>
      </c>
      <c r="D6" t="s">
        <v>15</v>
      </c>
      <c r="E6">
        <v>106</v>
      </c>
      <c r="F6">
        <v>91</v>
      </c>
      <c r="G6" s="8">
        <f t="shared" si="0"/>
        <v>0.85849056603773588</v>
      </c>
      <c r="H6" t="s">
        <v>409</v>
      </c>
      <c r="I6" s="5">
        <v>156610</v>
      </c>
      <c r="J6">
        <v>1</v>
      </c>
      <c r="K6" t="s">
        <v>421</v>
      </c>
      <c r="L6" t="s">
        <v>411</v>
      </c>
    </row>
    <row r="7" spans="1:12">
      <c r="A7" t="s">
        <v>422</v>
      </c>
      <c r="B7" t="s">
        <v>423</v>
      </c>
      <c r="C7" t="s">
        <v>81</v>
      </c>
      <c r="D7" t="s">
        <v>20</v>
      </c>
      <c r="E7">
        <v>147</v>
      </c>
      <c r="F7">
        <v>114</v>
      </c>
      <c r="G7" s="8">
        <f t="shared" si="0"/>
        <v>0.77551020408163263</v>
      </c>
      <c r="H7" t="s">
        <v>409</v>
      </c>
      <c r="I7" s="5">
        <v>119330</v>
      </c>
      <c r="J7">
        <v>6</v>
      </c>
      <c r="K7" t="s">
        <v>421</v>
      </c>
      <c r="L7" t="s">
        <v>411</v>
      </c>
    </row>
    <row r="8" spans="1:12">
      <c r="A8" t="s">
        <v>424</v>
      </c>
      <c r="B8" t="s">
        <v>425</v>
      </c>
      <c r="C8" t="s">
        <v>129</v>
      </c>
      <c r="D8" t="s">
        <v>18</v>
      </c>
      <c r="E8">
        <v>208</v>
      </c>
      <c r="F8">
        <v>175</v>
      </c>
      <c r="G8" s="8">
        <f t="shared" si="0"/>
        <v>0.84134615384615385</v>
      </c>
      <c r="H8" t="s">
        <v>409</v>
      </c>
      <c r="I8" s="5">
        <v>147622</v>
      </c>
      <c r="J8">
        <v>2</v>
      </c>
      <c r="K8" t="s">
        <v>418</v>
      </c>
      <c r="L8" t="s">
        <v>411</v>
      </c>
    </row>
    <row r="9" spans="1:12">
      <c r="A9" t="s">
        <v>426</v>
      </c>
      <c r="B9" t="s">
        <v>413</v>
      </c>
      <c r="C9" t="s">
        <v>108</v>
      </c>
      <c r="D9" t="s">
        <v>20</v>
      </c>
      <c r="E9">
        <v>644</v>
      </c>
      <c r="F9">
        <v>511</v>
      </c>
      <c r="G9" s="8">
        <f t="shared" si="0"/>
        <v>0.79347826086956519</v>
      </c>
      <c r="H9" t="s">
        <v>417</v>
      </c>
      <c r="I9" s="5">
        <v>26526</v>
      </c>
      <c r="J9">
        <v>6</v>
      </c>
      <c r="K9" t="s">
        <v>421</v>
      </c>
      <c r="L9" t="s">
        <v>411</v>
      </c>
    </row>
    <row r="10" spans="1:12">
      <c r="A10" t="s">
        <v>427</v>
      </c>
      <c r="B10" t="s">
        <v>408</v>
      </c>
      <c r="C10" t="s">
        <v>63</v>
      </c>
      <c r="D10" t="s">
        <v>12</v>
      </c>
      <c r="E10">
        <v>610</v>
      </c>
      <c r="F10">
        <v>435</v>
      </c>
      <c r="G10" s="8">
        <f t="shared" si="0"/>
        <v>0.71311475409836067</v>
      </c>
      <c r="H10" t="s">
        <v>409</v>
      </c>
      <c r="I10" s="5">
        <v>71105</v>
      </c>
      <c r="J10">
        <v>2</v>
      </c>
      <c r="K10" t="s">
        <v>414</v>
      </c>
      <c r="L10" t="s">
        <v>411</v>
      </c>
    </row>
    <row r="11" spans="1:12">
      <c r="A11" t="s">
        <v>428</v>
      </c>
      <c r="B11" t="s">
        <v>413</v>
      </c>
      <c r="C11" t="s">
        <v>97</v>
      </c>
      <c r="D11" t="s">
        <v>15</v>
      </c>
      <c r="E11">
        <v>160</v>
      </c>
      <c r="F11">
        <v>136</v>
      </c>
      <c r="G11" s="8">
        <f t="shared" si="0"/>
        <v>0.85</v>
      </c>
      <c r="H11" t="s">
        <v>409</v>
      </c>
      <c r="I11" s="5">
        <v>91383</v>
      </c>
      <c r="J11">
        <v>4</v>
      </c>
      <c r="K11" t="s">
        <v>421</v>
      </c>
      <c r="L11" t="s">
        <v>411</v>
      </c>
    </row>
    <row r="12" spans="1:12">
      <c r="A12" t="s">
        <v>429</v>
      </c>
      <c r="B12" t="s">
        <v>413</v>
      </c>
      <c r="C12" t="s">
        <v>190</v>
      </c>
      <c r="D12" t="s">
        <v>20</v>
      </c>
      <c r="E12">
        <v>594</v>
      </c>
      <c r="F12">
        <v>550</v>
      </c>
      <c r="G12" s="8">
        <f t="shared" si="0"/>
        <v>0.92592592592592593</v>
      </c>
      <c r="H12" t="s">
        <v>409</v>
      </c>
      <c r="I12" s="5">
        <v>175703</v>
      </c>
      <c r="J12">
        <v>5</v>
      </c>
      <c r="K12" t="s">
        <v>414</v>
      </c>
      <c r="L12" t="s">
        <v>411</v>
      </c>
    </row>
    <row r="13" spans="1:12">
      <c r="A13" t="s">
        <v>430</v>
      </c>
      <c r="B13" t="s">
        <v>431</v>
      </c>
      <c r="C13" t="s">
        <v>129</v>
      </c>
      <c r="D13" t="s">
        <v>9</v>
      </c>
      <c r="E13">
        <v>657</v>
      </c>
      <c r="F13">
        <v>448</v>
      </c>
      <c r="G13" s="8">
        <f t="shared" si="0"/>
        <v>0.68188736681887363</v>
      </c>
      <c r="H13" t="s">
        <v>432</v>
      </c>
      <c r="I13" s="5">
        <v>163197</v>
      </c>
      <c r="J13">
        <v>2</v>
      </c>
      <c r="K13" t="s">
        <v>418</v>
      </c>
      <c r="L13" t="s">
        <v>411</v>
      </c>
    </row>
    <row r="14" spans="1:12">
      <c r="A14" t="s">
        <v>433</v>
      </c>
      <c r="B14" t="s">
        <v>416</v>
      </c>
      <c r="C14" t="s">
        <v>70</v>
      </c>
      <c r="D14" t="s">
        <v>18</v>
      </c>
      <c r="E14">
        <v>665</v>
      </c>
      <c r="F14">
        <v>645</v>
      </c>
      <c r="G14" s="8">
        <f t="shared" si="0"/>
        <v>0.96992481203007519</v>
      </c>
      <c r="H14" t="s">
        <v>417</v>
      </c>
      <c r="I14" s="5">
        <v>155019</v>
      </c>
      <c r="J14">
        <v>2</v>
      </c>
      <c r="K14" t="s">
        <v>414</v>
      </c>
      <c r="L14" t="s">
        <v>411</v>
      </c>
    </row>
    <row r="15" spans="1:12">
      <c r="A15" t="s">
        <v>434</v>
      </c>
      <c r="B15" t="s">
        <v>425</v>
      </c>
      <c r="C15" t="s">
        <v>108</v>
      </c>
      <c r="D15" t="s">
        <v>15</v>
      </c>
      <c r="E15">
        <v>574</v>
      </c>
      <c r="F15">
        <v>435</v>
      </c>
      <c r="G15" s="8">
        <f t="shared" si="0"/>
        <v>0.75783972125435539</v>
      </c>
      <c r="H15" t="s">
        <v>409</v>
      </c>
      <c r="I15" s="5">
        <v>27705</v>
      </c>
      <c r="J15">
        <v>1</v>
      </c>
      <c r="K15" t="s">
        <v>410</v>
      </c>
      <c r="L15" t="s">
        <v>411</v>
      </c>
    </row>
    <row r="16" spans="1:12">
      <c r="A16" t="s">
        <v>435</v>
      </c>
      <c r="B16" t="s">
        <v>423</v>
      </c>
      <c r="C16" t="s">
        <v>85</v>
      </c>
      <c r="D16" t="s">
        <v>15</v>
      </c>
      <c r="E16">
        <v>505</v>
      </c>
      <c r="F16">
        <v>451</v>
      </c>
      <c r="G16" s="8">
        <f t="shared" si="0"/>
        <v>0.89306930693069309</v>
      </c>
      <c r="H16" t="s">
        <v>409</v>
      </c>
      <c r="I16" s="5">
        <v>93941</v>
      </c>
      <c r="J16">
        <v>6</v>
      </c>
      <c r="K16" t="s">
        <v>414</v>
      </c>
      <c r="L16" t="s">
        <v>411</v>
      </c>
    </row>
    <row r="17" spans="1:12">
      <c r="A17" t="s">
        <v>436</v>
      </c>
      <c r="B17" t="s">
        <v>413</v>
      </c>
      <c r="C17" t="s">
        <v>76</v>
      </c>
      <c r="D17" t="s">
        <v>20</v>
      </c>
      <c r="E17">
        <v>433</v>
      </c>
      <c r="F17">
        <v>383</v>
      </c>
      <c r="G17" s="8">
        <f t="shared" si="0"/>
        <v>0.88452655889145493</v>
      </c>
      <c r="H17" t="s">
        <v>409</v>
      </c>
      <c r="I17" s="5">
        <v>95654</v>
      </c>
      <c r="J17">
        <v>1</v>
      </c>
      <c r="K17" t="s">
        <v>410</v>
      </c>
      <c r="L17" t="s">
        <v>411</v>
      </c>
    </row>
    <row r="18" spans="1:12">
      <c r="A18" t="s">
        <v>437</v>
      </c>
      <c r="B18" t="s">
        <v>423</v>
      </c>
      <c r="C18" t="s">
        <v>85</v>
      </c>
      <c r="D18" t="s">
        <v>12</v>
      </c>
      <c r="E18">
        <v>205</v>
      </c>
      <c r="F18">
        <v>167</v>
      </c>
      <c r="G18" s="8">
        <f t="shared" si="0"/>
        <v>0.81463414634146336</v>
      </c>
      <c r="H18" t="s">
        <v>409</v>
      </c>
      <c r="I18" s="5">
        <v>88077</v>
      </c>
      <c r="J18">
        <v>3</v>
      </c>
      <c r="K18" t="s">
        <v>410</v>
      </c>
      <c r="L18" t="s">
        <v>411</v>
      </c>
    </row>
    <row r="19" spans="1:12">
      <c r="A19" t="s">
        <v>438</v>
      </c>
      <c r="B19" t="s">
        <v>408</v>
      </c>
      <c r="C19" t="s">
        <v>190</v>
      </c>
      <c r="D19" t="s">
        <v>22</v>
      </c>
      <c r="E19">
        <v>334</v>
      </c>
      <c r="F19">
        <v>257</v>
      </c>
      <c r="G19" s="8">
        <f t="shared" si="0"/>
        <v>0.76946107784431139</v>
      </c>
      <c r="H19" t="s">
        <v>409</v>
      </c>
      <c r="I19" s="5">
        <v>53770</v>
      </c>
      <c r="J19">
        <v>3</v>
      </c>
      <c r="K19" t="s">
        <v>410</v>
      </c>
      <c r="L19" t="s">
        <v>411</v>
      </c>
    </row>
    <row r="20" spans="1:12">
      <c r="A20" t="s">
        <v>439</v>
      </c>
      <c r="B20" t="s">
        <v>408</v>
      </c>
      <c r="C20" t="s">
        <v>81</v>
      </c>
      <c r="D20" t="s">
        <v>9</v>
      </c>
      <c r="E20">
        <v>590</v>
      </c>
      <c r="F20">
        <v>608</v>
      </c>
      <c r="G20" s="8">
        <f t="shared" si="0"/>
        <v>1.0305084745762711</v>
      </c>
      <c r="H20" t="s">
        <v>409</v>
      </c>
      <c r="I20" s="5">
        <v>115086</v>
      </c>
      <c r="J20">
        <v>4</v>
      </c>
      <c r="K20" t="s">
        <v>410</v>
      </c>
      <c r="L20" t="s">
        <v>411</v>
      </c>
    </row>
    <row r="21" spans="1:12">
      <c r="A21" t="s">
        <v>440</v>
      </c>
      <c r="B21" t="s">
        <v>416</v>
      </c>
      <c r="C21" t="s">
        <v>76</v>
      </c>
      <c r="D21" t="s">
        <v>9</v>
      </c>
      <c r="E21">
        <v>326</v>
      </c>
      <c r="F21">
        <v>266</v>
      </c>
      <c r="G21" s="8">
        <f t="shared" si="0"/>
        <v>0.81595092024539873</v>
      </c>
      <c r="H21" t="s">
        <v>409</v>
      </c>
      <c r="I21" s="5">
        <v>141733</v>
      </c>
      <c r="J21">
        <v>4</v>
      </c>
      <c r="K21" t="s">
        <v>410</v>
      </c>
      <c r="L21" t="s">
        <v>411</v>
      </c>
    </row>
    <row r="22" spans="1:12">
      <c r="A22" t="s">
        <v>441</v>
      </c>
      <c r="B22" t="s">
        <v>431</v>
      </c>
      <c r="C22" t="s">
        <v>129</v>
      </c>
      <c r="D22" t="s">
        <v>18</v>
      </c>
      <c r="E22">
        <v>372</v>
      </c>
      <c r="F22">
        <v>378</v>
      </c>
      <c r="G22" s="8">
        <f t="shared" si="0"/>
        <v>1.0161290322580645</v>
      </c>
      <c r="H22" t="s">
        <v>409</v>
      </c>
      <c r="I22" s="5">
        <v>81329</v>
      </c>
      <c r="J22">
        <v>5</v>
      </c>
      <c r="K22" t="s">
        <v>414</v>
      </c>
      <c r="L22" t="s">
        <v>411</v>
      </c>
    </row>
    <row r="23" spans="1:12">
      <c r="A23" t="s">
        <v>442</v>
      </c>
      <c r="B23" t="s">
        <v>431</v>
      </c>
      <c r="C23" t="s">
        <v>108</v>
      </c>
      <c r="D23" t="s">
        <v>9</v>
      </c>
      <c r="E23">
        <v>492</v>
      </c>
      <c r="F23">
        <v>412</v>
      </c>
      <c r="G23" s="8">
        <f t="shared" si="0"/>
        <v>0.83739837398373984</v>
      </c>
      <c r="H23" t="s">
        <v>409</v>
      </c>
      <c r="I23" s="5">
        <v>63027</v>
      </c>
      <c r="J23">
        <v>2</v>
      </c>
      <c r="K23" t="s">
        <v>414</v>
      </c>
      <c r="L23" t="s">
        <v>411</v>
      </c>
    </row>
    <row r="24" spans="1:12">
      <c r="A24" t="s">
        <v>443</v>
      </c>
      <c r="B24" t="s">
        <v>416</v>
      </c>
      <c r="C24" t="s">
        <v>81</v>
      </c>
      <c r="D24" t="s">
        <v>20</v>
      </c>
      <c r="E24">
        <v>155</v>
      </c>
      <c r="F24">
        <v>124</v>
      </c>
      <c r="G24" s="8">
        <f t="shared" si="0"/>
        <v>0.8</v>
      </c>
      <c r="H24" t="s">
        <v>409</v>
      </c>
      <c r="I24" s="5">
        <v>175379</v>
      </c>
      <c r="J24">
        <v>5</v>
      </c>
      <c r="K24" t="s">
        <v>421</v>
      </c>
      <c r="L24" t="s">
        <v>411</v>
      </c>
    </row>
    <row r="25" spans="1:12">
      <c r="A25" t="s">
        <v>444</v>
      </c>
      <c r="B25" t="s">
        <v>423</v>
      </c>
      <c r="C25" t="s">
        <v>76</v>
      </c>
      <c r="D25" t="s">
        <v>15</v>
      </c>
      <c r="E25">
        <v>211</v>
      </c>
      <c r="F25">
        <v>149</v>
      </c>
      <c r="G25" s="8">
        <f t="shared" si="0"/>
        <v>0.70616113744075826</v>
      </c>
      <c r="H25" t="s">
        <v>409</v>
      </c>
      <c r="I25" s="5">
        <v>107841</v>
      </c>
      <c r="J25">
        <v>6</v>
      </c>
      <c r="K25" t="s">
        <v>418</v>
      </c>
      <c r="L25" t="s">
        <v>411</v>
      </c>
    </row>
    <row r="26" spans="1:12">
      <c r="A26" t="s">
        <v>445</v>
      </c>
      <c r="B26" t="s">
        <v>416</v>
      </c>
      <c r="C26" t="s">
        <v>108</v>
      </c>
      <c r="D26" t="s">
        <v>20</v>
      </c>
      <c r="E26">
        <v>283</v>
      </c>
      <c r="F26">
        <v>260</v>
      </c>
      <c r="G26" s="8">
        <f t="shared" si="0"/>
        <v>0.91872791519434627</v>
      </c>
      <c r="H26" t="s">
        <v>409</v>
      </c>
      <c r="I26" s="5">
        <v>22201</v>
      </c>
      <c r="J26">
        <v>1</v>
      </c>
      <c r="K26" t="s">
        <v>414</v>
      </c>
      <c r="L26" t="s">
        <v>411</v>
      </c>
    </row>
    <row r="27" spans="1:12">
      <c r="A27" t="s">
        <v>446</v>
      </c>
      <c r="B27" t="s">
        <v>423</v>
      </c>
      <c r="C27" t="s">
        <v>63</v>
      </c>
      <c r="D27" t="s">
        <v>20</v>
      </c>
      <c r="E27">
        <v>565</v>
      </c>
      <c r="F27">
        <v>499</v>
      </c>
      <c r="G27" s="8">
        <f t="shared" si="0"/>
        <v>0.88318584070796458</v>
      </c>
      <c r="H27" t="s">
        <v>417</v>
      </c>
      <c r="I27" s="5">
        <v>48642</v>
      </c>
      <c r="J27">
        <v>2</v>
      </c>
      <c r="K27" t="s">
        <v>414</v>
      </c>
      <c r="L27" t="s">
        <v>411</v>
      </c>
    </row>
    <row r="28" spans="1:12">
      <c r="A28" t="s">
        <v>447</v>
      </c>
      <c r="B28" t="s">
        <v>416</v>
      </c>
      <c r="C28" t="s">
        <v>112</v>
      </c>
      <c r="D28" t="s">
        <v>20</v>
      </c>
      <c r="E28">
        <v>246</v>
      </c>
      <c r="F28">
        <v>209</v>
      </c>
      <c r="G28" s="8">
        <f t="shared" si="0"/>
        <v>0.84959349593495936</v>
      </c>
      <c r="H28" t="s">
        <v>409</v>
      </c>
      <c r="I28" s="5">
        <v>145618</v>
      </c>
      <c r="J28">
        <v>4</v>
      </c>
      <c r="K28" t="s">
        <v>410</v>
      </c>
      <c r="L28" t="s">
        <v>411</v>
      </c>
    </row>
    <row r="29" spans="1:12">
      <c r="A29" t="s">
        <v>448</v>
      </c>
      <c r="B29" t="s">
        <v>423</v>
      </c>
      <c r="C29" t="s">
        <v>70</v>
      </c>
      <c r="D29" t="s">
        <v>15</v>
      </c>
      <c r="E29">
        <v>656</v>
      </c>
      <c r="F29">
        <v>579</v>
      </c>
      <c r="G29" s="8">
        <f t="shared" si="0"/>
        <v>0.88262195121951215</v>
      </c>
      <c r="H29" t="s">
        <v>409</v>
      </c>
      <c r="I29" s="5">
        <v>40732</v>
      </c>
      <c r="J29">
        <v>3</v>
      </c>
      <c r="K29" t="s">
        <v>414</v>
      </c>
      <c r="L29" t="s">
        <v>411</v>
      </c>
    </row>
    <row r="30" spans="1:12">
      <c r="A30" t="s">
        <v>449</v>
      </c>
      <c r="B30" t="s">
        <v>423</v>
      </c>
      <c r="C30" t="s">
        <v>112</v>
      </c>
      <c r="D30" t="s">
        <v>22</v>
      </c>
      <c r="E30">
        <v>107</v>
      </c>
      <c r="F30">
        <v>107</v>
      </c>
      <c r="G30" s="8">
        <f t="shared" si="0"/>
        <v>1</v>
      </c>
      <c r="H30" t="s">
        <v>417</v>
      </c>
      <c r="I30" s="5">
        <v>163643</v>
      </c>
      <c r="J30">
        <v>4</v>
      </c>
      <c r="K30" t="s">
        <v>418</v>
      </c>
      <c r="L30" t="s">
        <v>411</v>
      </c>
    </row>
    <row r="31" spans="1:12">
      <c r="A31" t="s">
        <v>450</v>
      </c>
      <c r="B31" t="s">
        <v>423</v>
      </c>
      <c r="C31" t="s">
        <v>63</v>
      </c>
      <c r="D31" t="s">
        <v>20</v>
      </c>
      <c r="E31">
        <v>132</v>
      </c>
      <c r="F31">
        <v>122</v>
      </c>
      <c r="G31" s="8">
        <f t="shared" si="0"/>
        <v>0.9242424242424242</v>
      </c>
      <c r="H31" t="s">
        <v>409</v>
      </c>
      <c r="I31" s="5">
        <v>174460</v>
      </c>
      <c r="J31">
        <v>6</v>
      </c>
      <c r="K31" t="s">
        <v>410</v>
      </c>
      <c r="L31" t="s">
        <v>411</v>
      </c>
    </row>
    <row r="32" spans="1:12">
      <c r="A32" t="s">
        <v>451</v>
      </c>
      <c r="B32" t="s">
        <v>413</v>
      </c>
      <c r="C32" t="s">
        <v>70</v>
      </c>
      <c r="D32" t="s">
        <v>20</v>
      </c>
      <c r="E32">
        <v>231</v>
      </c>
      <c r="F32">
        <v>237</v>
      </c>
      <c r="G32" s="8">
        <f t="shared" si="0"/>
        <v>1.025974025974026</v>
      </c>
      <c r="H32" t="s">
        <v>432</v>
      </c>
      <c r="I32" s="5">
        <v>40808</v>
      </c>
      <c r="J32">
        <v>1</v>
      </c>
      <c r="K32" t="s">
        <v>421</v>
      </c>
      <c r="L32" t="s">
        <v>411</v>
      </c>
    </row>
    <row r="33" spans="1:12">
      <c r="A33" t="s">
        <v>452</v>
      </c>
      <c r="B33" t="s">
        <v>423</v>
      </c>
      <c r="C33" t="s">
        <v>63</v>
      </c>
      <c r="D33" t="s">
        <v>18</v>
      </c>
      <c r="E33">
        <v>531</v>
      </c>
      <c r="F33">
        <v>425</v>
      </c>
      <c r="G33" s="8">
        <f t="shared" si="0"/>
        <v>0.80037664783427498</v>
      </c>
      <c r="H33" t="s">
        <v>409</v>
      </c>
      <c r="I33" s="5">
        <v>119577</v>
      </c>
      <c r="J33">
        <v>4</v>
      </c>
      <c r="K33" t="s">
        <v>410</v>
      </c>
      <c r="L33" t="s">
        <v>411</v>
      </c>
    </row>
    <row r="34" spans="1:12">
      <c r="A34" t="s">
        <v>453</v>
      </c>
      <c r="B34" t="s">
        <v>413</v>
      </c>
      <c r="C34" t="s">
        <v>97</v>
      </c>
      <c r="D34" t="s">
        <v>12</v>
      </c>
      <c r="E34">
        <v>143</v>
      </c>
      <c r="F34">
        <v>137</v>
      </c>
      <c r="G34" s="8">
        <f t="shared" ref="G34:G65" si="1">IF(E34=0,0,F34/E34)</f>
        <v>0.95804195804195802</v>
      </c>
      <c r="H34" t="s">
        <v>409</v>
      </c>
      <c r="I34" s="5">
        <v>137402</v>
      </c>
      <c r="J34">
        <v>4</v>
      </c>
      <c r="K34" t="s">
        <v>410</v>
      </c>
      <c r="L34" t="s">
        <v>411</v>
      </c>
    </row>
    <row r="35" spans="1:12">
      <c r="A35" t="s">
        <v>454</v>
      </c>
      <c r="B35" t="s">
        <v>423</v>
      </c>
      <c r="C35" t="s">
        <v>97</v>
      </c>
      <c r="D35" t="s">
        <v>15</v>
      </c>
      <c r="E35">
        <v>401</v>
      </c>
      <c r="F35">
        <v>304</v>
      </c>
      <c r="G35" s="8">
        <f t="shared" si="1"/>
        <v>0.75810473815461343</v>
      </c>
      <c r="H35" t="s">
        <v>409</v>
      </c>
      <c r="I35" s="5">
        <v>81300</v>
      </c>
      <c r="J35">
        <v>4</v>
      </c>
      <c r="K35" t="s">
        <v>410</v>
      </c>
      <c r="L35" t="s">
        <v>411</v>
      </c>
    </row>
    <row r="36" spans="1:12">
      <c r="A36" t="s">
        <v>455</v>
      </c>
      <c r="B36" t="s">
        <v>408</v>
      </c>
      <c r="C36" t="s">
        <v>97</v>
      </c>
      <c r="D36" t="s">
        <v>15</v>
      </c>
      <c r="E36">
        <v>276</v>
      </c>
      <c r="F36">
        <v>210</v>
      </c>
      <c r="G36" s="8">
        <f t="shared" si="1"/>
        <v>0.76086956521739135</v>
      </c>
      <c r="H36" t="s">
        <v>409</v>
      </c>
      <c r="I36" s="5">
        <v>90017</v>
      </c>
      <c r="J36">
        <v>6</v>
      </c>
      <c r="K36" t="s">
        <v>414</v>
      </c>
      <c r="L36" t="s">
        <v>411</v>
      </c>
    </row>
    <row r="37" spans="1:12">
      <c r="A37" t="s">
        <v>456</v>
      </c>
      <c r="B37" t="s">
        <v>425</v>
      </c>
      <c r="C37" t="s">
        <v>81</v>
      </c>
      <c r="D37" t="s">
        <v>15</v>
      </c>
      <c r="E37">
        <v>292</v>
      </c>
      <c r="F37">
        <v>277</v>
      </c>
      <c r="G37" s="8">
        <f t="shared" si="1"/>
        <v>0.94863013698630139</v>
      </c>
      <c r="H37" t="s">
        <v>409</v>
      </c>
      <c r="I37" s="5">
        <v>158928</v>
      </c>
      <c r="J37">
        <v>6</v>
      </c>
      <c r="K37" t="s">
        <v>414</v>
      </c>
      <c r="L37" t="s">
        <v>411</v>
      </c>
    </row>
    <row r="38" spans="1:12">
      <c r="A38" t="s">
        <v>457</v>
      </c>
      <c r="B38" t="s">
        <v>416</v>
      </c>
      <c r="C38" t="s">
        <v>97</v>
      </c>
      <c r="D38" t="s">
        <v>18</v>
      </c>
      <c r="E38">
        <v>374</v>
      </c>
      <c r="F38">
        <v>274</v>
      </c>
      <c r="G38" s="8">
        <f t="shared" si="1"/>
        <v>0.73262032085561501</v>
      </c>
      <c r="H38" t="s">
        <v>417</v>
      </c>
      <c r="I38" s="5">
        <v>115424</v>
      </c>
      <c r="J38">
        <v>6</v>
      </c>
      <c r="K38" t="s">
        <v>414</v>
      </c>
      <c r="L38" t="s">
        <v>411</v>
      </c>
    </row>
    <row r="39" spans="1:12">
      <c r="A39" t="s">
        <v>458</v>
      </c>
      <c r="B39" t="s">
        <v>431</v>
      </c>
      <c r="C39" t="s">
        <v>112</v>
      </c>
      <c r="D39" t="s">
        <v>22</v>
      </c>
      <c r="E39">
        <v>229</v>
      </c>
      <c r="F39">
        <v>185</v>
      </c>
      <c r="G39" s="8">
        <f t="shared" si="1"/>
        <v>0.80786026200873362</v>
      </c>
      <c r="H39" t="s">
        <v>409</v>
      </c>
      <c r="I39" s="5">
        <v>127966</v>
      </c>
      <c r="J39">
        <v>5</v>
      </c>
      <c r="K39" t="s">
        <v>414</v>
      </c>
      <c r="L39" t="s">
        <v>411</v>
      </c>
    </row>
    <row r="40" spans="1:12">
      <c r="A40" t="s">
        <v>459</v>
      </c>
      <c r="B40" t="s">
        <v>413</v>
      </c>
      <c r="C40" t="s">
        <v>97</v>
      </c>
      <c r="D40" t="s">
        <v>15</v>
      </c>
      <c r="E40">
        <v>570</v>
      </c>
      <c r="F40">
        <v>424</v>
      </c>
      <c r="G40" s="8">
        <f t="shared" si="1"/>
        <v>0.743859649122807</v>
      </c>
      <c r="H40" t="s">
        <v>432</v>
      </c>
      <c r="I40" s="5">
        <v>83203</v>
      </c>
      <c r="J40">
        <v>1</v>
      </c>
      <c r="K40" t="s">
        <v>421</v>
      </c>
      <c r="L40" t="s">
        <v>411</v>
      </c>
    </row>
    <row r="41" spans="1:12">
      <c r="A41" t="s">
        <v>460</v>
      </c>
      <c r="B41" t="s">
        <v>413</v>
      </c>
      <c r="C41" t="s">
        <v>70</v>
      </c>
      <c r="D41" t="s">
        <v>22</v>
      </c>
      <c r="E41">
        <v>680</v>
      </c>
      <c r="F41">
        <v>564</v>
      </c>
      <c r="G41" s="8">
        <f t="shared" si="1"/>
        <v>0.8294117647058824</v>
      </c>
      <c r="H41" t="s">
        <v>417</v>
      </c>
      <c r="I41" s="5">
        <v>71158</v>
      </c>
      <c r="J41">
        <v>5</v>
      </c>
      <c r="K41" t="s">
        <v>418</v>
      </c>
      <c r="L41" t="s">
        <v>411</v>
      </c>
    </row>
    <row r="42" spans="1:12">
      <c r="A42" t="s">
        <v>461</v>
      </c>
      <c r="B42" t="s">
        <v>423</v>
      </c>
      <c r="C42" t="s">
        <v>76</v>
      </c>
      <c r="D42" t="s">
        <v>22</v>
      </c>
      <c r="E42">
        <v>133</v>
      </c>
      <c r="F42">
        <v>92</v>
      </c>
      <c r="G42" s="8">
        <f t="shared" si="1"/>
        <v>0.69172932330827064</v>
      </c>
      <c r="H42" t="s">
        <v>409</v>
      </c>
      <c r="I42" s="5">
        <v>48036</v>
      </c>
      <c r="J42">
        <v>0</v>
      </c>
      <c r="K42" t="s">
        <v>418</v>
      </c>
      <c r="L42" t="s">
        <v>411</v>
      </c>
    </row>
    <row r="43" spans="1:12">
      <c r="A43" t="s">
        <v>462</v>
      </c>
      <c r="B43" t="s">
        <v>423</v>
      </c>
      <c r="C43" t="s">
        <v>81</v>
      </c>
      <c r="D43" t="s">
        <v>22</v>
      </c>
      <c r="E43">
        <v>496</v>
      </c>
      <c r="F43">
        <v>489</v>
      </c>
      <c r="G43" s="8">
        <f t="shared" si="1"/>
        <v>0.98588709677419351</v>
      </c>
      <c r="H43" t="s">
        <v>409</v>
      </c>
      <c r="I43" s="5">
        <v>87299</v>
      </c>
      <c r="J43">
        <v>2</v>
      </c>
      <c r="K43" t="s">
        <v>414</v>
      </c>
      <c r="L43" t="s">
        <v>411</v>
      </c>
    </row>
    <row r="44" spans="1:12">
      <c r="A44" t="s">
        <v>463</v>
      </c>
      <c r="B44" t="s">
        <v>431</v>
      </c>
      <c r="C44" t="s">
        <v>190</v>
      </c>
      <c r="D44" t="s">
        <v>12</v>
      </c>
      <c r="E44">
        <v>140</v>
      </c>
      <c r="F44">
        <v>140</v>
      </c>
      <c r="G44" s="8">
        <f t="shared" si="1"/>
        <v>1</v>
      </c>
      <c r="H44" t="s">
        <v>409</v>
      </c>
      <c r="I44" s="5">
        <v>21777</v>
      </c>
      <c r="J44">
        <v>1</v>
      </c>
      <c r="K44" t="s">
        <v>410</v>
      </c>
      <c r="L44" t="s">
        <v>411</v>
      </c>
    </row>
    <row r="45" spans="1:12">
      <c r="A45" t="s">
        <v>464</v>
      </c>
      <c r="B45" t="s">
        <v>423</v>
      </c>
      <c r="C45" t="s">
        <v>81</v>
      </c>
      <c r="D45" t="s">
        <v>12</v>
      </c>
      <c r="E45">
        <v>260</v>
      </c>
      <c r="F45">
        <v>173</v>
      </c>
      <c r="G45" s="8">
        <f t="shared" si="1"/>
        <v>0.66538461538461535</v>
      </c>
      <c r="H45" t="s">
        <v>432</v>
      </c>
      <c r="I45" s="5">
        <v>87882</v>
      </c>
      <c r="J45">
        <v>0</v>
      </c>
      <c r="K45" t="s">
        <v>421</v>
      </c>
      <c r="L45" t="s">
        <v>411</v>
      </c>
    </row>
    <row r="46" spans="1:12">
      <c r="A46" t="s">
        <v>465</v>
      </c>
      <c r="B46" t="s">
        <v>416</v>
      </c>
      <c r="C46" t="s">
        <v>129</v>
      </c>
      <c r="D46" t="s">
        <v>15</v>
      </c>
      <c r="E46">
        <v>385</v>
      </c>
      <c r="F46">
        <v>395</v>
      </c>
      <c r="G46" s="8">
        <f t="shared" si="1"/>
        <v>1.025974025974026</v>
      </c>
      <c r="H46" t="s">
        <v>409</v>
      </c>
      <c r="I46" s="5">
        <v>154422</v>
      </c>
      <c r="J46">
        <v>4</v>
      </c>
      <c r="K46" t="s">
        <v>410</v>
      </c>
      <c r="L46" t="s">
        <v>411</v>
      </c>
    </row>
    <row r="47" spans="1:12">
      <c r="A47" t="s">
        <v>466</v>
      </c>
      <c r="B47" t="s">
        <v>423</v>
      </c>
      <c r="C47" t="s">
        <v>112</v>
      </c>
      <c r="D47" t="s">
        <v>12</v>
      </c>
      <c r="E47">
        <v>217</v>
      </c>
      <c r="F47">
        <v>205</v>
      </c>
      <c r="G47" s="8">
        <f t="shared" si="1"/>
        <v>0.9447004608294931</v>
      </c>
      <c r="H47" t="s">
        <v>417</v>
      </c>
      <c r="I47" s="5">
        <v>98686</v>
      </c>
      <c r="J47">
        <v>1</v>
      </c>
      <c r="K47" t="s">
        <v>410</v>
      </c>
      <c r="L47" t="s">
        <v>411</v>
      </c>
    </row>
    <row r="48" spans="1:12">
      <c r="A48" t="s">
        <v>467</v>
      </c>
      <c r="B48" t="s">
        <v>431</v>
      </c>
      <c r="C48" t="s">
        <v>76</v>
      </c>
      <c r="D48" t="s">
        <v>15</v>
      </c>
      <c r="E48">
        <v>343</v>
      </c>
      <c r="F48">
        <v>269</v>
      </c>
      <c r="G48" s="8">
        <f t="shared" si="1"/>
        <v>0.78425655976676389</v>
      </c>
      <c r="H48" t="s">
        <v>409</v>
      </c>
      <c r="I48" s="5">
        <v>62636</v>
      </c>
      <c r="J48">
        <v>1</v>
      </c>
      <c r="K48" t="s">
        <v>410</v>
      </c>
      <c r="L48" t="s">
        <v>411</v>
      </c>
    </row>
    <row r="49" spans="1:12">
      <c r="A49" t="s">
        <v>468</v>
      </c>
      <c r="B49" t="s">
        <v>408</v>
      </c>
      <c r="C49" t="s">
        <v>129</v>
      </c>
      <c r="D49" t="s">
        <v>18</v>
      </c>
      <c r="E49">
        <v>517</v>
      </c>
      <c r="F49">
        <v>467</v>
      </c>
      <c r="G49" s="8">
        <f t="shared" si="1"/>
        <v>0.90328820116054154</v>
      </c>
      <c r="H49" t="s">
        <v>409</v>
      </c>
      <c r="I49" s="5">
        <v>60439</v>
      </c>
      <c r="J49">
        <v>1</v>
      </c>
      <c r="K49" t="s">
        <v>410</v>
      </c>
      <c r="L49" t="s">
        <v>411</v>
      </c>
    </row>
    <row r="50" spans="1:12">
      <c r="A50" t="s">
        <v>469</v>
      </c>
      <c r="B50" t="s">
        <v>431</v>
      </c>
      <c r="C50" t="s">
        <v>112</v>
      </c>
      <c r="D50" t="s">
        <v>18</v>
      </c>
      <c r="E50">
        <v>411</v>
      </c>
      <c r="F50">
        <v>330</v>
      </c>
      <c r="G50" s="8">
        <f t="shared" si="1"/>
        <v>0.8029197080291971</v>
      </c>
      <c r="H50" t="s">
        <v>409</v>
      </c>
      <c r="I50" s="5">
        <v>81990</v>
      </c>
      <c r="J50">
        <v>2</v>
      </c>
      <c r="K50" t="s">
        <v>414</v>
      </c>
      <c r="L50" t="s">
        <v>411</v>
      </c>
    </row>
    <row r="51" spans="1:12">
      <c r="A51" t="s">
        <v>470</v>
      </c>
      <c r="B51" t="s">
        <v>408</v>
      </c>
      <c r="C51" t="s">
        <v>76</v>
      </c>
      <c r="D51" t="s">
        <v>22</v>
      </c>
      <c r="E51">
        <v>676</v>
      </c>
      <c r="F51">
        <v>444</v>
      </c>
      <c r="G51" s="8">
        <f t="shared" si="1"/>
        <v>0.65680473372781067</v>
      </c>
      <c r="H51" t="s">
        <v>409</v>
      </c>
      <c r="I51" s="5">
        <v>42991</v>
      </c>
      <c r="J51">
        <v>3</v>
      </c>
      <c r="K51" t="s">
        <v>414</v>
      </c>
      <c r="L51" t="s">
        <v>411</v>
      </c>
    </row>
    <row r="52" spans="1:12">
      <c r="A52" t="s">
        <v>471</v>
      </c>
      <c r="B52" t="s">
        <v>425</v>
      </c>
      <c r="C52" t="s">
        <v>97</v>
      </c>
      <c r="D52" t="s">
        <v>22</v>
      </c>
      <c r="E52">
        <v>243</v>
      </c>
      <c r="F52">
        <v>208</v>
      </c>
      <c r="G52" s="8">
        <f t="shared" si="1"/>
        <v>0.8559670781893004</v>
      </c>
      <c r="H52" t="s">
        <v>417</v>
      </c>
      <c r="I52" s="5">
        <v>42779</v>
      </c>
      <c r="J52">
        <v>5</v>
      </c>
      <c r="K52" t="s">
        <v>414</v>
      </c>
      <c r="L52" t="s">
        <v>411</v>
      </c>
    </row>
    <row r="53" spans="1:12">
      <c r="A53" t="s">
        <v>472</v>
      </c>
      <c r="B53" t="s">
        <v>413</v>
      </c>
      <c r="C53" t="s">
        <v>85</v>
      </c>
      <c r="D53" t="s">
        <v>12</v>
      </c>
      <c r="E53">
        <v>456</v>
      </c>
      <c r="F53">
        <v>453</v>
      </c>
      <c r="G53" s="8">
        <f t="shared" si="1"/>
        <v>0.99342105263157898</v>
      </c>
      <c r="H53" t="s">
        <v>409</v>
      </c>
      <c r="I53" s="5">
        <v>131269</v>
      </c>
      <c r="J53">
        <v>5</v>
      </c>
      <c r="K53" t="s">
        <v>414</v>
      </c>
      <c r="L53" t="s">
        <v>411</v>
      </c>
    </row>
    <row r="54" spans="1:12">
      <c r="A54" t="s">
        <v>473</v>
      </c>
      <c r="B54" t="s">
        <v>416</v>
      </c>
      <c r="C54" t="s">
        <v>81</v>
      </c>
      <c r="D54" t="s">
        <v>20</v>
      </c>
      <c r="E54">
        <v>505</v>
      </c>
      <c r="F54">
        <v>507</v>
      </c>
      <c r="G54" s="8">
        <f t="shared" si="1"/>
        <v>1.003960396039604</v>
      </c>
      <c r="H54" t="s">
        <v>417</v>
      </c>
      <c r="I54" s="5">
        <v>69255</v>
      </c>
      <c r="J54">
        <v>6</v>
      </c>
      <c r="K54" t="s">
        <v>418</v>
      </c>
      <c r="L54" t="s">
        <v>411</v>
      </c>
    </row>
    <row r="55" spans="1:12">
      <c r="A55" t="s">
        <v>474</v>
      </c>
      <c r="B55" t="s">
        <v>416</v>
      </c>
      <c r="C55" t="s">
        <v>81</v>
      </c>
      <c r="D55" t="s">
        <v>20</v>
      </c>
      <c r="E55">
        <v>690</v>
      </c>
      <c r="F55">
        <v>489</v>
      </c>
      <c r="G55" s="8">
        <f t="shared" si="1"/>
        <v>0.70869565217391306</v>
      </c>
      <c r="H55" t="s">
        <v>409</v>
      </c>
      <c r="I55" s="5">
        <v>32474</v>
      </c>
      <c r="J55">
        <v>4</v>
      </c>
      <c r="K55" t="s">
        <v>421</v>
      </c>
      <c r="L55" t="s">
        <v>411</v>
      </c>
    </row>
    <row r="56" spans="1:12">
      <c r="A56" t="s">
        <v>475</v>
      </c>
      <c r="B56" t="s">
        <v>416</v>
      </c>
      <c r="C56" t="s">
        <v>97</v>
      </c>
      <c r="D56" t="s">
        <v>12</v>
      </c>
      <c r="E56">
        <v>143</v>
      </c>
      <c r="F56">
        <v>145</v>
      </c>
      <c r="G56" s="8">
        <f t="shared" si="1"/>
        <v>1.013986013986014</v>
      </c>
      <c r="H56" t="s">
        <v>409</v>
      </c>
      <c r="I56" s="5">
        <v>51282</v>
      </c>
      <c r="J56">
        <v>1</v>
      </c>
      <c r="K56" t="s">
        <v>414</v>
      </c>
      <c r="L56" t="s">
        <v>411</v>
      </c>
    </row>
    <row r="57" spans="1:12">
      <c r="A57" t="s">
        <v>476</v>
      </c>
      <c r="B57" t="s">
        <v>431</v>
      </c>
      <c r="C57" t="s">
        <v>85</v>
      </c>
      <c r="D57" t="s">
        <v>22</v>
      </c>
      <c r="E57">
        <v>612</v>
      </c>
      <c r="F57">
        <v>510</v>
      </c>
      <c r="G57" s="8">
        <f t="shared" si="1"/>
        <v>0.83333333333333337</v>
      </c>
      <c r="H57" t="s">
        <v>409</v>
      </c>
      <c r="I57" s="5">
        <v>35839</v>
      </c>
      <c r="J57">
        <v>4</v>
      </c>
      <c r="K57" t="s">
        <v>410</v>
      </c>
      <c r="L57" t="s">
        <v>411</v>
      </c>
    </row>
    <row r="58" spans="1:12">
      <c r="A58" t="s">
        <v>477</v>
      </c>
      <c r="B58" t="s">
        <v>413</v>
      </c>
      <c r="C58" t="s">
        <v>97</v>
      </c>
      <c r="D58" t="s">
        <v>18</v>
      </c>
      <c r="E58">
        <v>136</v>
      </c>
      <c r="F58">
        <v>117</v>
      </c>
      <c r="G58" s="8">
        <f t="shared" si="1"/>
        <v>0.86029411764705888</v>
      </c>
      <c r="H58" t="s">
        <v>409</v>
      </c>
      <c r="I58" s="5">
        <v>27135</v>
      </c>
      <c r="J58">
        <v>4</v>
      </c>
      <c r="K58" t="s">
        <v>410</v>
      </c>
      <c r="L58" t="s">
        <v>411</v>
      </c>
    </row>
    <row r="59" spans="1:12">
      <c r="A59" t="s">
        <v>478</v>
      </c>
      <c r="B59" t="s">
        <v>423</v>
      </c>
      <c r="C59" t="s">
        <v>112</v>
      </c>
      <c r="D59" t="s">
        <v>9</v>
      </c>
      <c r="E59">
        <v>395</v>
      </c>
      <c r="F59">
        <v>261</v>
      </c>
      <c r="G59" s="8">
        <f t="shared" si="1"/>
        <v>0.66075949367088604</v>
      </c>
      <c r="H59" t="s">
        <v>409</v>
      </c>
      <c r="I59" s="5">
        <v>163600</v>
      </c>
      <c r="J59">
        <v>0</v>
      </c>
      <c r="K59" t="s">
        <v>421</v>
      </c>
      <c r="L59" t="s">
        <v>411</v>
      </c>
    </row>
    <row r="60" spans="1:12">
      <c r="A60" t="s">
        <v>479</v>
      </c>
      <c r="B60" t="s">
        <v>425</v>
      </c>
      <c r="C60" t="s">
        <v>129</v>
      </c>
      <c r="D60" t="s">
        <v>20</v>
      </c>
      <c r="E60">
        <v>513</v>
      </c>
      <c r="F60">
        <v>421</v>
      </c>
      <c r="G60" s="8">
        <f t="shared" si="1"/>
        <v>0.82066276803118909</v>
      </c>
      <c r="H60" t="s">
        <v>432</v>
      </c>
      <c r="I60" s="5">
        <v>30092</v>
      </c>
      <c r="J60">
        <v>3</v>
      </c>
      <c r="K60" t="s">
        <v>421</v>
      </c>
      <c r="L60" t="s">
        <v>411</v>
      </c>
    </row>
    <row r="61" spans="1:12">
      <c r="A61" t="s">
        <v>480</v>
      </c>
      <c r="B61" t="s">
        <v>413</v>
      </c>
      <c r="C61" t="s">
        <v>63</v>
      </c>
      <c r="D61" t="s">
        <v>22</v>
      </c>
      <c r="E61">
        <v>373</v>
      </c>
      <c r="F61">
        <v>346</v>
      </c>
      <c r="G61" s="8">
        <f t="shared" si="1"/>
        <v>0.92761394101876671</v>
      </c>
      <c r="H61" t="s">
        <v>432</v>
      </c>
      <c r="I61" s="5">
        <v>122195</v>
      </c>
      <c r="J61">
        <v>2</v>
      </c>
      <c r="K61" t="s">
        <v>410</v>
      </c>
      <c r="L61" t="s">
        <v>411</v>
      </c>
    </row>
    <row r="62" spans="1:12">
      <c r="A62" t="s">
        <v>481</v>
      </c>
      <c r="B62" t="s">
        <v>423</v>
      </c>
      <c r="C62" t="s">
        <v>129</v>
      </c>
      <c r="D62" t="s">
        <v>22</v>
      </c>
      <c r="E62">
        <v>539</v>
      </c>
      <c r="F62">
        <v>446</v>
      </c>
      <c r="G62" s="8">
        <f t="shared" si="1"/>
        <v>0.82745825602968459</v>
      </c>
      <c r="H62" t="s">
        <v>432</v>
      </c>
      <c r="I62" s="5">
        <v>153374</v>
      </c>
      <c r="J62">
        <v>1</v>
      </c>
      <c r="K62" t="s">
        <v>414</v>
      </c>
      <c r="L62" t="s">
        <v>411</v>
      </c>
    </row>
    <row r="63" spans="1:12">
      <c r="A63" t="s">
        <v>482</v>
      </c>
      <c r="B63" t="s">
        <v>416</v>
      </c>
      <c r="C63" t="s">
        <v>108</v>
      </c>
      <c r="D63" t="s">
        <v>20</v>
      </c>
      <c r="E63">
        <v>201</v>
      </c>
      <c r="F63">
        <v>152</v>
      </c>
      <c r="G63" s="8">
        <f t="shared" si="1"/>
        <v>0.75621890547263682</v>
      </c>
      <c r="H63" t="s">
        <v>409</v>
      </c>
      <c r="I63" s="5">
        <v>70376</v>
      </c>
      <c r="J63">
        <v>6</v>
      </c>
      <c r="K63" t="s">
        <v>421</v>
      </c>
      <c r="L63" t="s">
        <v>411</v>
      </c>
    </row>
    <row r="64" spans="1:12">
      <c r="A64" t="s">
        <v>483</v>
      </c>
      <c r="B64" t="s">
        <v>423</v>
      </c>
      <c r="C64" t="s">
        <v>97</v>
      </c>
      <c r="D64" t="s">
        <v>18</v>
      </c>
      <c r="E64">
        <v>103</v>
      </c>
      <c r="F64">
        <v>85</v>
      </c>
      <c r="G64" s="8">
        <f t="shared" si="1"/>
        <v>0.82524271844660191</v>
      </c>
      <c r="H64" t="s">
        <v>409</v>
      </c>
      <c r="I64" s="5">
        <v>72205</v>
      </c>
      <c r="J64">
        <v>1</v>
      </c>
      <c r="K64" t="s">
        <v>410</v>
      </c>
      <c r="L64" t="s">
        <v>411</v>
      </c>
    </row>
    <row r="65" spans="1:12">
      <c r="A65" t="s">
        <v>484</v>
      </c>
      <c r="B65" t="s">
        <v>408</v>
      </c>
      <c r="C65" t="s">
        <v>85</v>
      </c>
      <c r="D65" t="s">
        <v>22</v>
      </c>
      <c r="E65">
        <v>434</v>
      </c>
      <c r="F65">
        <v>321</v>
      </c>
      <c r="G65" s="8">
        <f t="shared" si="1"/>
        <v>0.73963133640552992</v>
      </c>
      <c r="H65" t="s">
        <v>417</v>
      </c>
      <c r="I65" s="5">
        <v>20445</v>
      </c>
      <c r="J65">
        <v>6</v>
      </c>
      <c r="K65" t="s">
        <v>410</v>
      </c>
      <c r="L65" t="s">
        <v>411</v>
      </c>
    </row>
    <row r="66" spans="1:12">
      <c r="A66" t="s">
        <v>485</v>
      </c>
      <c r="B66" t="s">
        <v>413</v>
      </c>
      <c r="C66" t="s">
        <v>129</v>
      </c>
      <c r="D66" t="s">
        <v>9</v>
      </c>
      <c r="E66">
        <v>96</v>
      </c>
      <c r="F66">
        <v>77</v>
      </c>
      <c r="G66" s="8">
        <f t="shared" ref="G66:G97" si="2">IF(E66=0,0,F66/E66)</f>
        <v>0.80208333333333337</v>
      </c>
      <c r="H66" t="s">
        <v>409</v>
      </c>
      <c r="I66" s="5">
        <v>129031</v>
      </c>
      <c r="J66">
        <v>4</v>
      </c>
      <c r="K66" t="s">
        <v>421</v>
      </c>
      <c r="L66" t="s">
        <v>411</v>
      </c>
    </row>
    <row r="67" spans="1:12">
      <c r="A67" t="s">
        <v>486</v>
      </c>
      <c r="B67" t="s">
        <v>423</v>
      </c>
      <c r="C67" t="s">
        <v>81</v>
      </c>
      <c r="D67" t="s">
        <v>12</v>
      </c>
      <c r="E67">
        <v>330</v>
      </c>
      <c r="F67">
        <v>225</v>
      </c>
      <c r="G67" s="8">
        <f t="shared" si="2"/>
        <v>0.68181818181818177</v>
      </c>
      <c r="H67" t="s">
        <v>409</v>
      </c>
      <c r="I67" s="5">
        <v>26796</v>
      </c>
      <c r="J67">
        <v>1</v>
      </c>
      <c r="K67" t="s">
        <v>414</v>
      </c>
      <c r="L67" t="s">
        <v>411</v>
      </c>
    </row>
    <row r="68" spans="1:12">
      <c r="A68" t="s">
        <v>487</v>
      </c>
      <c r="B68" t="s">
        <v>416</v>
      </c>
      <c r="C68" t="s">
        <v>190</v>
      </c>
      <c r="D68" t="s">
        <v>22</v>
      </c>
      <c r="E68">
        <v>319</v>
      </c>
      <c r="F68">
        <v>288</v>
      </c>
      <c r="G68" s="8">
        <f t="shared" si="2"/>
        <v>0.90282131661442011</v>
      </c>
      <c r="H68" t="s">
        <v>417</v>
      </c>
      <c r="I68" s="5">
        <v>74102</v>
      </c>
      <c r="J68">
        <v>2</v>
      </c>
      <c r="K68" t="s">
        <v>418</v>
      </c>
      <c r="L68" t="s">
        <v>411</v>
      </c>
    </row>
    <row r="69" spans="1:12">
      <c r="A69" t="s">
        <v>488</v>
      </c>
      <c r="B69" t="s">
        <v>423</v>
      </c>
      <c r="C69" t="s">
        <v>112</v>
      </c>
      <c r="D69" t="s">
        <v>15</v>
      </c>
      <c r="E69">
        <v>613</v>
      </c>
      <c r="F69">
        <v>454</v>
      </c>
      <c r="G69" s="8">
        <f t="shared" si="2"/>
        <v>0.74061990212071782</v>
      </c>
      <c r="H69" t="s">
        <v>409</v>
      </c>
      <c r="I69" s="5">
        <v>167101</v>
      </c>
      <c r="J69">
        <v>5</v>
      </c>
      <c r="K69" t="s">
        <v>418</v>
      </c>
      <c r="L69" t="s">
        <v>411</v>
      </c>
    </row>
    <row r="70" spans="1:12">
      <c r="A70" t="s">
        <v>489</v>
      </c>
      <c r="B70" t="s">
        <v>423</v>
      </c>
      <c r="C70" t="s">
        <v>70</v>
      </c>
      <c r="D70" t="s">
        <v>15</v>
      </c>
      <c r="E70">
        <v>517</v>
      </c>
      <c r="F70">
        <v>478</v>
      </c>
      <c r="G70" s="8">
        <f t="shared" si="2"/>
        <v>0.92456479690522242</v>
      </c>
      <c r="H70" t="s">
        <v>432</v>
      </c>
      <c r="I70" s="5">
        <v>111917</v>
      </c>
      <c r="J70">
        <v>6</v>
      </c>
      <c r="K70" t="s">
        <v>414</v>
      </c>
      <c r="L70" t="s">
        <v>411</v>
      </c>
    </row>
    <row r="71" spans="1:12">
      <c r="A71" t="s">
        <v>490</v>
      </c>
      <c r="B71" t="s">
        <v>413</v>
      </c>
      <c r="C71" t="s">
        <v>112</v>
      </c>
      <c r="D71" t="s">
        <v>18</v>
      </c>
      <c r="E71">
        <v>506</v>
      </c>
      <c r="F71">
        <v>432</v>
      </c>
      <c r="G71" s="8">
        <f t="shared" si="2"/>
        <v>0.85375494071146241</v>
      </c>
      <c r="H71" t="s">
        <v>409</v>
      </c>
      <c r="I71" s="5">
        <v>153014</v>
      </c>
      <c r="J71">
        <v>3</v>
      </c>
      <c r="K71" t="s">
        <v>418</v>
      </c>
      <c r="L71" t="s">
        <v>411</v>
      </c>
    </row>
    <row r="72" spans="1:12">
      <c r="A72" t="s">
        <v>491</v>
      </c>
      <c r="B72" t="s">
        <v>425</v>
      </c>
      <c r="C72" t="s">
        <v>63</v>
      </c>
      <c r="D72" t="s">
        <v>18</v>
      </c>
      <c r="E72">
        <v>310</v>
      </c>
      <c r="F72">
        <v>239</v>
      </c>
      <c r="G72" s="8">
        <f t="shared" si="2"/>
        <v>0.7709677419354839</v>
      </c>
      <c r="H72" t="s">
        <v>417</v>
      </c>
      <c r="I72" s="5">
        <v>159426</v>
      </c>
      <c r="J72">
        <v>3</v>
      </c>
      <c r="K72" t="s">
        <v>410</v>
      </c>
      <c r="L72" t="s">
        <v>411</v>
      </c>
    </row>
    <row r="73" spans="1:12">
      <c r="A73" t="s">
        <v>492</v>
      </c>
      <c r="B73" t="s">
        <v>423</v>
      </c>
      <c r="C73" t="s">
        <v>85</v>
      </c>
      <c r="D73" t="s">
        <v>15</v>
      </c>
      <c r="E73">
        <v>650</v>
      </c>
      <c r="F73">
        <v>490</v>
      </c>
      <c r="G73" s="8">
        <f t="shared" si="2"/>
        <v>0.75384615384615383</v>
      </c>
      <c r="H73" t="s">
        <v>409</v>
      </c>
      <c r="I73" s="5">
        <v>32727</v>
      </c>
      <c r="J73">
        <v>3</v>
      </c>
      <c r="K73" t="s">
        <v>414</v>
      </c>
      <c r="L73" t="s">
        <v>411</v>
      </c>
    </row>
  </sheetData>
  <conditionalFormatting sqref="G2:G73">
    <cfRule type="colorScale" priority="1">
      <colorScale>
        <cfvo type="min"/>
        <cfvo type="percentile" val="50"/>
        <cfvo type="max"/>
        <color rgb="FFD4EDDA"/>
        <color rgb="FFFFF3CD"/>
        <color rgb="FFF8D7DA"/>
      </colorScale>
    </cfRule>
  </conditionalFormatting>
  <conditionalFormatting sqref="H2:H73">
    <cfRule type="expression" dxfId="0" priority="2">
      <formula>H2="Overdue"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3.8"/>
  <sheetData>
    <row r="1" spans="1:6">
      <c r="A1" s="1" t="s">
        <v>493</v>
      </c>
      <c r="B1" s="1" t="s">
        <v>46</v>
      </c>
      <c r="C1" s="1" t="s">
        <v>47</v>
      </c>
      <c r="D1" s="1" t="s">
        <v>494</v>
      </c>
      <c r="E1" s="1" t="s">
        <v>26</v>
      </c>
      <c r="F1" s="1" t="s">
        <v>404</v>
      </c>
    </row>
    <row r="2" spans="1:6">
      <c r="A2" t="s">
        <v>8</v>
      </c>
      <c r="B2" t="s">
        <v>80</v>
      </c>
      <c r="C2" t="s">
        <v>70</v>
      </c>
      <c r="D2" t="s">
        <v>301</v>
      </c>
      <c r="E2" t="s">
        <v>495</v>
      </c>
      <c r="F2" t="s">
        <v>409</v>
      </c>
    </row>
    <row r="3" spans="1:6">
      <c r="A3" t="s">
        <v>11</v>
      </c>
      <c r="B3" t="s">
        <v>111</v>
      </c>
      <c r="C3" t="s">
        <v>129</v>
      </c>
      <c r="D3" t="s">
        <v>304</v>
      </c>
      <c r="E3" t="s">
        <v>496</v>
      </c>
      <c r="F3" t="s">
        <v>417</v>
      </c>
    </row>
    <row r="4" spans="1:6">
      <c r="A4" t="s">
        <v>14</v>
      </c>
      <c r="B4" t="s">
        <v>122</v>
      </c>
      <c r="C4" t="s">
        <v>63</v>
      </c>
      <c r="D4" t="s">
        <v>297</v>
      </c>
      <c r="E4" t="s">
        <v>497</v>
      </c>
      <c r="F4" t="s">
        <v>432</v>
      </c>
    </row>
    <row r="5" spans="1:6">
      <c r="A5" t="s">
        <v>17</v>
      </c>
      <c r="B5" t="s">
        <v>62</v>
      </c>
      <c r="C5" t="s">
        <v>85</v>
      </c>
    </row>
    <row r="6" spans="1:6">
      <c r="A6" t="s">
        <v>19</v>
      </c>
      <c r="B6" t="s">
        <v>96</v>
      </c>
      <c r="C6" t="s">
        <v>112</v>
      </c>
    </row>
    <row r="7" spans="1:6">
      <c r="B7" t="s">
        <v>91</v>
      </c>
      <c r="C7" t="s">
        <v>76</v>
      </c>
    </row>
    <row r="8" spans="1:6">
      <c r="B8" t="s">
        <v>75</v>
      </c>
      <c r="C8" t="s">
        <v>108</v>
      </c>
    </row>
    <row r="9" spans="1:6">
      <c r="B9" t="s">
        <v>156</v>
      </c>
      <c r="C9" t="s">
        <v>81</v>
      </c>
    </row>
    <row r="10" spans="1:6">
      <c r="B10" t="s">
        <v>149</v>
      </c>
      <c r="C10" t="s">
        <v>97</v>
      </c>
    </row>
    <row r="11" spans="1:6">
      <c r="B11" t="s">
        <v>69</v>
      </c>
      <c r="C11" t="s">
        <v>190</v>
      </c>
    </row>
    <row r="12" spans="1:6">
      <c r="B12" t="s">
        <v>498</v>
      </c>
      <c r="C12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 Tower</vt:lpstr>
      <vt:lpstr>Fleet Register</vt:lpstr>
      <vt:lpstr>Driver &amp; Route Plan</vt:lpstr>
      <vt:lpstr>Facilities Services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</dc:creator>
  <cp:lastModifiedBy>Sudheer Ahmed</cp:lastModifiedBy>
  <cp:lastPrinted>2026-07-28T07:54:48Z</cp:lastPrinted>
  <dcterms:created xsi:type="dcterms:W3CDTF">2026-07-28T07:39:33Z</dcterms:created>
  <dcterms:modified xsi:type="dcterms:W3CDTF">2026-07-28T07:54:51Z</dcterms:modified>
</cp:coreProperties>
</file>