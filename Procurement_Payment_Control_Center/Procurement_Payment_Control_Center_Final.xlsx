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udeer Data\Power BI Github\PRecurement\"/>
    </mc:Choice>
  </mc:AlternateContent>
  <xr:revisionPtr revIDLastSave="0" documentId="13_ncr:1_{AD8D2D7C-1D4D-48EC-9A97-34B7347F7F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 Dashboard" sheetId="1" r:id="rId1"/>
    <sheet name="Procurement Register" sheetId="2" r:id="rId2"/>
    <sheet name="Vendor Summary" sheetId="3" r:id="rId3"/>
    <sheet name="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D9" i="3"/>
  <c r="C9" i="3"/>
  <c r="B9" i="3"/>
  <c r="F8" i="3"/>
  <c r="D8" i="3"/>
  <c r="C8" i="3"/>
  <c r="B8" i="3"/>
  <c r="F7" i="3"/>
  <c r="E7" i="3"/>
  <c r="D7" i="3"/>
  <c r="C7" i="3"/>
  <c r="B7" i="3"/>
  <c r="F6" i="3"/>
  <c r="D6" i="3"/>
  <c r="C6" i="3"/>
  <c r="B6" i="3"/>
  <c r="F5" i="3"/>
  <c r="D5" i="3"/>
  <c r="C5" i="3"/>
  <c r="B5" i="3"/>
  <c r="F4" i="3"/>
  <c r="D4" i="3"/>
  <c r="C4" i="3"/>
  <c r="B4" i="3"/>
  <c r="F3" i="3"/>
  <c r="D3" i="3"/>
  <c r="C3" i="3"/>
  <c r="B3" i="3"/>
  <c r="F2" i="3"/>
  <c r="D2" i="3"/>
  <c r="C2" i="3"/>
  <c r="B2" i="3"/>
  <c r="Q61" i="2"/>
  <c r="J61" i="2"/>
  <c r="J60" i="2"/>
  <c r="Q60" i="2" s="1"/>
  <c r="J59" i="2"/>
  <c r="Q59" i="2" s="1"/>
  <c r="Q58" i="2"/>
  <c r="J58" i="2"/>
  <c r="J57" i="2"/>
  <c r="Q57" i="2" s="1"/>
  <c r="J56" i="2"/>
  <c r="Q56" i="2" s="1"/>
  <c r="J55" i="2"/>
  <c r="Q55" i="2" s="1"/>
  <c r="J54" i="2"/>
  <c r="Q54" i="2" s="1"/>
  <c r="J53" i="2"/>
  <c r="Q53" i="2" s="1"/>
  <c r="Q52" i="2"/>
  <c r="J52" i="2"/>
  <c r="Q51" i="2"/>
  <c r="J51" i="2"/>
  <c r="J50" i="2"/>
  <c r="Q50" i="2" s="1"/>
  <c r="J49" i="2"/>
  <c r="Q49" i="2" s="1"/>
  <c r="Q48" i="2"/>
  <c r="J48" i="2"/>
  <c r="J47" i="2"/>
  <c r="Q47" i="2" s="1"/>
  <c r="J46" i="2"/>
  <c r="E4" i="3" s="1"/>
  <c r="J45" i="2"/>
  <c r="Q45" i="2" s="1"/>
  <c r="J44" i="2"/>
  <c r="Q44" i="2" s="1"/>
  <c r="J43" i="2"/>
  <c r="Q43" i="2" s="1"/>
  <c r="Q42" i="2"/>
  <c r="J42" i="2"/>
  <c r="Q41" i="2"/>
  <c r="J41" i="2"/>
  <c r="J40" i="2"/>
  <c r="Q40" i="2" s="1"/>
  <c r="J39" i="2"/>
  <c r="Q39" i="2" s="1"/>
  <c r="Q38" i="2"/>
  <c r="J38" i="2"/>
  <c r="J37" i="2"/>
  <c r="Q37" i="2" s="1"/>
  <c r="J36" i="2"/>
  <c r="Q36" i="2" s="1"/>
  <c r="J35" i="2"/>
  <c r="Q35" i="2" s="1"/>
  <c r="J34" i="2"/>
  <c r="Q34" i="2" s="1"/>
  <c r="J33" i="2"/>
  <c r="Q33" i="2" s="1"/>
  <c r="Q32" i="2"/>
  <c r="J32" i="2"/>
  <c r="Q31" i="2"/>
  <c r="J31" i="2"/>
  <c r="J30" i="2"/>
  <c r="Q30" i="2" s="1"/>
  <c r="J29" i="2"/>
  <c r="Q29" i="2" s="1"/>
  <c r="Q28" i="2"/>
  <c r="J28" i="2"/>
  <c r="J27" i="2"/>
  <c r="Q27" i="2" s="1"/>
  <c r="J26" i="2"/>
  <c r="Q26" i="2" s="1"/>
  <c r="J25" i="2"/>
  <c r="Q25" i="2" s="1"/>
  <c r="J24" i="2"/>
  <c r="Q24" i="2" s="1"/>
  <c r="J23" i="2"/>
  <c r="Q23" i="2" s="1"/>
  <c r="Q22" i="2"/>
  <c r="J22" i="2"/>
  <c r="Q21" i="2"/>
  <c r="J21" i="2"/>
  <c r="J20" i="2"/>
  <c r="Q20" i="2" s="1"/>
  <c r="J19" i="2"/>
  <c r="Q19" i="2" s="1"/>
  <c r="Q18" i="2"/>
  <c r="J18" i="2"/>
  <c r="J17" i="2"/>
  <c r="Q17" i="2" s="1"/>
  <c r="J16" i="2"/>
  <c r="L33" i="1" s="1"/>
  <c r="J15" i="2"/>
  <c r="Q15" i="2" s="1"/>
  <c r="J14" i="2"/>
  <c r="E5" i="3" s="1"/>
  <c r="J13" i="2"/>
  <c r="Q13" i="2" s="1"/>
  <c r="Q12" i="2"/>
  <c r="J12" i="2"/>
  <c r="Q11" i="2"/>
  <c r="J11" i="2"/>
  <c r="J10" i="2"/>
  <c r="Q10" i="2" s="1"/>
  <c r="J9" i="2"/>
  <c r="Q9" i="2" s="1"/>
  <c r="Q8" i="2"/>
  <c r="J8" i="2"/>
  <c r="L23" i="1" s="1"/>
  <c r="J7" i="2"/>
  <c r="L29" i="1" s="1"/>
  <c r="J6" i="2"/>
  <c r="Q6" i="2" s="1"/>
  <c r="J5" i="2"/>
  <c r="E9" i="3" s="1"/>
  <c r="J4" i="2"/>
  <c r="L35" i="1" s="1"/>
  <c r="J3" i="2"/>
  <c r="Q3" i="2" s="1"/>
  <c r="Q2" i="2"/>
  <c r="J2" i="2"/>
  <c r="E6" i="3" s="1"/>
  <c r="L30" i="1"/>
  <c r="L25" i="1"/>
  <c r="B21" i="1"/>
  <c r="L10" i="1"/>
  <c r="J10" i="1"/>
  <c r="H10" i="1"/>
  <c r="F10" i="1"/>
  <c r="D10" i="1"/>
  <c r="B10" i="1"/>
  <c r="K5" i="1"/>
  <c r="F5" i="1"/>
  <c r="B5" i="1"/>
  <c r="L19" i="1" l="1"/>
  <c r="E3" i="3"/>
  <c r="L31" i="1"/>
  <c r="L36" i="1"/>
  <c r="L20" i="1"/>
  <c r="Q46" i="2"/>
  <c r="L18" i="1"/>
  <c r="L21" i="1"/>
  <c r="E2" i="3"/>
  <c r="L22" i="1"/>
  <c r="D5" i="1"/>
  <c r="Q4" i="2"/>
  <c r="Q14" i="2"/>
  <c r="L24" i="1"/>
  <c r="Q5" i="2"/>
  <c r="Q7" i="2"/>
  <c r="Q16" i="2"/>
  <c r="E8" i="3"/>
  <c r="L32" i="1"/>
  <c r="L34" i="1"/>
  <c r="H25" i="1" l="1"/>
  <c r="H5" i="1"/>
  <c r="G17" i="1"/>
  <c r="B17" i="1"/>
  <c r="H26" i="1"/>
  <c r="H27" i="1"/>
  <c r="H28" i="1"/>
</calcChain>
</file>

<file path=xl/sharedStrings.xml><?xml version="1.0" encoding="utf-8"?>
<sst xmlns="http://schemas.openxmlformats.org/spreadsheetml/2006/main" count="707" uniqueCount="266">
  <si>
    <t>OVERDUE ITEMS</t>
  </si>
  <si>
    <t>MANAGEMENT ATTENTION</t>
  </si>
  <si>
    <t>TOP VENDOR EXPOSURE</t>
  </si>
  <si>
    <t>Vendor</t>
  </si>
  <si>
    <t>Outstanding</t>
  </si>
  <si>
    <t>Atlas Services</t>
  </si>
  <si>
    <t>Prime Logistics</t>
  </si>
  <si>
    <t>HIGH PRIORITY</t>
  </si>
  <si>
    <t>Gulf Technical</t>
  </si>
  <si>
    <t>Horizon Supply</t>
  </si>
  <si>
    <t>Vertex Trading</t>
  </si>
  <si>
    <t>AGING PROFILE</t>
  </si>
  <si>
    <t>Nexa Facilities</t>
  </si>
  <si>
    <t>Aging Band</t>
  </si>
  <si>
    <t>Items</t>
  </si>
  <si>
    <t>Summit Industrial</t>
  </si>
  <si>
    <t>0 Days</t>
  </si>
  <si>
    <t>BlueLine Services</t>
  </si>
  <si>
    <t>1-30 Days</t>
  </si>
  <si>
    <t>31-60 Days</t>
  </si>
  <si>
    <t>60+ Days</t>
  </si>
  <si>
    <t>Department</t>
  </si>
  <si>
    <t>Operations</t>
  </si>
  <si>
    <t>Administration</t>
  </si>
  <si>
    <t>Logistics</t>
  </si>
  <si>
    <t>Procurement</t>
  </si>
  <si>
    <t>Document Control</t>
  </si>
  <si>
    <t>Finance</t>
  </si>
  <si>
    <t>Executive Office</t>
  </si>
  <si>
    <t>Facilities</t>
  </si>
  <si>
    <t>Portfolio note
Synthetic / anonymized procurement data.
No confidential company or vendor information is included.</t>
  </si>
  <si>
    <t>Ref No.</t>
  </si>
  <si>
    <t>PR No.</t>
  </si>
  <si>
    <t>PO No.</t>
  </si>
  <si>
    <t>Description</t>
  </si>
  <si>
    <t>Commitment (SAR)</t>
  </si>
  <si>
    <t>Invoice Value (SAR)</t>
  </si>
  <si>
    <t>Paid (SAR)</t>
  </si>
  <si>
    <t>Outstanding (SAR)</t>
  </si>
  <si>
    <t>Status</t>
  </si>
  <si>
    <t>Priority</t>
  </si>
  <si>
    <t>PR Date</t>
  </si>
  <si>
    <t>PO Date</t>
  </si>
  <si>
    <t>Invoice Date</t>
  </si>
  <si>
    <t>Due Date</t>
  </si>
  <si>
    <t>Days Aging</t>
  </si>
  <si>
    <t>Owner</t>
  </si>
  <si>
    <t>Management Note</t>
  </si>
  <si>
    <t>PCR-001</t>
  </si>
  <si>
    <t>PR-2601</t>
  </si>
  <si>
    <t>PO-8101</t>
  </si>
  <si>
    <t>IT equipment</t>
  </si>
  <si>
    <t>Approved for Payment</t>
  </si>
  <si>
    <t>Medium</t>
  </si>
  <si>
    <t>M. Ali</t>
  </si>
  <si>
    <t>Escalate overdue item</t>
  </si>
  <si>
    <t>PCR-002</t>
  </si>
  <si>
    <t>PR-2602</t>
  </si>
  <si>
    <t>PO-8102</t>
  </si>
  <si>
    <t>Professional services</t>
  </si>
  <si>
    <t>Paid</t>
  </si>
  <si>
    <t>S. Ahmed</t>
  </si>
  <si>
    <t>Routine follow-up</t>
  </si>
  <si>
    <t>PCR-003</t>
  </si>
  <si>
    <t>PR-2603</t>
  </si>
  <si>
    <t>77</t>
  </si>
  <si>
    <t>Transport services</t>
  </si>
  <si>
    <t>PR Raised</t>
  </si>
  <si>
    <t>High</t>
  </si>
  <si>
    <t>A. Khan</t>
  </si>
  <si>
    <t>PCR-004</t>
  </si>
  <si>
    <t>PR-2604</t>
  </si>
  <si>
    <t>Technical materials</t>
  </si>
  <si>
    <t>PR Approved</t>
  </si>
  <si>
    <t>F. Malik</t>
  </si>
  <si>
    <t>PCR-005</t>
  </si>
  <si>
    <t>PR-2605</t>
  </si>
  <si>
    <t>PO-8105</t>
  </si>
  <si>
    <t>Under Review</t>
  </si>
  <si>
    <t>R. Hassan</t>
  </si>
  <si>
    <t>PCR-006</t>
  </si>
  <si>
    <t>PR-2606</t>
  </si>
  <si>
    <t>PO-8106</t>
  </si>
  <si>
    <t>Manpower services</t>
  </si>
  <si>
    <t>Low</t>
  </si>
  <si>
    <t>PCR-007</t>
  </si>
  <si>
    <t>PR-2607</t>
  </si>
  <si>
    <t>PO-8107</t>
  </si>
  <si>
    <t>Equipment rental</t>
  </si>
  <si>
    <t>Delivered</t>
  </si>
  <si>
    <t>PCR-008</t>
  </si>
  <si>
    <t>PR-2608</t>
  </si>
  <si>
    <t>PO-8108</t>
  </si>
  <si>
    <t>Invoice Received</t>
  </si>
  <si>
    <t>PCR-009</t>
  </si>
  <si>
    <t>PR-2609</t>
  </si>
  <si>
    <t>PCR-010</t>
  </si>
  <si>
    <t>PR-2610</t>
  </si>
  <si>
    <t>PO-8110</t>
  </si>
  <si>
    <t>Office supplies</t>
  </si>
  <si>
    <t>PO Issued</t>
  </si>
  <si>
    <t>PCR-011</t>
  </si>
  <si>
    <t>PR-2611</t>
  </si>
  <si>
    <t>PO-8111</t>
  </si>
  <si>
    <t>PCR-012</t>
  </si>
  <si>
    <t>PR-2612</t>
  </si>
  <si>
    <t>PO-8112</t>
  </si>
  <si>
    <t>PCR-013</t>
  </si>
  <si>
    <t>PR-2613</t>
  </si>
  <si>
    <t>PO-8113</t>
  </si>
  <si>
    <t>Site consumables</t>
  </si>
  <si>
    <t>PCR-014</t>
  </si>
  <si>
    <t>PR-2614</t>
  </si>
  <si>
    <t>PO-8114</t>
  </si>
  <si>
    <t>Maintenance works</t>
  </si>
  <si>
    <t>PCR-015</t>
  </si>
  <si>
    <t>PR-2615</t>
  </si>
  <si>
    <t>PO-8115</t>
  </si>
  <si>
    <t>Accommodation services</t>
  </si>
  <si>
    <t>PCR-016</t>
  </si>
  <si>
    <t>PR-2616</t>
  </si>
  <si>
    <t>PO-8116</t>
  </si>
  <si>
    <t>PCR-017</t>
  </si>
  <si>
    <t>PR-2617</t>
  </si>
  <si>
    <t>PO-8117</t>
  </si>
  <si>
    <t>PCR-018</t>
  </si>
  <si>
    <t>PR-2618</t>
  </si>
  <si>
    <t>PO-8118</t>
  </si>
  <si>
    <t>PCR-019</t>
  </si>
  <si>
    <t>PR-2619</t>
  </si>
  <si>
    <t>PCR-020</t>
  </si>
  <si>
    <t>PR-2620</t>
  </si>
  <si>
    <t>PO-8120</t>
  </si>
  <si>
    <t>PCR-021</t>
  </si>
  <si>
    <t>PR-2621</t>
  </si>
  <si>
    <t>PO-8121</t>
  </si>
  <si>
    <t>PCR-022</t>
  </si>
  <si>
    <t>PR-2622</t>
  </si>
  <si>
    <t>PO-8122</t>
  </si>
  <si>
    <t>PCR-023</t>
  </si>
  <si>
    <t>PR-2623</t>
  </si>
  <si>
    <t>PO-8123</t>
  </si>
  <si>
    <t>PCR-024</t>
  </si>
  <si>
    <t>PR-2624</t>
  </si>
  <si>
    <t>PO-8124</t>
  </si>
  <si>
    <t>PCR-025</t>
  </si>
  <si>
    <t>PR-2625</t>
  </si>
  <si>
    <t>PO-8125</t>
  </si>
  <si>
    <t>PCR-026</t>
  </si>
  <si>
    <t>PR-2626</t>
  </si>
  <si>
    <t>PO-8126</t>
  </si>
  <si>
    <t>PCR-027</t>
  </si>
  <si>
    <t>PR-2627</t>
  </si>
  <si>
    <t>PO-8127</t>
  </si>
  <si>
    <t>PCR-028</t>
  </si>
  <si>
    <t>PR-2628</t>
  </si>
  <si>
    <t>PO-8128</t>
  </si>
  <si>
    <t>PCR-029</t>
  </si>
  <si>
    <t>PR-2629</t>
  </si>
  <si>
    <t>PO-8129</t>
  </si>
  <si>
    <t>PCR-030</t>
  </si>
  <si>
    <t>PR-2630</t>
  </si>
  <si>
    <t>PCR-031</t>
  </si>
  <si>
    <t>PR-2631</t>
  </si>
  <si>
    <t>PO-8131</t>
  </si>
  <si>
    <t>PCR-032</t>
  </si>
  <si>
    <t>PR-2632</t>
  </si>
  <si>
    <t>PO-8132</t>
  </si>
  <si>
    <t>PCR-033</t>
  </si>
  <si>
    <t>PR-2633</t>
  </si>
  <si>
    <t>PO-8133</t>
  </si>
  <si>
    <t>PCR-034</t>
  </si>
  <si>
    <t>PR-2634</t>
  </si>
  <si>
    <t>PO-8134</t>
  </si>
  <si>
    <t>PCR-035</t>
  </si>
  <si>
    <t>PR-2635</t>
  </si>
  <si>
    <t>PO-8135</t>
  </si>
  <si>
    <t>PCR-036</t>
  </si>
  <si>
    <t>PR-2636</t>
  </si>
  <si>
    <t>PO-8136</t>
  </si>
  <si>
    <t>PCR-037</t>
  </si>
  <si>
    <t>PR-2637</t>
  </si>
  <si>
    <t>PO-8137</t>
  </si>
  <si>
    <t>PCR-038</t>
  </si>
  <si>
    <t>PR-2638</t>
  </si>
  <si>
    <t>PO-8138</t>
  </si>
  <si>
    <t>PCR-039</t>
  </si>
  <si>
    <t>PR-2639</t>
  </si>
  <si>
    <t>PO-8139</t>
  </si>
  <si>
    <t>PCR-040</t>
  </si>
  <si>
    <t>PR-2640</t>
  </si>
  <si>
    <t>PO-8140</t>
  </si>
  <si>
    <t>PCR-041</t>
  </si>
  <si>
    <t>PR-2641</t>
  </si>
  <si>
    <t>PO-8141</t>
  </si>
  <si>
    <t>PCR-042</t>
  </si>
  <si>
    <t>PR-2642</t>
  </si>
  <si>
    <t>PO-8142</t>
  </si>
  <si>
    <t>PCR-043</t>
  </si>
  <si>
    <t>PR-2643</t>
  </si>
  <si>
    <t>PO-8143</t>
  </si>
  <si>
    <t>PCR-044</t>
  </si>
  <si>
    <t>PR-2644</t>
  </si>
  <si>
    <t>PO-8144</t>
  </si>
  <si>
    <t>PCR-045</t>
  </si>
  <si>
    <t>PR-2645</t>
  </si>
  <si>
    <t>PO-8145</t>
  </si>
  <si>
    <t>PCR-046</t>
  </si>
  <si>
    <t>PR-2646</t>
  </si>
  <si>
    <t>PO-8146</t>
  </si>
  <si>
    <t>PCR-047</t>
  </si>
  <si>
    <t>PR-2647</t>
  </si>
  <si>
    <t>PCR-048</t>
  </si>
  <si>
    <t>PR-2648</t>
  </si>
  <si>
    <t>PO-8148</t>
  </si>
  <si>
    <t>PCR-049</t>
  </si>
  <si>
    <t>PR-2649</t>
  </si>
  <si>
    <t>PCR-050</t>
  </si>
  <si>
    <t>PR-2650</t>
  </si>
  <si>
    <t>PO-8150</t>
  </si>
  <si>
    <t>PCR-051</t>
  </si>
  <si>
    <t>PR-2651</t>
  </si>
  <si>
    <t>PO-8151</t>
  </si>
  <si>
    <t>PCR-052</t>
  </si>
  <si>
    <t>PR-2652</t>
  </si>
  <si>
    <t>PO-8152</t>
  </si>
  <si>
    <t>PCR-053</t>
  </si>
  <si>
    <t>PR-2653</t>
  </si>
  <si>
    <t>PO-8153</t>
  </si>
  <si>
    <t>PCR-054</t>
  </si>
  <si>
    <t>PR-2654</t>
  </si>
  <si>
    <t>PO-8154</t>
  </si>
  <si>
    <t>PCR-055</t>
  </si>
  <si>
    <t>PR-2655</t>
  </si>
  <si>
    <t>PO-8155</t>
  </si>
  <si>
    <t>PCR-056</t>
  </si>
  <si>
    <t>PR-2656</t>
  </si>
  <si>
    <t>PO-8156</t>
  </si>
  <si>
    <t>PCR-057</t>
  </si>
  <si>
    <t>PR-2657</t>
  </si>
  <si>
    <t>PO-8157</t>
  </si>
  <si>
    <t>PCR-058</t>
  </si>
  <si>
    <t>PR-2658</t>
  </si>
  <si>
    <t>PO-8158</t>
  </si>
  <si>
    <t>PCR-059</t>
  </si>
  <si>
    <t>PR-2659</t>
  </si>
  <si>
    <t>PO-8159</t>
  </si>
  <si>
    <t>PCR-060</t>
  </si>
  <si>
    <t>PR-2660</t>
  </si>
  <si>
    <t>PO-8160</t>
  </si>
  <si>
    <t>Total Commitment</t>
  </si>
  <si>
    <t>Invoiced</t>
  </si>
  <si>
    <t>Open Items</t>
  </si>
  <si>
    <t>Statuses</t>
  </si>
  <si>
    <t>Departments</t>
  </si>
  <si>
    <t>Vendors</t>
  </si>
  <si>
    <t>PROCUREMENT &amp; PAYMENT CONTROL CENTER</t>
  </si>
  <si>
    <t>Executive Procurement Visibility  |  PR → PO → Delivery → Invoice → Payment  |  Aging &amp; Vendor Exposure</t>
  </si>
  <si>
    <t>Total Commitments</t>
  </si>
  <si>
    <t>Outstanding Balance</t>
  </si>
  <si>
    <t>Paid to Date</t>
  </si>
  <si>
    <t>Overdue Payment Items</t>
  </si>
  <si>
    <t>High-Priority Items</t>
  </si>
  <si>
    <t>PROCUREMENT WORKFLOW STATUS</t>
  </si>
  <si>
    <t>PR Raised  •  PR Approved  •  PO Issued  •  Delivered  •  Invoice Received  •  Under Review  •  Approved for Payment  •  Paid</t>
  </si>
  <si>
    <t>Delievered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</si>
</sst>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SAR&quot;"/>
    <numFmt numFmtId="165" formatCode="dd\-mmm\-yyyy"/>
    <numFmt numFmtId="166" formatCode="#,##0,,&quot; M SAR&quot;"/>
    <numFmt numFmtId="167" formatCode="0.00,,&quot; M SAR&quot;"/>
  </numFmts>
  <fonts count="33" x14ac:knownFonts="1">
    <font>
      <sz val="11"/>
      <color theme="1"/>
      <name val="Calibri"/>
    </font>
    <font>
      <b/>
      <sz val="11"/>
      <color rgb="FFFFFFFF"/>
      <name val="Calibri"/>
    </font>
    <font>
      <b/>
      <sz val="24"/>
      <color rgb="FFFFFFFF"/>
      <name val="Calibri"/>
    </font>
    <font>
      <b/>
      <sz val="11"/>
      <color rgb="FF203864"/>
      <name val="Calibri"/>
    </font>
    <font>
      <b/>
      <sz val="20"/>
      <color rgb="FF17365D"/>
      <name val="Calibri"/>
    </font>
    <font>
      <b/>
      <sz val="8"/>
      <color rgb="FF6B7280"/>
      <name val="Calibri"/>
    </font>
    <font>
      <b/>
      <sz val="22"/>
      <color rgb="FFC84C4C"/>
      <name val="Calibri"/>
    </font>
    <font>
      <b/>
      <sz val="22"/>
      <color rgb="FF4E9F6E"/>
      <name val="Calibri"/>
    </font>
    <font>
      <b/>
      <sz val="22"/>
      <color rgb="FF7467B1"/>
      <name val="Calibri"/>
    </font>
    <font>
      <b/>
      <sz val="13"/>
      <color rgb="FF111827"/>
      <name val="Calibri"/>
    </font>
    <font>
      <b/>
      <sz val="20"/>
      <color rgb="FF2E8BC0"/>
      <name val="Calibri"/>
    </font>
    <font>
      <b/>
      <sz val="7"/>
      <color rgb="FFFFFFFF"/>
      <name val="Calibri"/>
    </font>
    <font>
      <b/>
      <sz val="20"/>
      <color rgb="FF153B5B"/>
      <name val="Calibri"/>
    </font>
    <font>
      <b/>
      <sz val="20"/>
      <color rgb="FF1F9D8B"/>
      <name val="Calibri"/>
    </font>
    <font>
      <b/>
      <sz val="20"/>
      <color rgb="FF1F9D8B"/>
      <name val="Calibri"/>
    </font>
    <font>
      <b/>
      <sz val="20"/>
      <color rgb="FF4E9F6E"/>
      <name val="Calibri"/>
    </font>
    <font>
      <b/>
      <sz val="10"/>
      <color rgb="FF8B1E1E"/>
      <name val="Calibri"/>
    </font>
    <font>
      <sz val="8"/>
      <color rgb="FF111827"/>
      <name val="Calibri"/>
    </font>
    <font>
      <b/>
      <sz val="8"/>
      <color rgb="FFFFFFFF"/>
      <name val="Calibri"/>
    </font>
    <font>
      <i/>
      <sz val="8"/>
      <color rgb="FF6B7280"/>
      <name val="Calibri"/>
    </font>
    <font>
      <b/>
      <sz val="20"/>
      <color rgb="FFFFFFFF"/>
      <name val="Calibri"/>
    </font>
    <font>
      <sz val="9"/>
      <color rgb="FFE6F0F7"/>
      <name val="Calibri"/>
    </font>
    <font>
      <b/>
      <sz val="9"/>
      <color rgb="FFE6F0F7"/>
      <name val="Calibri"/>
    </font>
    <font>
      <b/>
      <sz val="19"/>
      <color rgb="FFD89B27"/>
      <name val="Calibri"/>
    </font>
    <font>
      <b/>
      <sz val="19"/>
      <color rgb="FFC84C4C"/>
      <name val="Calibri"/>
    </font>
    <font>
      <b/>
      <sz val="19"/>
      <color rgb="FF4E9F6E"/>
      <name val="Calibri"/>
    </font>
    <font>
      <b/>
      <sz val="19"/>
      <color rgb="FF2F80A8"/>
      <name val="Calibri"/>
    </font>
    <font>
      <b/>
      <sz val="19"/>
      <color rgb="FF7467B1"/>
      <name val="Calibri"/>
    </font>
    <font>
      <b/>
      <sz val="10"/>
      <color rgb="FFFFFFFF"/>
      <name val="Calibri"/>
    </font>
    <font>
      <b/>
      <sz val="16"/>
      <color rgb="FF2F80A8"/>
      <name val="Calibri"/>
    </font>
    <font>
      <b/>
      <sz val="16"/>
      <color rgb="FF1D4E73"/>
      <name val="Calibri"/>
    </font>
    <font>
      <b/>
      <sz val="16"/>
      <color rgb="FF178A82"/>
      <name val="Calibri"/>
    </font>
    <font>
      <b/>
      <sz val="16"/>
      <color rgb="FFD89B27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6F8FB"/>
      </patternFill>
    </fill>
    <fill>
      <patternFill patternType="solid">
        <fgColor rgb="FF153B5B"/>
      </patternFill>
    </fill>
    <fill>
      <patternFill patternType="solid">
        <fgColor rgb="FFFFFFFF"/>
      </patternFill>
    </fill>
    <fill>
      <patternFill patternType="solid">
        <fgColor rgb="FFEEF3F7"/>
      </patternFill>
    </fill>
    <fill>
      <patternFill patternType="solid">
        <fgColor rgb="FF1F9D8B"/>
      </patternFill>
    </fill>
    <fill>
      <patternFill patternType="solid">
        <fgColor rgb="FF4E9F6E"/>
      </patternFill>
    </fill>
    <fill>
      <patternFill patternType="solid">
        <fgColor rgb="FFFBECEC"/>
      </patternFill>
    </fill>
    <fill>
      <patternFill patternType="solid">
        <fgColor rgb="FFF6F8FB"/>
      </patternFill>
    </fill>
    <fill>
      <patternFill patternType="solid">
        <fgColor rgb="FF0B1F33"/>
      </patternFill>
    </fill>
    <fill>
      <patternFill patternType="solid">
        <fgColor rgb="FF1D4E73"/>
      </patternFill>
    </fill>
    <fill>
      <patternFill patternType="solid">
        <fgColor rgb="FFFFFFFF"/>
      </patternFill>
    </fill>
    <fill>
      <patternFill patternType="solid">
        <fgColor rgb="FFEEF3F7"/>
      </patternFill>
    </fill>
    <fill>
      <patternFill patternType="solid">
        <fgColor rgb="FFEAF0F6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thick">
        <color rgb="FFD89B27"/>
      </left>
      <right/>
      <top style="thin">
        <color rgb="FFDCE3EA"/>
      </top>
      <bottom/>
      <diagonal/>
    </border>
    <border>
      <left/>
      <right/>
      <top style="thin">
        <color rgb="FFDCE3EA"/>
      </top>
      <bottom/>
      <diagonal/>
    </border>
    <border>
      <left/>
      <right style="thin">
        <color rgb="FFDCE3EA"/>
      </right>
      <top style="thin">
        <color rgb="FFDCE3EA"/>
      </top>
      <bottom/>
      <diagonal/>
    </border>
    <border>
      <left/>
      <right style="thin">
        <color rgb="FFDCE3EA"/>
      </right>
      <top/>
      <bottom/>
      <diagonal/>
    </border>
    <border>
      <left style="thick">
        <color rgb="FFD89B27"/>
      </left>
      <right/>
      <top/>
      <bottom style="thin">
        <color rgb="FFDCE3EA"/>
      </bottom>
      <diagonal/>
    </border>
    <border>
      <left/>
      <right/>
      <top/>
      <bottom style="thin">
        <color rgb="FFDCE3EA"/>
      </bottom>
      <diagonal/>
    </border>
    <border>
      <left/>
      <right style="thin">
        <color rgb="FFDCE3EA"/>
      </right>
      <top/>
      <bottom style="thin">
        <color rgb="FFDCE3EA"/>
      </bottom>
      <diagonal/>
    </border>
    <border>
      <left/>
      <right style="thin">
        <color rgb="FFDCE3EA"/>
      </right>
      <top/>
      <bottom/>
      <diagonal/>
    </border>
    <border>
      <left style="thick">
        <color rgb="FFC84C4C"/>
      </left>
      <right/>
      <top style="thin">
        <color rgb="FFDCE3EA"/>
      </top>
      <bottom/>
      <diagonal/>
    </border>
    <border>
      <left style="thick">
        <color rgb="FFC84C4C"/>
      </left>
      <right/>
      <top/>
      <bottom/>
      <diagonal/>
    </border>
    <border>
      <left style="thick">
        <color rgb="FFC84C4C"/>
      </left>
      <right/>
      <top/>
      <bottom style="thin">
        <color rgb="FFDCE3EA"/>
      </bottom>
      <diagonal/>
    </border>
    <border>
      <left style="thick">
        <color rgb="FFC84C4C"/>
      </left>
      <right/>
      <top/>
      <bottom/>
      <diagonal/>
    </border>
    <border>
      <left style="thick">
        <color rgb="FF4E9F6E"/>
      </left>
      <right/>
      <top/>
      <bottom/>
      <diagonal/>
    </border>
    <border>
      <left style="thick">
        <color rgb="FF4E9F6E"/>
      </left>
      <right/>
      <top/>
      <bottom style="thin">
        <color rgb="FFDCE3EA"/>
      </bottom>
      <diagonal/>
    </border>
    <border>
      <left style="thick">
        <color rgb="FF7467B1"/>
      </left>
      <right/>
      <top style="thin">
        <color rgb="FFDCE3EA"/>
      </top>
      <bottom/>
      <diagonal/>
    </border>
    <border>
      <left style="thick">
        <color rgb="FF7467B1"/>
      </left>
      <right/>
      <top/>
      <bottom/>
      <diagonal/>
    </border>
    <border>
      <left style="thick">
        <color rgb="FF7467B1"/>
      </left>
      <right/>
      <top/>
      <bottom style="thin">
        <color rgb="FFDCE3EA"/>
      </bottom>
      <diagonal/>
    </border>
    <border>
      <left style="thin">
        <color rgb="FFDCE3EA"/>
      </left>
      <right/>
      <top style="thin">
        <color rgb="FFDCE3EA"/>
      </top>
      <bottom/>
      <diagonal/>
    </border>
    <border>
      <left style="thin">
        <color rgb="FFDCE3EA"/>
      </left>
      <right/>
      <top/>
      <bottom/>
      <diagonal/>
    </border>
    <border>
      <left style="thin">
        <color rgb="FFDCE3EA"/>
      </left>
      <right/>
      <top/>
      <bottom style="thin">
        <color rgb="FFDCE3EA"/>
      </bottom>
      <diagonal/>
    </border>
    <border>
      <left style="thick">
        <color rgb="FFC84C4C"/>
      </left>
      <right/>
      <top style="thin">
        <color rgb="FFF0CACA"/>
      </top>
      <bottom/>
      <diagonal/>
    </border>
    <border>
      <left/>
      <right/>
      <top style="thin">
        <color rgb="FFF0CACA"/>
      </top>
      <bottom/>
      <diagonal/>
    </border>
    <border>
      <left/>
      <right style="thin">
        <color rgb="FFF0CACA"/>
      </right>
      <top style="thin">
        <color rgb="FFF0CACA"/>
      </top>
      <bottom/>
      <diagonal/>
    </border>
    <border>
      <left/>
      <right style="thin">
        <color rgb="FFF0CACA"/>
      </right>
      <top/>
      <bottom/>
      <diagonal/>
    </border>
    <border>
      <left style="thick">
        <color rgb="FFC84C4C"/>
      </left>
      <right/>
      <top/>
      <bottom style="thin">
        <color rgb="FFF0CACA"/>
      </bottom>
      <diagonal/>
    </border>
    <border>
      <left/>
      <right/>
      <top/>
      <bottom style="thin">
        <color rgb="FFF0CACA"/>
      </bottom>
      <diagonal/>
    </border>
    <border>
      <left/>
      <right style="thin">
        <color rgb="FFF0CACA"/>
      </right>
      <top/>
      <bottom style="thin">
        <color rgb="FFF0CACA"/>
      </bottom>
      <diagonal/>
    </border>
    <border>
      <left/>
      <right/>
      <top/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thin">
        <color rgb="FFDCE3EA"/>
      </left>
      <right/>
      <top style="thin">
        <color rgb="FFDCE3EA"/>
      </top>
      <bottom style="thin">
        <color rgb="FFDCE3EA"/>
      </bottom>
      <diagonal/>
    </border>
    <border>
      <left/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thick">
        <color rgb="FF2F80A8"/>
      </left>
      <right/>
      <top style="thin">
        <color rgb="FFDCE3EA"/>
      </top>
      <bottom/>
      <diagonal/>
    </border>
    <border>
      <left style="thick">
        <color rgb="FF2F80A8"/>
      </left>
      <right/>
      <top/>
      <bottom style="thin">
        <color rgb="FFDCE3EA"/>
      </bottom>
      <diagonal/>
    </border>
    <border>
      <left style="thick">
        <color rgb="FF1D4E73"/>
      </left>
      <right/>
      <top style="thin">
        <color rgb="FFDCE3EA"/>
      </top>
      <bottom/>
      <diagonal/>
    </border>
    <border>
      <left style="thick">
        <color rgb="FF1D4E73"/>
      </left>
      <right/>
      <top/>
      <bottom style="thin">
        <color rgb="FFDCE3EA"/>
      </bottom>
      <diagonal/>
    </border>
    <border>
      <left style="thick">
        <color rgb="FF178A82"/>
      </left>
      <right/>
      <top style="thin">
        <color rgb="FFDCE3EA"/>
      </top>
      <bottom/>
      <diagonal/>
    </border>
    <border>
      <left style="thick">
        <color rgb="FF178A82"/>
      </left>
      <right style="thin">
        <color rgb="FFDCE3EA"/>
      </right>
      <top style="thin">
        <color rgb="FFDCE3EA"/>
      </top>
      <bottom style="thin">
        <color rgb="FFDCE3EA"/>
      </bottom>
      <diagonal/>
    </border>
    <border>
      <left style="thick">
        <color rgb="FFD89B27"/>
      </left>
      <right style="thin">
        <color rgb="FFDCE3EA"/>
      </right>
      <top style="thin">
        <color rgb="FFDCE3EA"/>
      </top>
      <bottom style="thin">
        <color rgb="FFDCE3EA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0" fontId="0" fillId="3" borderId="0" xfId="0" applyFill="1"/>
    <xf numFmtId="0" fontId="1" fillId="3" borderId="0" xfId="0" applyFont="1" applyFill="1"/>
    <xf numFmtId="164" fontId="0" fillId="3" borderId="0" xfId="0" applyNumberFormat="1" applyFill="1"/>
    <xf numFmtId="0" fontId="9" fillId="3" borderId="0" xfId="0" applyFont="1" applyFill="1"/>
    <xf numFmtId="0" fontId="14" fillId="5" borderId="9" xfId="0" applyFont="1" applyFill="1" applyBorder="1" applyAlignment="1">
      <alignment horizontal="center" vertical="center"/>
    </xf>
    <xf numFmtId="0" fontId="17" fillId="5" borderId="21" xfId="0" applyFont="1" applyFill="1" applyBorder="1"/>
    <xf numFmtId="0" fontId="17" fillId="5" borderId="6" xfId="0" applyFont="1" applyFill="1" applyBorder="1"/>
    <xf numFmtId="0" fontId="17" fillId="5" borderId="22" xfId="0" applyFont="1" applyFill="1" applyBorder="1"/>
    <xf numFmtId="0" fontId="17" fillId="5" borderId="9" xfId="0" applyFont="1" applyFill="1" applyBorder="1"/>
    <xf numFmtId="0" fontId="18" fillId="4" borderId="20" xfId="0" applyFont="1" applyFill="1" applyBorder="1"/>
    <xf numFmtId="0" fontId="18" fillId="4" borderId="5" xfId="0" applyFont="1" applyFill="1" applyBorder="1"/>
    <xf numFmtId="0" fontId="18" fillId="4" borderId="20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164" fontId="17" fillId="5" borderId="6" xfId="0" applyNumberFormat="1" applyFont="1" applyFill="1" applyBorder="1"/>
    <xf numFmtId="164" fontId="17" fillId="5" borderId="9" xfId="0" applyNumberFormat="1" applyFont="1" applyFill="1" applyBorder="1"/>
    <xf numFmtId="0" fontId="19" fillId="6" borderId="0" xfId="0" applyFont="1" applyFill="1" applyAlignment="1">
      <alignment vertical="center" wrapText="1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7" fontId="7" fillId="5" borderId="16" xfId="0" applyNumberFormat="1" applyFont="1" applyFill="1" applyBorder="1" applyAlignment="1">
      <alignment horizontal="center" vertical="center"/>
    </xf>
    <xf numFmtId="167" fontId="7" fillId="5" borderId="8" xfId="0" applyNumberFormat="1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0" fillId="10" borderId="0" xfId="0" applyFill="1"/>
    <xf numFmtId="0" fontId="3" fillId="10" borderId="1" xfId="0" applyFont="1" applyFill="1" applyBorder="1" applyAlignment="1">
      <alignment horizontal="center" vertical="top" wrapText="1"/>
    </xf>
    <xf numFmtId="0" fontId="5" fillId="10" borderId="0" xfId="0" applyFont="1" applyFill="1" applyAlignment="1">
      <alignment horizontal="left"/>
    </xf>
    <xf numFmtId="0" fontId="9" fillId="10" borderId="0" xfId="0" applyFont="1" applyFill="1"/>
    <xf numFmtId="166" fontId="4" fillId="10" borderId="0" xfId="0" applyNumberFormat="1" applyFont="1" applyFill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3" fillId="10" borderId="22" xfId="0" applyFont="1" applyFill="1" applyBorder="1" applyAlignment="1">
      <alignment horizontal="center" vertical="center"/>
    </xf>
    <xf numFmtId="0" fontId="1" fillId="10" borderId="0" xfId="0" applyFont="1" applyFill="1"/>
    <xf numFmtId="0" fontId="0" fillId="16" borderId="0" xfId="0" applyFill="1"/>
    <xf numFmtId="0" fontId="20" fillId="11" borderId="30" xfId="0" applyFont="1" applyFill="1" applyBorder="1" applyAlignment="1">
      <alignment horizontal="center" vertical="center"/>
    </xf>
    <xf numFmtId="167" fontId="29" fillId="13" borderId="34" xfId="0" applyNumberFormat="1" applyFont="1" applyFill="1" applyBorder="1" applyAlignment="1">
      <alignment horizontal="center" vertical="center"/>
    </xf>
    <xf numFmtId="167" fontId="29" fillId="13" borderId="5" xfId="0" applyNumberFormat="1" applyFont="1" applyFill="1" applyBorder="1" applyAlignment="1">
      <alignment horizontal="center" vertical="center"/>
    </xf>
    <xf numFmtId="167" fontId="29" fillId="13" borderId="35" xfId="0" applyNumberFormat="1" applyFont="1" applyFill="1" applyBorder="1" applyAlignment="1">
      <alignment horizontal="center" vertical="center"/>
    </xf>
    <xf numFmtId="167" fontId="29" fillId="13" borderId="9" xfId="0" applyNumberFormat="1" applyFont="1" applyFill="1" applyBorder="1" applyAlignment="1">
      <alignment horizontal="center" vertical="center"/>
    </xf>
    <xf numFmtId="0" fontId="30" fillId="13" borderId="36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30" fillId="13" borderId="37" xfId="0" applyFont="1" applyFill="1" applyBorder="1" applyAlignment="1">
      <alignment horizontal="center" vertical="center"/>
    </xf>
    <xf numFmtId="0" fontId="30" fillId="13" borderId="31" xfId="0" applyFont="1" applyFill="1" applyBorder="1" applyAlignment="1">
      <alignment horizontal="center" vertical="center"/>
    </xf>
    <xf numFmtId="0" fontId="31" fillId="13" borderId="38" xfId="0" applyFont="1" applyFill="1" applyBorder="1" applyAlignment="1">
      <alignment horizontal="center" vertical="center"/>
    </xf>
    <xf numFmtId="0" fontId="31" fillId="13" borderId="5" xfId="0" applyFont="1" applyFill="1" applyBorder="1" applyAlignment="1">
      <alignment horizontal="center" vertical="center"/>
    </xf>
    <xf numFmtId="0" fontId="31" fillId="13" borderId="39" xfId="0" applyFont="1" applyFill="1" applyBorder="1" applyAlignment="1">
      <alignment horizontal="center" vertical="center"/>
    </xf>
    <xf numFmtId="0" fontId="31" fillId="13" borderId="31" xfId="0" applyFont="1" applyFill="1" applyBorder="1" applyAlignment="1">
      <alignment horizontal="center" vertical="center"/>
    </xf>
    <xf numFmtId="0" fontId="32" fillId="13" borderId="3" xfId="0" applyFont="1" applyFill="1" applyBorder="1" applyAlignment="1">
      <alignment horizontal="center" vertical="center"/>
    </xf>
    <xf numFmtId="0" fontId="32" fillId="13" borderId="5" xfId="0" applyFont="1" applyFill="1" applyBorder="1" applyAlignment="1">
      <alignment horizontal="center" vertical="center"/>
    </xf>
    <xf numFmtId="0" fontId="32" fillId="13" borderId="40" xfId="0" applyFont="1" applyFill="1" applyBorder="1" applyAlignment="1">
      <alignment horizontal="center" vertical="center"/>
    </xf>
    <xf numFmtId="0" fontId="32" fillId="13" borderId="31" xfId="0" applyFont="1" applyFill="1" applyBorder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17" fillId="5" borderId="21" xfId="0" applyFont="1" applyFill="1" applyBorder="1"/>
    <xf numFmtId="164" fontId="17" fillId="5" borderId="6" xfId="0" applyNumberFormat="1" applyFont="1" applyFill="1" applyBorder="1"/>
    <xf numFmtId="0" fontId="17" fillId="5" borderId="22" xfId="0" applyFont="1" applyFill="1" applyBorder="1"/>
    <xf numFmtId="164" fontId="17" fillId="5" borderId="9" xfId="0" applyNumberFormat="1" applyFont="1" applyFill="1" applyBorder="1"/>
    <xf numFmtId="0" fontId="19" fillId="6" borderId="0" xfId="0" applyFont="1" applyFill="1" applyAlignment="1">
      <alignment vertical="center" wrapText="1"/>
    </xf>
    <xf numFmtId="0" fontId="1" fillId="3" borderId="0" xfId="0" applyFont="1" applyFill="1"/>
    <xf numFmtId="0" fontId="21" fillId="12" borderId="0" xfId="0" applyFont="1" applyFill="1" applyAlignment="1">
      <alignment horizontal="center" vertical="center"/>
    </xf>
    <xf numFmtId="0" fontId="22" fillId="12" borderId="1" xfId="0" applyFont="1" applyFill="1" applyBorder="1" applyAlignment="1">
      <alignment horizontal="center" vertical="center" wrapText="1"/>
    </xf>
    <xf numFmtId="167" fontId="23" fillId="13" borderId="20" xfId="0" applyNumberFormat="1" applyFont="1" applyFill="1" applyBorder="1" applyAlignment="1">
      <alignment horizontal="center" vertical="center"/>
    </xf>
    <xf numFmtId="167" fontId="23" fillId="13" borderId="5" xfId="0" applyNumberFormat="1" applyFont="1" applyFill="1" applyBorder="1" applyAlignment="1">
      <alignment horizontal="center" vertical="center"/>
    </xf>
    <xf numFmtId="167" fontId="23" fillId="13" borderId="22" xfId="0" applyNumberFormat="1" applyFont="1" applyFill="1" applyBorder="1" applyAlignment="1">
      <alignment horizontal="center" vertical="center"/>
    </xf>
    <xf numFmtId="167" fontId="23" fillId="13" borderId="9" xfId="0" applyNumberFormat="1" applyFont="1" applyFill="1" applyBorder="1" applyAlignment="1">
      <alignment horizontal="center" vertical="center"/>
    </xf>
    <xf numFmtId="167" fontId="24" fillId="13" borderId="20" xfId="0" applyNumberFormat="1" applyFont="1" applyFill="1" applyBorder="1" applyAlignment="1">
      <alignment horizontal="center" vertical="center"/>
    </xf>
    <xf numFmtId="167" fontId="24" fillId="13" borderId="5" xfId="0" applyNumberFormat="1" applyFont="1" applyFill="1" applyBorder="1" applyAlignment="1">
      <alignment horizontal="center" vertical="center"/>
    </xf>
    <xf numFmtId="167" fontId="24" fillId="13" borderId="22" xfId="0" applyNumberFormat="1" applyFont="1" applyFill="1" applyBorder="1" applyAlignment="1">
      <alignment horizontal="center" vertical="center"/>
    </xf>
    <xf numFmtId="167" fontId="24" fillId="13" borderId="9" xfId="0" applyNumberFormat="1" applyFont="1" applyFill="1" applyBorder="1" applyAlignment="1">
      <alignment horizontal="center" vertical="center"/>
    </xf>
    <xf numFmtId="167" fontId="25" fillId="13" borderId="20" xfId="0" applyNumberFormat="1" applyFont="1" applyFill="1" applyBorder="1" applyAlignment="1">
      <alignment horizontal="center" vertical="center"/>
    </xf>
    <xf numFmtId="167" fontId="25" fillId="13" borderId="5" xfId="0" applyNumberFormat="1" applyFont="1" applyFill="1" applyBorder="1" applyAlignment="1">
      <alignment horizontal="center" vertical="center"/>
    </xf>
    <xf numFmtId="167" fontId="25" fillId="13" borderId="22" xfId="0" applyNumberFormat="1" applyFont="1" applyFill="1" applyBorder="1" applyAlignment="1">
      <alignment horizontal="center" vertical="center"/>
    </xf>
    <xf numFmtId="167" fontId="25" fillId="13" borderId="31" xfId="0" applyNumberFormat="1" applyFont="1" applyFill="1" applyBorder="1" applyAlignment="1">
      <alignment horizontal="center" vertical="center"/>
    </xf>
    <xf numFmtId="1" fontId="26" fillId="13" borderId="20" xfId="0" applyNumberFormat="1" applyFont="1" applyFill="1" applyBorder="1" applyAlignment="1">
      <alignment horizontal="center" vertical="center"/>
    </xf>
    <xf numFmtId="1" fontId="26" fillId="13" borderId="4" xfId="0" applyNumberFormat="1" applyFont="1" applyFill="1" applyBorder="1" applyAlignment="1">
      <alignment horizontal="center" vertical="center"/>
    </xf>
    <xf numFmtId="1" fontId="26" fillId="13" borderId="5" xfId="0" applyNumberFormat="1" applyFont="1" applyFill="1" applyBorder="1" applyAlignment="1">
      <alignment horizontal="center" vertical="center"/>
    </xf>
    <xf numFmtId="1" fontId="26" fillId="13" borderId="31" xfId="0" applyNumberFormat="1" applyFont="1" applyFill="1" applyBorder="1" applyAlignment="1">
      <alignment horizontal="center" vertical="center"/>
    </xf>
    <xf numFmtId="1" fontId="26" fillId="13" borderId="32" xfId="0" applyNumberFormat="1" applyFont="1" applyFill="1" applyBorder="1" applyAlignment="1">
      <alignment horizontal="center" vertical="center"/>
    </xf>
    <xf numFmtId="1" fontId="26" fillId="13" borderId="33" xfId="0" applyNumberFormat="1" applyFont="1" applyFill="1" applyBorder="1" applyAlignment="1">
      <alignment horizontal="center" vertical="center"/>
    </xf>
    <xf numFmtId="1" fontId="27" fillId="13" borderId="20" xfId="0" applyNumberFormat="1" applyFont="1" applyFill="1" applyBorder="1" applyAlignment="1">
      <alignment horizontal="center" vertical="center"/>
    </xf>
    <xf numFmtId="1" fontId="27" fillId="13" borderId="4" xfId="0" applyNumberFormat="1" applyFont="1" applyFill="1" applyBorder="1" applyAlignment="1">
      <alignment horizontal="center" vertical="center"/>
    </xf>
    <xf numFmtId="1" fontId="27" fillId="13" borderId="5" xfId="0" applyNumberFormat="1" applyFont="1" applyFill="1" applyBorder="1" applyAlignment="1">
      <alignment horizontal="center" vertical="center"/>
    </xf>
    <xf numFmtId="1" fontId="27" fillId="13" borderId="32" xfId="0" applyNumberFormat="1" applyFont="1" applyFill="1" applyBorder="1" applyAlignment="1">
      <alignment horizontal="center" vertical="center"/>
    </xf>
    <xf numFmtId="1" fontId="27" fillId="13" borderId="33" xfId="0" applyNumberFormat="1" applyFont="1" applyFill="1" applyBorder="1" applyAlignment="1">
      <alignment horizontal="center" vertical="center"/>
    </xf>
    <xf numFmtId="1" fontId="27" fillId="13" borderId="31" xfId="0" applyNumberFormat="1" applyFont="1" applyFill="1" applyBorder="1" applyAlignment="1">
      <alignment horizontal="center" vertical="center"/>
    </xf>
    <xf numFmtId="167" fontId="5" fillId="14" borderId="7" xfId="0" applyNumberFormat="1" applyFont="1" applyFill="1" applyBorder="1" applyAlignment="1">
      <alignment horizontal="center" vertical="center"/>
    </xf>
    <xf numFmtId="167" fontId="5" fillId="14" borderId="8" xfId="0" applyNumberFormat="1" applyFont="1" applyFill="1" applyBorder="1" applyAlignment="1">
      <alignment horizontal="center" vertical="center"/>
    </xf>
    <xf numFmtId="167" fontId="5" fillId="14" borderId="9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4" borderId="21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167" fontId="28" fillId="11" borderId="11" xfId="0" applyNumberFormat="1" applyFont="1" applyFill="1" applyBorder="1" applyAlignment="1">
      <alignment horizontal="left" vertical="center"/>
    </xf>
    <xf numFmtId="167" fontId="28" fillId="11" borderId="4" xfId="0" applyNumberFormat="1" applyFont="1" applyFill="1" applyBorder="1" applyAlignment="1">
      <alignment horizontal="left" vertical="center"/>
    </xf>
    <xf numFmtId="167" fontId="28" fillId="11" borderId="5" xfId="0" applyNumberFormat="1" applyFont="1" applyFill="1" applyBorder="1" applyAlignment="1">
      <alignment horizontal="left" vertical="center"/>
    </xf>
    <xf numFmtId="0" fontId="28" fillId="11" borderId="0" xfId="0" applyFont="1" applyFill="1" applyAlignment="1">
      <alignment horizontal="left" vertical="center"/>
    </xf>
    <xf numFmtId="0" fontId="9" fillId="3" borderId="2" xfId="0" applyFont="1" applyFill="1" applyBorder="1"/>
    <xf numFmtId="0" fontId="9" fillId="3" borderId="28" xfId="0" applyFont="1" applyFill="1" applyBorder="1" applyAlignment="1">
      <alignment horizontal="center"/>
    </xf>
    <xf numFmtId="1" fontId="8" fillId="5" borderId="17" xfId="0" applyNumberFormat="1" applyFont="1" applyFill="1" applyBorder="1" applyAlignment="1">
      <alignment horizontal="center" vertical="center"/>
    </xf>
    <xf numFmtId="1" fontId="8" fillId="5" borderId="4" xfId="0" applyNumberFormat="1" applyFont="1" applyFill="1" applyBorder="1" applyAlignment="1">
      <alignment horizontal="center" vertical="center"/>
    </xf>
    <xf numFmtId="1" fontId="8" fillId="5" borderId="5" xfId="0" applyNumberFormat="1" applyFont="1" applyFill="1" applyBorder="1" applyAlignment="1">
      <alignment horizontal="center" vertical="center"/>
    </xf>
    <xf numFmtId="1" fontId="8" fillId="5" borderId="18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1" fontId="8" fillId="5" borderId="6" xfId="0" applyNumberFormat="1" applyFont="1" applyFill="1" applyBorder="1" applyAlignment="1">
      <alignment horizontal="center" vertical="center"/>
    </xf>
    <xf numFmtId="1" fontId="8" fillId="5" borderId="19" xfId="0" applyNumberFormat="1" applyFont="1" applyFill="1" applyBorder="1" applyAlignment="1">
      <alignment horizontal="center" vertical="center"/>
    </xf>
    <xf numFmtId="1" fontId="8" fillId="5" borderId="8" xfId="0" applyNumberFormat="1" applyFont="1" applyFill="1" applyBorder="1" applyAlignment="1">
      <alignment horizontal="center" vertical="center"/>
    </xf>
    <xf numFmtId="1" fontId="8" fillId="5" borderId="9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/>
    </xf>
    <xf numFmtId="0" fontId="16" fillId="9" borderId="23" xfId="0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9" fillId="3" borderId="10" xfId="0" applyFont="1" applyFill="1" applyBorder="1"/>
    <xf numFmtId="1" fontId="6" fillId="5" borderId="11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 vertical="center"/>
    </xf>
    <xf numFmtId="1" fontId="6" fillId="5" borderId="12" xfId="0" applyNumberFormat="1" applyFont="1" applyFill="1" applyBorder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" fontId="6" fillId="5" borderId="6" xfId="0" applyNumberFormat="1" applyFont="1" applyFill="1" applyBorder="1" applyAlignment="1">
      <alignment horizontal="center" vertical="center"/>
    </xf>
    <xf numFmtId="1" fontId="6" fillId="5" borderId="13" xfId="0" applyNumberFormat="1" applyFont="1" applyFill="1" applyBorder="1" applyAlignment="1">
      <alignment horizontal="center" vertical="center"/>
    </xf>
    <xf numFmtId="1" fontId="6" fillId="5" borderId="8" xfId="0" applyNumberFormat="1" applyFont="1" applyFill="1" applyBorder="1" applyAlignment="1">
      <alignment horizontal="center" vertical="center"/>
    </xf>
    <xf numFmtId="1" fontId="6" fillId="5" borderId="9" xfId="0" applyNumberFormat="1" applyFont="1" applyFill="1" applyBorder="1" applyAlignment="1">
      <alignment horizontal="center" vertical="center"/>
    </xf>
    <xf numFmtId="167" fontId="5" fillId="15" borderId="15" xfId="0" applyNumberFormat="1" applyFont="1" applyFill="1" applyBorder="1" applyAlignment="1">
      <alignment horizontal="center" vertical="center"/>
    </xf>
    <xf numFmtId="167" fontId="5" fillId="15" borderId="0" xfId="0" applyNumberFormat="1" applyFont="1" applyFill="1" applyAlignment="1">
      <alignment horizontal="center" vertical="center"/>
    </xf>
    <xf numFmtId="167" fontId="5" fillId="15" borderId="6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Vendor Exposure Mix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Outstanding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Dashboard'!$K$18:$K$25</c:f>
              <c:strCache>
                <c:ptCount val="8"/>
                <c:pt idx="0">
                  <c:v>Atlas Services</c:v>
                </c:pt>
                <c:pt idx="1">
                  <c:v>Prime Logistics</c:v>
                </c:pt>
                <c:pt idx="2">
                  <c:v>Gulf Technical</c:v>
                </c:pt>
                <c:pt idx="3">
                  <c:v>Horizon Supply</c:v>
                </c:pt>
                <c:pt idx="4">
                  <c:v>Vertex Trading</c:v>
                </c:pt>
                <c:pt idx="5">
                  <c:v>Nexa Facilities</c:v>
                </c:pt>
                <c:pt idx="6">
                  <c:v>Summit Industrial</c:v>
                </c:pt>
                <c:pt idx="7">
                  <c:v>BlueLine Services</c:v>
                </c:pt>
              </c:strCache>
            </c:strRef>
          </c:cat>
          <c:val>
            <c:numRef>
              <c:f>'Executive Dashboard'!$L$18:$L$25</c:f>
              <c:numCache>
                <c:formatCode>#,##0\ "SAR"</c:formatCode>
                <c:ptCount val="8"/>
                <c:pt idx="0">
                  <c:v>1221840</c:v>
                </c:pt>
                <c:pt idx="1">
                  <c:v>1375997</c:v>
                </c:pt>
                <c:pt idx="2">
                  <c:v>1628709</c:v>
                </c:pt>
                <c:pt idx="3">
                  <c:v>601988</c:v>
                </c:pt>
                <c:pt idx="4">
                  <c:v>1624007</c:v>
                </c:pt>
                <c:pt idx="5">
                  <c:v>1792757</c:v>
                </c:pt>
                <c:pt idx="6">
                  <c:v>886605</c:v>
                </c:pt>
                <c:pt idx="7">
                  <c:v>681000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6-459A-88D7-4BAF055ED9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Outstanding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Outstanding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Dashboard'!$K$29:$K$36</c:f>
              <c:strCache>
                <c:ptCount val="8"/>
                <c:pt idx="0">
                  <c:v>Operations</c:v>
                </c:pt>
                <c:pt idx="1">
                  <c:v>Administration</c:v>
                </c:pt>
                <c:pt idx="2">
                  <c:v>Logistics</c:v>
                </c:pt>
                <c:pt idx="3">
                  <c:v>Procurement</c:v>
                </c:pt>
                <c:pt idx="4">
                  <c:v>Document Control</c:v>
                </c:pt>
                <c:pt idx="5">
                  <c:v>Finance</c:v>
                </c:pt>
                <c:pt idx="6">
                  <c:v>Executive Office</c:v>
                </c:pt>
                <c:pt idx="7">
                  <c:v>Facilities</c:v>
                </c:pt>
              </c:strCache>
            </c:strRef>
          </c:cat>
          <c:val>
            <c:numRef>
              <c:f>'Executive Dashboard'!$L$29:$L$36</c:f>
              <c:numCache>
                <c:formatCode>#,##0\ "SAR"</c:formatCode>
                <c:ptCount val="8"/>
                <c:pt idx="0">
                  <c:v>898403</c:v>
                </c:pt>
                <c:pt idx="1">
                  <c:v>218991</c:v>
                </c:pt>
                <c:pt idx="2">
                  <c:v>1332066</c:v>
                </c:pt>
                <c:pt idx="3">
                  <c:v>1026822</c:v>
                </c:pt>
                <c:pt idx="4">
                  <c:v>1574502</c:v>
                </c:pt>
                <c:pt idx="5">
                  <c:v>2069950</c:v>
                </c:pt>
                <c:pt idx="6">
                  <c:v>1200738</c:v>
                </c:pt>
                <c:pt idx="7">
                  <c:v>1491431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A-4583-8908-05BCB1054C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&quot;SAR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129541</xdr:colOff>
      <xdr:row>14</xdr:row>
      <xdr:rowOff>57150</xdr:rowOff>
    </xdr:from>
    <xdr:to>
      <xdr:col>16</xdr:col>
      <xdr:colOff>1219201</xdr:colOff>
      <xdr:row>32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</xdr:colOff>
      <xdr:row>28</xdr:row>
      <xdr:rowOff>125730</xdr:rowOff>
    </xdr:from>
    <xdr:to>
      <xdr:col>9</xdr:col>
      <xdr:colOff>779145</xdr:colOff>
      <xdr:row>38</xdr:row>
      <xdr:rowOff>129540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urementRegister" displayName="ProcurementRegister" ref="A1:S61">
  <autoFilter ref="A1:S61" xr:uid="{00000000-0009-0000-0100-000001000000}"/>
  <tableColumns count="19">
    <tableColumn id="1" xr3:uid="{00000000-0010-0000-0000-000001000000}" name="Ref No."/>
    <tableColumn id="2" xr3:uid="{00000000-0010-0000-0000-000002000000}" name="Department"/>
    <tableColumn id="3" xr3:uid="{00000000-0010-0000-0000-000003000000}" name="Vendor"/>
    <tableColumn id="4" xr3:uid="{00000000-0010-0000-0000-000004000000}" name="PR No."/>
    <tableColumn id="5" xr3:uid="{00000000-0010-0000-0000-000005000000}" name="PO No."/>
    <tableColumn id="6" xr3:uid="{00000000-0010-0000-0000-000006000000}" name="Description"/>
    <tableColumn id="7" xr3:uid="{00000000-0010-0000-0000-000007000000}" name="Commitment (SAR)"/>
    <tableColumn id="8" xr3:uid="{00000000-0010-0000-0000-000008000000}" name="Invoice Value (SAR)"/>
    <tableColumn id="9" xr3:uid="{00000000-0010-0000-0000-000009000000}" name="Paid (SAR)"/>
    <tableColumn id="10" xr3:uid="{00000000-0010-0000-0000-00000A000000}" name="Outstanding (SAR)"/>
    <tableColumn id="11" xr3:uid="{00000000-0010-0000-0000-00000B000000}" name="Status"/>
    <tableColumn id="12" xr3:uid="{00000000-0010-0000-0000-00000C000000}" name="Priority"/>
    <tableColumn id="13" xr3:uid="{00000000-0010-0000-0000-00000D000000}" name="PR Date"/>
    <tableColumn id="14" xr3:uid="{00000000-0010-0000-0000-00000E000000}" name="PO Date"/>
    <tableColumn id="15" xr3:uid="{00000000-0010-0000-0000-00000F000000}" name="Invoice Date"/>
    <tableColumn id="16" xr3:uid="{00000000-0010-0000-0000-000010000000}" name="Due Date"/>
    <tableColumn id="17" xr3:uid="{00000000-0010-0000-0000-000011000000}" name="Days Aging"/>
    <tableColumn id="18" xr3:uid="{00000000-0010-0000-0000-000012000000}" name="Owner"/>
    <tableColumn id="19" xr3:uid="{00000000-0010-0000-0000-000013000000}" name="Management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showGridLines="0" tabSelected="1" topLeftCell="A28" workbookViewId="0">
      <selection sqref="A1:Q39"/>
    </sheetView>
  </sheetViews>
  <sheetFormatPr defaultRowHeight="14.4" x14ac:dyDescent="0.3"/>
  <cols>
    <col min="1" max="1" width="2.44140625" customWidth="1"/>
    <col min="2" max="2" width="13" customWidth="1"/>
    <col min="3" max="3" width="14" customWidth="1"/>
    <col min="4" max="5" width="13" customWidth="1"/>
    <col min="6" max="6" width="2.44140625" customWidth="1"/>
    <col min="7" max="7" width="18.21875" customWidth="1"/>
    <col min="8" max="8" width="14.77734375" customWidth="1"/>
    <col min="9" max="15" width="13" customWidth="1"/>
    <col min="16" max="16" width="2.44140625" customWidth="1"/>
    <col min="17" max="17" width="21.21875" customWidth="1"/>
  </cols>
  <sheetData>
    <row r="1" spans="1:17" ht="28.05" customHeight="1" x14ac:dyDescent="0.3">
      <c r="A1" s="31"/>
      <c r="B1" s="44" t="s">
        <v>256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5"/>
      <c r="Q1" s="5"/>
    </row>
    <row r="2" spans="1:17" ht="28.05" customHeight="1" x14ac:dyDescent="0.3">
      <c r="A2" s="32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5"/>
      <c r="Q2" s="5"/>
    </row>
    <row r="3" spans="1:17" ht="22.05" customHeight="1" x14ac:dyDescent="0.3">
      <c r="A3" s="33"/>
      <c r="B3" s="69" t="s">
        <v>257</v>
      </c>
      <c r="C3" s="69"/>
      <c r="D3" s="70"/>
      <c r="E3" s="69"/>
      <c r="F3" s="69"/>
      <c r="G3" s="70"/>
      <c r="H3" s="69"/>
      <c r="I3" s="69"/>
      <c r="J3" s="70"/>
      <c r="K3" s="69"/>
      <c r="L3" s="69"/>
      <c r="M3" s="70"/>
      <c r="N3" s="5"/>
      <c r="O3" s="5"/>
      <c r="P3" s="5"/>
      <c r="Q3" s="5"/>
    </row>
    <row r="4" spans="1:17" ht="22.05" customHeight="1" x14ac:dyDescent="0.35">
      <c r="A4" s="32"/>
      <c r="B4" s="34"/>
      <c r="C4" s="34"/>
      <c r="D4" s="34"/>
      <c r="E4" s="34"/>
      <c r="F4" s="32"/>
      <c r="G4" s="35"/>
      <c r="H4" s="35"/>
      <c r="I4" s="35"/>
      <c r="J4" s="35"/>
      <c r="K4" s="35"/>
      <c r="L4" s="35"/>
      <c r="M4" s="35"/>
      <c r="N4" s="8"/>
      <c r="O4" s="8"/>
      <c r="P4" s="5"/>
      <c r="Q4" s="5"/>
    </row>
    <row r="5" spans="1:17" ht="30" customHeight="1" x14ac:dyDescent="0.3">
      <c r="A5" s="32"/>
      <c r="B5" s="71">
        <f>SUM('Procurement Register'!G2:G61)</f>
        <v>13165000</v>
      </c>
      <c r="C5" s="72"/>
      <c r="D5" s="75">
        <f>SUM('Procurement Register'!J2:J61)</f>
        <v>9812903</v>
      </c>
      <c r="E5" s="76"/>
      <c r="F5" s="79">
        <f>SUM('Procurement Register'!I2:I61)</f>
        <v>3352097</v>
      </c>
      <c r="G5" s="80"/>
      <c r="H5" s="83">
        <f ca="1">COUNTIF('Procurement Register'!Q2:Q61,"&gt;0")</f>
        <v>26</v>
      </c>
      <c r="I5" s="84"/>
      <c r="J5" s="85"/>
      <c r="K5" s="89">
        <f>COUNTIF('Procurement Register'!L2:L61,"High")</f>
        <v>16</v>
      </c>
      <c r="L5" s="90"/>
      <c r="M5" s="91"/>
      <c r="N5" s="23"/>
      <c r="O5" s="5"/>
      <c r="P5" s="5"/>
      <c r="Q5" s="5"/>
    </row>
    <row r="6" spans="1:17" ht="30" customHeight="1" x14ac:dyDescent="0.3">
      <c r="A6" s="36"/>
      <c r="B6" s="73"/>
      <c r="C6" s="74"/>
      <c r="D6" s="77"/>
      <c r="E6" s="78"/>
      <c r="F6" s="81"/>
      <c r="G6" s="82"/>
      <c r="H6" s="86"/>
      <c r="I6" s="87"/>
      <c r="J6" s="88"/>
      <c r="K6" s="92"/>
      <c r="L6" s="93"/>
      <c r="M6" s="94"/>
      <c r="N6" s="21"/>
      <c r="O6" s="5"/>
      <c r="P6" s="5"/>
      <c r="Q6" s="5"/>
    </row>
    <row r="7" spans="1:17" ht="19.95" customHeight="1" x14ac:dyDescent="0.3">
      <c r="A7" s="32"/>
      <c r="B7" s="95" t="s">
        <v>258</v>
      </c>
      <c r="C7" s="96"/>
      <c r="D7" s="96" t="s">
        <v>259</v>
      </c>
      <c r="E7" s="97"/>
      <c r="F7" s="98" t="s">
        <v>260</v>
      </c>
      <c r="G7" s="99"/>
      <c r="H7" s="100" t="s">
        <v>261</v>
      </c>
      <c r="I7" s="99"/>
      <c r="J7" s="100"/>
      <c r="K7" s="99" t="s">
        <v>262</v>
      </c>
      <c r="L7" s="100"/>
      <c r="M7" s="99"/>
      <c r="N7" s="22"/>
      <c r="O7" s="5"/>
      <c r="P7" s="5"/>
      <c r="Q7" s="5"/>
    </row>
    <row r="8" spans="1:17" ht="25.05" customHeight="1" x14ac:dyDescent="0.3">
      <c r="A8" s="32"/>
      <c r="B8" s="34"/>
      <c r="C8" s="34"/>
      <c r="D8" s="34"/>
      <c r="E8" s="34"/>
      <c r="F8" s="32"/>
      <c r="G8" s="37"/>
      <c r="H8" s="38"/>
      <c r="I8" s="37"/>
      <c r="J8" s="38"/>
      <c r="K8" s="39"/>
      <c r="L8" s="40"/>
      <c r="M8" s="41"/>
      <c r="N8" s="9"/>
      <c r="O8" s="5"/>
      <c r="P8" s="5"/>
      <c r="Q8" s="5"/>
    </row>
    <row r="9" spans="1:17" ht="22.05" customHeight="1" x14ac:dyDescent="0.3">
      <c r="A9" s="32"/>
      <c r="B9" s="101" t="s">
        <v>263</v>
      </c>
      <c r="C9" s="102"/>
      <c r="D9" s="102"/>
      <c r="E9" s="103"/>
      <c r="F9" s="104"/>
      <c r="G9" s="104"/>
      <c r="H9" s="104"/>
      <c r="I9" s="104"/>
      <c r="J9" s="104"/>
      <c r="K9" s="104"/>
      <c r="L9" s="104"/>
      <c r="M9" s="104"/>
      <c r="N9" s="5"/>
      <c r="O9" s="5"/>
      <c r="P9" s="5"/>
      <c r="Q9" s="5"/>
    </row>
    <row r="10" spans="1:17" ht="28.05" customHeight="1" x14ac:dyDescent="0.3">
      <c r="A10" s="42"/>
      <c r="B10" s="45">
        <f>COUNTIF('Procurement Register'!K2:K61,"PR Raised")</f>
        <v>3</v>
      </c>
      <c r="C10" s="46"/>
      <c r="D10" s="53">
        <f>COUNTIF('Procurement Register'!K2:K61,"PR Approved")</f>
        <v>4</v>
      </c>
      <c r="E10" s="54"/>
      <c r="F10" s="49">
        <f>COUNTIF('Procurement Register'!K2:K61,"PO Issued")</f>
        <v>8</v>
      </c>
      <c r="G10" s="50"/>
      <c r="H10" s="53">
        <f>COUNTIF('Procurement Register'!K2:K61,"Delivered")</f>
        <v>6</v>
      </c>
      <c r="I10" s="54"/>
      <c r="J10" s="57">
        <f>COUNTIF('Procurement Register'!K2:K61,"Invoice Received")</f>
        <v>9</v>
      </c>
      <c r="K10" s="58"/>
      <c r="L10" s="53">
        <f>COUNTIF('Procurement Register'!K2:K61,"Under Review")</f>
        <v>8</v>
      </c>
      <c r="M10" s="54"/>
      <c r="N10" s="30"/>
      <c r="O10" s="5"/>
      <c r="P10" s="5"/>
      <c r="Q10" s="5"/>
    </row>
    <row r="11" spans="1:17" ht="28.05" customHeight="1" x14ac:dyDescent="0.3">
      <c r="A11" s="32"/>
      <c r="B11" s="47"/>
      <c r="C11" s="48"/>
      <c r="D11" s="55"/>
      <c r="E11" s="56"/>
      <c r="F11" s="51"/>
      <c r="G11" s="52"/>
      <c r="H11" s="55"/>
      <c r="I11" s="56"/>
      <c r="J11" s="59"/>
      <c r="K11" s="60"/>
      <c r="L11" s="55"/>
      <c r="M11" s="56"/>
      <c r="N11" s="27"/>
      <c r="O11" s="5"/>
      <c r="P11" s="5"/>
      <c r="Q11" s="5"/>
    </row>
    <row r="12" spans="1:17" ht="28.05" customHeight="1" x14ac:dyDescent="0.3">
      <c r="A12" s="32"/>
      <c r="B12" s="45" t="s">
        <v>67</v>
      </c>
      <c r="C12" s="46"/>
      <c r="D12" s="53" t="s">
        <v>73</v>
      </c>
      <c r="E12" s="54"/>
      <c r="F12" s="49" t="s">
        <v>100</v>
      </c>
      <c r="G12" s="50"/>
      <c r="H12" s="53" t="s">
        <v>265</v>
      </c>
      <c r="I12" s="54"/>
      <c r="J12" s="57" t="s">
        <v>93</v>
      </c>
      <c r="K12" s="58"/>
      <c r="L12" s="53" t="s">
        <v>78</v>
      </c>
      <c r="M12" s="54"/>
      <c r="N12" s="28"/>
      <c r="O12" s="5"/>
      <c r="P12" s="5"/>
      <c r="Q12" s="5"/>
    </row>
    <row r="13" spans="1:17" ht="28.05" customHeight="1" x14ac:dyDescent="0.3">
      <c r="A13" s="32"/>
      <c r="B13" s="47"/>
      <c r="C13" s="48"/>
      <c r="D13" s="55"/>
      <c r="E13" s="56"/>
      <c r="F13" s="51"/>
      <c r="G13" s="52"/>
      <c r="H13" s="55"/>
      <c r="I13" s="56"/>
      <c r="J13" s="59"/>
      <c r="K13" s="60"/>
      <c r="L13" s="55"/>
      <c r="M13" s="56"/>
      <c r="N13" s="29"/>
      <c r="O13" s="5"/>
      <c r="P13" s="5"/>
      <c r="Q13" s="5"/>
    </row>
    <row r="14" spans="1:17" ht="19.95" customHeight="1" x14ac:dyDescent="0.3">
      <c r="A14" s="32"/>
      <c r="B14" s="136" t="s">
        <v>264</v>
      </c>
      <c r="C14" s="137"/>
      <c r="D14" s="137"/>
      <c r="E14" s="138"/>
      <c r="F14" s="139"/>
      <c r="G14" s="139"/>
      <c r="H14" s="139"/>
      <c r="I14" s="139"/>
      <c r="J14" s="139"/>
      <c r="K14" s="139"/>
      <c r="L14" s="139"/>
      <c r="M14" s="139"/>
      <c r="N14" s="5"/>
      <c r="O14" s="5"/>
      <c r="P14" s="5"/>
      <c r="Q14" s="5"/>
    </row>
    <row r="15" spans="1:17" ht="22.05" customHeight="1" x14ac:dyDescent="0.3">
      <c r="A15" s="5"/>
      <c r="B15" s="24"/>
      <c r="C15" s="25"/>
      <c r="D15" s="25"/>
      <c r="E15" s="2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2.05" customHeight="1" x14ac:dyDescent="0.35">
      <c r="A16" s="5"/>
      <c r="B16" s="116" t="s">
        <v>0</v>
      </c>
      <c r="C16" s="116"/>
      <c r="D16" s="116"/>
      <c r="E16" s="116"/>
      <c r="F16" s="5"/>
      <c r="G16" s="106" t="s">
        <v>1</v>
      </c>
      <c r="H16" s="106"/>
      <c r="I16" s="106"/>
      <c r="J16" s="106"/>
      <c r="K16" s="105" t="s">
        <v>2</v>
      </c>
      <c r="L16" s="105"/>
      <c r="M16" s="105"/>
      <c r="N16" s="105"/>
      <c r="O16" s="105"/>
      <c r="P16" s="5"/>
      <c r="Q16" s="5"/>
    </row>
    <row r="17" spans="1:17" ht="25.05" customHeight="1" x14ac:dyDescent="0.3">
      <c r="A17" s="5"/>
      <c r="B17" s="127">
        <f ca="1">COUNTIF('Procurement Register'!Q2:Q61,"&gt;0")</f>
        <v>26</v>
      </c>
      <c r="C17" s="128"/>
      <c r="D17" s="128"/>
      <c r="E17" s="129"/>
      <c r="F17" s="5"/>
      <c r="G17" s="117" t="str">
        <f ca="1">"Overdue exposure: "&amp;TEXT(SUMIFS('Procurement Register'!J2:J61,'Procurement Register'!Q2:Q61,"&gt;0"),"#,##0")&amp;" SAR"&amp;CHAR(10)&amp;"High-priority open items: "&amp;TEXT(COUNTIFS('Procurement Register'!L2:L61,"High",'Procurement Register'!K2:K61,"&lt;&gt;Paid"),"0")</f>
        <v>Overdue exposure: 3,111,170 SAR
High-priority open items: 13</v>
      </c>
      <c r="H17" s="118"/>
      <c r="I17" s="118"/>
      <c r="J17" s="119"/>
      <c r="K17" s="16" t="s">
        <v>3</v>
      </c>
      <c r="L17" s="17" t="s">
        <v>4</v>
      </c>
      <c r="M17" s="5"/>
      <c r="N17" s="5"/>
      <c r="O17" s="5"/>
      <c r="P17" s="5"/>
      <c r="Q17" s="5"/>
    </row>
    <row r="18" spans="1:17" ht="25.05" customHeight="1" x14ac:dyDescent="0.3">
      <c r="A18" s="5"/>
      <c r="B18" s="130"/>
      <c r="C18" s="131"/>
      <c r="D18" s="131"/>
      <c r="E18" s="132"/>
      <c r="F18" s="5"/>
      <c r="G18" s="120"/>
      <c r="H18" s="121"/>
      <c r="I18" s="121"/>
      <c r="J18" s="122"/>
      <c r="K18" s="10" t="s">
        <v>5</v>
      </c>
      <c r="L18" s="18">
        <f>SUMIF('Procurement Register'!C:C,K18,'Procurement Register'!J:J)</f>
        <v>1221840</v>
      </c>
      <c r="M18" s="5"/>
      <c r="N18" s="5"/>
      <c r="O18" s="5"/>
      <c r="P18" s="5"/>
      <c r="Q18" s="5"/>
    </row>
    <row r="19" spans="1:17" ht="25.05" customHeight="1" x14ac:dyDescent="0.3">
      <c r="A19" s="5"/>
      <c r="B19" s="133"/>
      <c r="C19" s="134"/>
      <c r="D19" s="134"/>
      <c r="E19" s="135"/>
      <c r="F19" s="5"/>
      <c r="G19" s="120"/>
      <c r="H19" s="121"/>
      <c r="I19" s="121"/>
      <c r="J19" s="122"/>
      <c r="K19" s="10" t="s">
        <v>6</v>
      </c>
      <c r="L19" s="18">
        <f>SUMIF('Procurement Register'!C:C,K19,'Procurement Register'!J:J)</f>
        <v>1375997</v>
      </c>
      <c r="M19" s="5"/>
      <c r="N19" s="5"/>
      <c r="O19" s="5"/>
      <c r="P19" s="5"/>
      <c r="Q19" s="5"/>
    </row>
    <row r="20" spans="1:17" ht="22.05" customHeight="1" x14ac:dyDescent="0.3">
      <c r="A20" s="5"/>
      <c r="B20" s="116" t="s">
        <v>7</v>
      </c>
      <c r="C20" s="116"/>
      <c r="D20" s="116"/>
      <c r="E20" s="116"/>
      <c r="F20" s="5"/>
      <c r="G20" s="123"/>
      <c r="H20" s="124"/>
      <c r="I20" s="124"/>
      <c r="J20" s="125"/>
      <c r="K20" s="10" t="s">
        <v>8</v>
      </c>
      <c r="L20" s="18">
        <f>SUMIF('Procurement Register'!C:C,K20,'Procurement Register'!J:J)</f>
        <v>1628709</v>
      </c>
      <c r="M20" s="5"/>
      <c r="N20" s="5"/>
      <c r="O20" s="5"/>
      <c r="P20" s="5"/>
      <c r="Q20" s="5"/>
    </row>
    <row r="21" spans="1:17" ht="25.05" customHeight="1" x14ac:dyDescent="0.3">
      <c r="A21" s="5"/>
      <c r="B21" s="107">
        <f>COUNTIF('Procurement Register'!L2:L61,"High")</f>
        <v>16</v>
      </c>
      <c r="C21" s="108"/>
      <c r="D21" s="108"/>
      <c r="E21" s="109"/>
      <c r="F21" s="5"/>
      <c r="G21" s="5"/>
      <c r="H21" s="6"/>
      <c r="I21" s="6"/>
      <c r="J21" s="5"/>
      <c r="K21" s="10" t="s">
        <v>9</v>
      </c>
      <c r="L21" s="18">
        <f>SUMIF('Procurement Register'!C:C,K21,'Procurement Register'!J:J)</f>
        <v>601988</v>
      </c>
      <c r="M21" s="5"/>
      <c r="N21" s="5"/>
      <c r="O21" s="5"/>
      <c r="P21" s="5"/>
      <c r="Q21" s="5"/>
    </row>
    <row r="22" spans="1:17" ht="25.05" customHeight="1" x14ac:dyDescent="0.3">
      <c r="A22" s="5"/>
      <c r="B22" s="110"/>
      <c r="C22" s="111"/>
      <c r="D22" s="111"/>
      <c r="E22" s="112"/>
      <c r="F22" s="5"/>
      <c r="G22" s="5"/>
      <c r="H22" s="5"/>
      <c r="I22" s="7"/>
      <c r="J22" s="5"/>
      <c r="K22" s="10" t="s">
        <v>10</v>
      </c>
      <c r="L22" s="18">
        <f>SUMIF('Procurement Register'!C:C,K22,'Procurement Register'!J:J)</f>
        <v>1624007</v>
      </c>
      <c r="M22" s="5"/>
      <c r="N22" s="5"/>
      <c r="O22" s="5"/>
      <c r="P22" s="5"/>
      <c r="Q22" s="5"/>
    </row>
    <row r="23" spans="1:17" ht="25.05" customHeight="1" x14ac:dyDescent="0.35">
      <c r="A23" s="5"/>
      <c r="B23" s="113"/>
      <c r="C23" s="114"/>
      <c r="D23" s="114"/>
      <c r="E23" s="115"/>
      <c r="F23" s="5"/>
      <c r="G23" s="105" t="s">
        <v>11</v>
      </c>
      <c r="H23" s="105"/>
      <c r="I23" s="105"/>
      <c r="J23" s="126"/>
      <c r="K23" s="10" t="s">
        <v>12</v>
      </c>
      <c r="L23" s="18">
        <f>SUMIF('Procurement Register'!C:C,K23,'Procurement Register'!J:J)</f>
        <v>1792757</v>
      </c>
      <c r="M23" s="5"/>
      <c r="N23" s="5"/>
      <c r="O23" s="5"/>
      <c r="P23" s="5"/>
      <c r="Q23" s="5"/>
    </row>
    <row r="24" spans="1:17" ht="22.05" customHeight="1" x14ac:dyDescent="0.3">
      <c r="A24" s="5"/>
      <c r="B24" s="5"/>
      <c r="C24" s="5"/>
      <c r="D24" s="5"/>
      <c r="E24" s="5"/>
      <c r="F24" s="5"/>
      <c r="G24" s="14" t="s">
        <v>13</v>
      </c>
      <c r="H24" s="15" t="s">
        <v>14</v>
      </c>
      <c r="I24" s="7"/>
      <c r="J24" s="5"/>
      <c r="K24" s="10" t="s">
        <v>15</v>
      </c>
      <c r="L24" s="18">
        <f>SUMIF('Procurement Register'!C:C,K24,'Procurement Register'!J:J)</f>
        <v>886605</v>
      </c>
      <c r="M24" s="5"/>
      <c r="N24" s="5"/>
      <c r="O24" s="5"/>
      <c r="P24" s="5"/>
      <c r="Q24" s="5"/>
    </row>
    <row r="25" spans="1:17" ht="22.05" customHeight="1" x14ac:dyDescent="0.3">
      <c r="A25" s="5"/>
      <c r="B25" s="5"/>
      <c r="C25" s="5"/>
      <c r="D25" s="5"/>
      <c r="E25" s="5"/>
      <c r="F25" s="5"/>
      <c r="G25" s="10" t="s">
        <v>16</v>
      </c>
      <c r="H25" s="11">
        <f ca="1">COUNTIF('Procurement Register'!Q2:Q61,0)</f>
        <v>34</v>
      </c>
      <c r="I25" s="7"/>
      <c r="J25" s="5"/>
      <c r="K25" s="12" t="s">
        <v>17</v>
      </c>
      <c r="L25" s="19">
        <f>SUMIF('Procurement Register'!C:C,K25,'Procurement Register'!J:J)</f>
        <v>681000</v>
      </c>
      <c r="M25" s="5"/>
      <c r="N25" s="5"/>
      <c r="O25" s="5"/>
      <c r="P25" s="5"/>
      <c r="Q25" s="5"/>
    </row>
    <row r="26" spans="1:17" ht="22.05" customHeight="1" x14ac:dyDescent="0.3">
      <c r="A26" s="5"/>
      <c r="B26" s="5"/>
      <c r="C26" s="5"/>
      <c r="D26" s="5"/>
      <c r="E26" s="5"/>
      <c r="F26" s="5"/>
      <c r="G26" s="10" t="s">
        <v>18</v>
      </c>
      <c r="H26" s="11">
        <f ca="1">COUNTIFS('Procurement Register'!Q2:Q61,"&gt;=1",'Procurement Register'!Q2:Q61,"&lt;=30")</f>
        <v>6</v>
      </c>
      <c r="I26" s="7"/>
      <c r="J26" s="5"/>
      <c r="K26" s="5"/>
      <c r="L26" s="5"/>
      <c r="M26" s="5"/>
      <c r="N26" s="5"/>
      <c r="O26" s="5"/>
      <c r="P26" s="5"/>
      <c r="Q26" s="5"/>
    </row>
    <row r="27" spans="1:17" ht="22.05" customHeight="1" x14ac:dyDescent="0.3">
      <c r="A27" s="5"/>
      <c r="B27" s="5"/>
      <c r="C27" s="5"/>
      <c r="D27" s="5"/>
      <c r="E27" s="5"/>
      <c r="F27" s="5"/>
      <c r="G27" s="10" t="s">
        <v>19</v>
      </c>
      <c r="H27" s="11">
        <f ca="1">COUNTIFS('Procurement Register'!Q2:Q61,"&gt;=31",'Procurement Register'!Q2:Q61,"&lt;=60")</f>
        <v>7</v>
      </c>
      <c r="I27" s="7"/>
      <c r="J27" s="5"/>
      <c r="K27" s="5"/>
      <c r="L27" s="5"/>
      <c r="M27" s="5"/>
      <c r="N27" s="5"/>
      <c r="O27" s="5"/>
      <c r="P27" s="5"/>
      <c r="Q27" s="5"/>
    </row>
    <row r="28" spans="1:17" ht="22.05" customHeight="1" x14ac:dyDescent="0.3">
      <c r="A28" s="5"/>
      <c r="B28" s="5"/>
      <c r="C28" s="5"/>
      <c r="D28" s="5"/>
      <c r="E28" s="5"/>
      <c r="F28" s="5"/>
      <c r="G28" s="12" t="s">
        <v>20</v>
      </c>
      <c r="H28" s="13">
        <f ca="1">COUNTIF('Procurement Register'!Q2:Q61,"&gt;60")</f>
        <v>13</v>
      </c>
      <c r="I28" s="7"/>
      <c r="J28" s="5"/>
      <c r="K28" s="14" t="s">
        <v>21</v>
      </c>
      <c r="L28" s="15" t="s">
        <v>4</v>
      </c>
      <c r="M28" s="5"/>
      <c r="N28" s="5"/>
      <c r="O28" s="5"/>
      <c r="P28" s="5"/>
      <c r="Q28" s="5"/>
    </row>
    <row r="29" spans="1:17" ht="22.05" customHeight="1" x14ac:dyDescent="0.3">
      <c r="A29" s="5"/>
      <c r="B29" s="5"/>
      <c r="C29" s="5"/>
      <c r="D29" s="5"/>
      <c r="E29" s="5"/>
      <c r="F29" s="5"/>
      <c r="G29" s="5"/>
      <c r="H29" s="5"/>
      <c r="I29" s="7"/>
      <c r="J29" s="5"/>
      <c r="K29" s="10" t="s">
        <v>22</v>
      </c>
      <c r="L29" s="18">
        <f>SUMIF('Procurement Register'!B:B,K29,'Procurement Register'!J:J)</f>
        <v>898403</v>
      </c>
      <c r="M29" s="5"/>
      <c r="N29" s="5"/>
      <c r="O29" s="5"/>
      <c r="P29" s="5"/>
      <c r="Q29" s="5"/>
    </row>
    <row r="30" spans="1:17" ht="22.0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10" t="s">
        <v>23</v>
      </c>
      <c r="L30" s="18">
        <f>SUMIF('Procurement Register'!B:B,K30,'Procurement Register'!J:J)</f>
        <v>218991</v>
      </c>
      <c r="M30" s="5"/>
      <c r="N30" s="5"/>
      <c r="O30" s="5"/>
      <c r="P30" s="5"/>
      <c r="Q30" s="5"/>
    </row>
    <row r="31" spans="1:17" ht="22.0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10" t="s">
        <v>24</v>
      </c>
      <c r="L31" s="18">
        <f>SUMIF('Procurement Register'!B:B,K31,'Procurement Register'!J:J)</f>
        <v>1332066</v>
      </c>
      <c r="M31" s="5"/>
      <c r="N31" s="5"/>
      <c r="O31" s="5"/>
      <c r="P31" s="5"/>
      <c r="Q31" s="5"/>
    </row>
    <row r="32" spans="1:17" ht="22.0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10" t="s">
        <v>25</v>
      </c>
      <c r="L32" s="18">
        <f>SUMIF('Procurement Register'!B:B,K32,'Procurement Register'!J:J)</f>
        <v>1026822</v>
      </c>
      <c r="M32" s="5"/>
      <c r="N32" s="5"/>
      <c r="O32" s="5"/>
      <c r="P32" s="5"/>
      <c r="Q32" s="5"/>
    </row>
    <row r="33" spans="1:17" ht="22.05" customHeight="1" x14ac:dyDescent="0.3">
      <c r="A33" s="68"/>
      <c r="B33" s="62"/>
      <c r="C33" s="62"/>
      <c r="D33" s="62"/>
      <c r="E33" s="62"/>
      <c r="F33" s="62"/>
      <c r="G33" s="62"/>
      <c r="H33" s="62"/>
      <c r="I33" s="62"/>
      <c r="J33" s="62"/>
      <c r="K33" s="63" t="s">
        <v>26</v>
      </c>
      <c r="L33" s="64">
        <f>SUMIF('Procurement Register'!B:B,K33,'Procurement Register'!J:J)</f>
        <v>1574502</v>
      </c>
      <c r="M33" s="62"/>
      <c r="N33" s="62"/>
      <c r="O33" s="5"/>
      <c r="P33" s="5"/>
      <c r="Q33" s="5"/>
    </row>
    <row r="34" spans="1:17" ht="22.05" customHeight="1" x14ac:dyDescent="0.3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3" t="s">
        <v>27</v>
      </c>
      <c r="L34" s="64">
        <f>SUMIF('Procurement Register'!B:B,K34,'Procurement Register'!J:J)</f>
        <v>2069950</v>
      </c>
      <c r="M34" s="62"/>
      <c r="N34" s="62"/>
      <c r="O34" s="5"/>
      <c r="P34" s="5"/>
      <c r="Q34" s="5"/>
    </row>
    <row r="35" spans="1:17" ht="22.05" customHeight="1" x14ac:dyDescent="0.3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3" t="s">
        <v>28</v>
      </c>
      <c r="L35" s="64">
        <f>SUMIF('Procurement Register'!B:B,K35,'Procurement Register'!J:J)</f>
        <v>1200738</v>
      </c>
      <c r="M35" s="62"/>
      <c r="N35" s="62"/>
      <c r="O35" s="5"/>
      <c r="P35" s="5"/>
      <c r="Q35" s="5"/>
    </row>
    <row r="36" spans="1:17" ht="22.05" customHeight="1" x14ac:dyDescent="0.3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5" t="s">
        <v>29</v>
      </c>
      <c r="L36" s="66">
        <f>SUMIF('Procurement Register'!B:B,K36,'Procurement Register'!J:J)</f>
        <v>1491431</v>
      </c>
      <c r="M36" s="62"/>
      <c r="N36" s="62"/>
      <c r="O36" s="5"/>
      <c r="P36" s="5"/>
      <c r="Q36" s="5"/>
    </row>
    <row r="37" spans="1:17" ht="22.05" customHeight="1" x14ac:dyDescent="0.3">
      <c r="A37" s="62"/>
      <c r="B37" s="67" t="s">
        <v>30</v>
      </c>
      <c r="C37" s="67"/>
      <c r="D37" s="67"/>
      <c r="E37" s="67"/>
      <c r="F37" s="62"/>
      <c r="G37" s="62"/>
      <c r="H37" s="62"/>
      <c r="I37" s="62"/>
      <c r="J37" s="62"/>
      <c r="K37" s="62"/>
      <c r="L37" s="62"/>
      <c r="M37" s="62"/>
      <c r="N37" s="62"/>
      <c r="O37" s="5"/>
      <c r="P37" s="5"/>
      <c r="Q37" s="5"/>
    </row>
    <row r="38" spans="1:17" ht="22.05" customHeight="1" x14ac:dyDescent="0.3">
      <c r="A38" s="5"/>
      <c r="B38" s="20"/>
      <c r="C38" s="20"/>
      <c r="D38" s="20"/>
      <c r="E38" s="2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22.05" customHeight="1" x14ac:dyDescent="0.3">
      <c r="A39" s="5"/>
      <c r="B39" s="20"/>
      <c r="C39" s="20"/>
      <c r="D39" s="20"/>
      <c r="E39" s="2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</sheetData>
  <mergeCells count="36">
    <mergeCell ref="B14:M14"/>
    <mergeCell ref="K16:O16"/>
    <mergeCell ref="G16:J16"/>
    <mergeCell ref="B21:E23"/>
    <mergeCell ref="B20:E20"/>
    <mergeCell ref="G17:J20"/>
    <mergeCell ref="G23:J23"/>
    <mergeCell ref="B17:E19"/>
    <mergeCell ref="B16:E16"/>
    <mergeCell ref="A34:N37"/>
    <mergeCell ref="A33:N33"/>
    <mergeCell ref="B3:M3"/>
    <mergeCell ref="B5:C6"/>
    <mergeCell ref="D5:E6"/>
    <mergeCell ref="F5:G6"/>
    <mergeCell ref="H5:J6"/>
    <mergeCell ref="K5:M6"/>
    <mergeCell ref="B7:C7"/>
    <mergeCell ref="D7:E7"/>
    <mergeCell ref="F7:G7"/>
    <mergeCell ref="H7:J7"/>
    <mergeCell ref="K7:M7"/>
    <mergeCell ref="B9:M9"/>
    <mergeCell ref="B10:C11"/>
    <mergeCell ref="D10:E11"/>
    <mergeCell ref="B1:O2"/>
    <mergeCell ref="B12:C13"/>
    <mergeCell ref="F12:G13"/>
    <mergeCell ref="D12:E13"/>
    <mergeCell ref="H12:I13"/>
    <mergeCell ref="J12:K13"/>
    <mergeCell ref="L12:M13"/>
    <mergeCell ref="F10:G11"/>
    <mergeCell ref="H10:I11"/>
    <mergeCell ref="J10:K11"/>
    <mergeCell ref="L10:M11"/>
  </mergeCells>
  <conditionalFormatting sqref="H25:H28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L18:L25">
    <cfRule type="dataBar" priority="1">
      <dataBar>
        <cfvo type="min"/>
        <cfvo type="max"/>
        <color rgb="FFD89B27"/>
      </dataBar>
    </cfRule>
    <cfRule type="dataBar" priority="3">
      <dataBar>
        <cfvo type="min"/>
        <cfvo type="max"/>
        <color rgb="FFD89B27"/>
      </dataBar>
    </cfRule>
    <cfRule type="dataBar" priority="4">
      <dataBar>
        <cfvo type="min"/>
        <cfvo type="max"/>
        <color rgb="FFD89B27"/>
      </dataBar>
      <extLst>
        <ext xmlns:x14="http://schemas.microsoft.com/office/spreadsheetml/2009/9/main" uri="{B025F937-C7B1-47D3-B67F-A62EFF666E3E}">
          <x14:id>{52C91449-CBC7-ECC4-9FA2-668C83A5804F}</x14:id>
        </ext>
      </extLst>
    </cfRule>
  </conditionalFormatting>
  <pageMargins left="0.7" right="0.7" top="0.75" bottom="0.75" header="0.3" footer="0.3"/>
  <pageSetup paperSize="9" scale="52" fitToWidth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C91449-CBC7-ECC4-9FA2-668C83A5804F}">
            <x14:dataBar>
              <x14:cfvo type="min"/>
              <x14:cfvo type="max"/>
              <x14:negativeFillColor auto="1"/>
              <x14:axisColor auto="1"/>
            </x14:dataBar>
          </x14:cfRule>
          <xm:sqref>L18:L25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workbookViewId="0"/>
  </sheetViews>
  <sheetFormatPr defaultRowHeight="14.4" x14ac:dyDescent="0.3"/>
  <cols>
    <col min="1" max="1" width="13" customWidth="1"/>
    <col min="2" max="2" width="18" customWidth="1"/>
    <col min="3" max="3" width="20" customWidth="1"/>
    <col min="4" max="5" width="13" customWidth="1"/>
    <col min="6" max="6" width="24" customWidth="1"/>
    <col min="7" max="8" width="18" customWidth="1"/>
    <col min="9" max="9" width="16" customWidth="1"/>
    <col min="10" max="10" width="18" customWidth="1"/>
    <col min="11" max="11" width="22" customWidth="1"/>
    <col min="12" max="12" width="12" customWidth="1"/>
    <col min="13" max="16" width="13" customWidth="1"/>
    <col min="17" max="17" width="12" customWidth="1"/>
    <col min="18" max="18" width="15" customWidth="1"/>
    <col min="19" max="19" width="24" customWidth="1"/>
  </cols>
  <sheetData>
    <row r="1" spans="1:19" x14ac:dyDescent="0.3">
      <c r="A1" s="3" t="s">
        <v>31</v>
      </c>
      <c r="B1" s="3" t="s">
        <v>21</v>
      </c>
      <c r="C1" s="3" t="s">
        <v>3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  <c r="S1" s="3" t="s">
        <v>47</v>
      </c>
    </row>
    <row r="2" spans="1:19" x14ac:dyDescent="0.3">
      <c r="A2" t="s">
        <v>48</v>
      </c>
      <c r="B2" t="s">
        <v>29</v>
      </c>
      <c r="C2" t="s">
        <v>10</v>
      </c>
      <c r="D2" t="s">
        <v>49</v>
      </c>
      <c r="E2" t="s">
        <v>50</v>
      </c>
      <c r="F2" t="s">
        <v>51</v>
      </c>
      <c r="G2" s="2">
        <v>91000</v>
      </c>
      <c r="H2" s="2">
        <v>76932</v>
      </c>
      <c r="I2" s="2">
        <v>57569</v>
      </c>
      <c r="J2" s="2">
        <f t="shared" ref="J2:J33" si="0">G2-I2</f>
        <v>33431</v>
      </c>
      <c r="K2" t="s">
        <v>52</v>
      </c>
      <c r="L2" t="s">
        <v>53</v>
      </c>
      <c r="M2" s="4">
        <v>46092</v>
      </c>
      <c r="N2" s="4">
        <v>46103</v>
      </c>
      <c r="O2" s="4">
        <v>46139</v>
      </c>
      <c r="P2" s="4">
        <v>46169</v>
      </c>
      <c r="Q2">
        <f t="shared" ref="Q2:Q33" ca="1" si="1">IF(AND(P2&lt;&gt;"",J2&gt;0),MAX(TODAY()-P2,0),0)</f>
        <v>61</v>
      </c>
      <c r="R2" t="s">
        <v>54</v>
      </c>
      <c r="S2" t="s">
        <v>55</v>
      </c>
    </row>
    <row r="3" spans="1:19" x14ac:dyDescent="0.3">
      <c r="A3" t="s">
        <v>56</v>
      </c>
      <c r="B3" t="s">
        <v>22</v>
      </c>
      <c r="C3" t="s">
        <v>8</v>
      </c>
      <c r="D3" t="s">
        <v>57</v>
      </c>
      <c r="E3" t="s">
        <v>58</v>
      </c>
      <c r="F3" t="s">
        <v>59</v>
      </c>
      <c r="G3" s="2">
        <v>191000</v>
      </c>
      <c r="H3" s="2">
        <v>186510</v>
      </c>
      <c r="I3" s="2">
        <v>186510</v>
      </c>
      <c r="J3" s="2">
        <f t="shared" si="0"/>
        <v>4490</v>
      </c>
      <c r="K3" t="s">
        <v>60</v>
      </c>
      <c r="L3" t="s">
        <v>53</v>
      </c>
      <c r="M3" s="4">
        <v>46200</v>
      </c>
      <c r="N3" s="4">
        <v>46209</v>
      </c>
      <c r="O3" s="4">
        <v>46220</v>
      </c>
      <c r="P3" s="4">
        <v>46250</v>
      </c>
      <c r="Q3">
        <f t="shared" ca="1" si="1"/>
        <v>0</v>
      </c>
      <c r="R3" t="s">
        <v>61</v>
      </c>
      <c r="S3" t="s">
        <v>62</v>
      </c>
    </row>
    <row r="4" spans="1:19" x14ac:dyDescent="0.3">
      <c r="A4" t="s">
        <v>63</v>
      </c>
      <c r="B4" t="s">
        <v>28</v>
      </c>
      <c r="C4" t="s">
        <v>6</v>
      </c>
      <c r="D4" t="s">
        <v>64</v>
      </c>
      <c r="E4" t="s">
        <v>65</v>
      </c>
      <c r="F4" t="s">
        <v>66</v>
      </c>
      <c r="G4" s="2">
        <v>356000</v>
      </c>
      <c r="H4" s="2">
        <v>0</v>
      </c>
      <c r="I4" s="2">
        <v>0</v>
      </c>
      <c r="J4" s="2">
        <f t="shared" si="0"/>
        <v>356000</v>
      </c>
      <c r="K4" t="s">
        <v>67</v>
      </c>
      <c r="L4" t="s">
        <v>68</v>
      </c>
      <c r="M4" s="4">
        <v>46085</v>
      </c>
      <c r="N4" s="4"/>
      <c r="O4" s="4"/>
      <c r="P4" s="4"/>
      <c r="Q4">
        <f t="shared" ca="1" si="1"/>
        <v>0</v>
      </c>
      <c r="R4" t="s">
        <v>69</v>
      </c>
      <c r="S4" t="s">
        <v>62</v>
      </c>
    </row>
    <row r="5" spans="1:19" x14ac:dyDescent="0.3">
      <c r="A5" t="s">
        <v>70</v>
      </c>
      <c r="B5" t="s">
        <v>28</v>
      </c>
      <c r="C5" t="s">
        <v>17</v>
      </c>
      <c r="D5" t="s">
        <v>71</v>
      </c>
      <c r="E5" t="s">
        <v>65</v>
      </c>
      <c r="F5" t="s">
        <v>72</v>
      </c>
      <c r="G5" s="2">
        <v>87000</v>
      </c>
      <c r="H5" s="2">
        <v>0</v>
      </c>
      <c r="I5" s="2">
        <v>0</v>
      </c>
      <c r="J5" s="2">
        <f t="shared" si="0"/>
        <v>87000</v>
      </c>
      <c r="K5" t="s">
        <v>73</v>
      </c>
      <c r="L5" t="s">
        <v>53</v>
      </c>
      <c r="M5" s="4">
        <v>46077</v>
      </c>
      <c r="N5" s="4"/>
      <c r="O5" s="4"/>
      <c r="P5" s="4"/>
      <c r="Q5">
        <f t="shared" ca="1" si="1"/>
        <v>0</v>
      </c>
      <c r="R5" t="s">
        <v>74</v>
      </c>
      <c r="S5" t="s">
        <v>62</v>
      </c>
    </row>
    <row r="6" spans="1:19" x14ac:dyDescent="0.3">
      <c r="A6" t="s">
        <v>75</v>
      </c>
      <c r="B6" t="s">
        <v>24</v>
      </c>
      <c r="C6" t="s">
        <v>5</v>
      </c>
      <c r="D6" t="s">
        <v>76</v>
      </c>
      <c r="E6" t="s">
        <v>77</v>
      </c>
      <c r="F6" t="s">
        <v>51</v>
      </c>
      <c r="G6" s="2">
        <v>60000</v>
      </c>
      <c r="H6" s="2">
        <v>51007</v>
      </c>
      <c r="I6" s="2">
        <v>0</v>
      </c>
      <c r="J6" s="2">
        <f t="shared" si="0"/>
        <v>60000</v>
      </c>
      <c r="K6" t="s">
        <v>78</v>
      </c>
      <c r="L6" t="s">
        <v>53</v>
      </c>
      <c r="M6" s="4">
        <v>46108</v>
      </c>
      <c r="N6" s="4">
        <v>46126</v>
      </c>
      <c r="O6" s="4">
        <v>46163</v>
      </c>
      <c r="P6" s="4">
        <v>46193</v>
      </c>
      <c r="Q6">
        <f t="shared" ca="1" si="1"/>
        <v>37</v>
      </c>
      <c r="R6" t="s">
        <v>79</v>
      </c>
      <c r="S6" t="s">
        <v>55</v>
      </c>
    </row>
    <row r="7" spans="1:19" x14ac:dyDescent="0.3">
      <c r="A7" t="s">
        <v>80</v>
      </c>
      <c r="B7" t="s">
        <v>22</v>
      </c>
      <c r="C7" t="s">
        <v>6</v>
      </c>
      <c r="D7" t="s">
        <v>81</v>
      </c>
      <c r="E7" t="s">
        <v>82</v>
      </c>
      <c r="F7" t="s">
        <v>83</v>
      </c>
      <c r="G7" s="2">
        <v>357000</v>
      </c>
      <c r="H7" s="2">
        <v>291094</v>
      </c>
      <c r="I7" s="2">
        <v>291094</v>
      </c>
      <c r="J7" s="2">
        <f t="shared" si="0"/>
        <v>65906</v>
      </c>
      <c r="K7" t="s">
        <v>60</v>
      </c>
      <c r="L7" t="s">
        <v>84</v>
      </c>
      <c r="M7" s="4">
        <v>46123</v>
      </c>
      <c r="N7" s="4">
        <v>46138</v>
      </c>
      <c r="O7" s="4">
        <v>46164</v>
      </c>
      <c r="P7" s="4">
        <v>46194</v>
      </c>
      <c r="Q7">
        <f t="shared" ca="1" si="1"/>
        <v>36</v>
      </c>
      <c r="R7" t="s">
        <v>61</v>
      </c>
      <c r="S7" t="s">
        <v>55</v>
      </c>
    </row>
    <row r="8" spans="1:19" x14ac:dyDescent="0.3">
      <c r="A8" t="s">
        <v>85</v>
      </c>
      <c r="B8" t="s">
        <v>25</v>
      </c>
      <c r="C8" t="s">
        <v>12</v>
      </c>
      <c r="D8" t="s">
        <v>86</v>
      </c>
      <c r="E8" t="s">
        <v>87</v>
      </c>
      <c r="F8" t="s">
        <v>88</v>
      </c>
      <c r="G8" s="2">
        <v>409000</v>
      </c>
      <c r="H8" s="2">
        <v>0</v>
      </c>
      <c r="I8" s="2">
        <v>0</v>
      </c>
      <c r="J8" s="2">
        <f t="shared" si="0"/>
        <v>409000</v>
      </c>
      <c r="K8" t="s">
        <v>89</v>
      </c>
      <c r="L8" t="s">
        <v>53</v>
      </c>
      <c r="M8" s="4">
        <v>46087</v>
      </c>
      <c r="N8" s="4">
        <v>46095</v>
      </c>
      <c r="O8" s="4"/>
      <c r="P8" s="4"/>
      <c r="Q8">
        <f t="shared" ca="1" si="1"/>
        <v>0</v>
      </c>
      <c r="R8" t="s">
        <v>79</v>
      </c>
      <c r="S8" t="s">
        <v>62</v>
      </c>
    </row>
    <row r="9" spans="1:19" x14ac:dyDescent="0.3">
      <c r="A9" t="s">
        <v>90</v>
      </c>
      <c r="B9" t="s">
        <v>28</v>
      </c>
      <c r="C9" t="s">
        <v>5</v>
      </c>
      <c r="D9" t="s">
        <v>91</v>
      </c>
      <c r="E9" t="s">
        <v>92</v>
      </c>
      <c r="F9" t="s">
        <v>66</v>
      </c>
      <c r="G9" s="2">
        <v>236000</v>
      </c>
      <c r="H9" s="2">
        <v>179565</v>
      </c>
      <c r="I9" s="2">
        <v>0</v>
      </c>
      <c r="J9" s="2">
        <f t="shared" si="0"/>
        <v>236000</v>
      </c>
      <c r="K9" t="s">
        <v>93</v>
      </c>
      <c r="L9" t="s">
        <v>68</v>
      </c>
      <c r="M9" s="4">
        <v>46163</v>
      </c>
      <c r="N9" s="4">
        <v>46169</v>
      </c>
      <c r="O9" s="4">
        <v>46211</v>
      </c>
      <c r="P9" s="4">
        <v>46241</v>
      </c>
      <c r="Q9">
        <f t="shared" ca="1" si="1"/>
        <v>0</v>
      </c>
      <c r="R9" t="s">
        <v>54</v>
      </c>
      <c r="S9" t="s">
        <v>62</v>
      </c>
    </row>
    <row r="10" spans="1:19" x14ac:dyDescent="0.3">
      <c r="A10" t="s">
        <v>94</v>
      </c>
      <c r="B10" t="s">
        <v>23</v>
      </c>
      <c r="C10" t="s">
        <v>10</v>
      </c>
      <c r="D10" t="s">
        <v>95</v>
      </c>
      <c r="E10" t="s">
        <v>65</v>
      </c>
      <c r="F10" t="s">
        <v>88</v>
      </c>
      <c r="G10" s="2">
        <v>194000</v>
      </c>
      <c r="H10" s="2">
        <v>0</v>
      </c>
      <c r="I10" s="2">
        <v>0</v>
      </c>
      <c r="J10" s="2">
        <f t="shared" si="0"/>
        <v>194000</v>
      </c>
      <c r="K10" t="s">
        <v>67</v>
      </c>
      <c r="L10" t="s">
        <v>68</v>
      </c>
      <c r="M10" s="4">
        <v>46061</v>
      </c>
      <c r="N10" s="4"/>
      <c r="O10" s="4"/>
      <c r="P10" s="4"/>
      <c r="Q10">
        <f t="shared" ca="1" si="1"/>
        <v>0</v>
      </c>
      <c r="R10" t="s">
        <v>74</v>
      </c>
      <c r="S10" t="s">
        <v>62</v>
      </c>
    </row>
    <row r="11" spans="1:19" x14ac:dyDescent="0.3">
      <c r="A11" t="s">
        <v>96</v>
      </c>
      <c r="B11" t="s">
        <v>29</v>
      </c>
      <c r="C11" t="s">
        <v>12</v>
      </c>
      <c r="D11" t="s">
        <v>97</v>
      </c>
      <c r="E11" t="s">
        <v>98</v>
      </c>
      <c r="F11" t="s">
        <v>99</v>
      </c>
      <c r="G11" s="2">
        <v>261000</v>
      </c>
      <c r="H11" s="2">
        <v>0</v>
      </c>
      <c r="I11" s="2">
        <v>0</v>
      </c>
      <c r="J11" s="2">
        <f t="shared" si="0"/>
        <v>261000</v>
      </c>
      <c r="K11" t="s">
        <v>100</v>
      </c>
      <c r="L11" t="s">
        <v>68</v>
      </c>
      <c r="M11" s="4">
        <v>46092</v>
      </c>
      <c r="N11" s="4">
        <v>46102</v>
      </c>
      <c r="O11" s="4"/>
      <c r="P11" s="4"/>
      <c r="Q11">
        <f t="shared" ca="1" si="1"/>
        <v>0</v>
      </c>
      <c r="R11" t="s">
        <v>79</v>
      </c>
      <c r="S11" t="s">
        <v>62</v>
      </c>
    </row>
    <row r="12" spans="1:19" x14ac:dyDescent="0.3">
      <c r="A12" t="s">
        <v>101</v>
      </c>
      <c r="B12" t="s">
        <v>27</v>
      </c>
      <c r="C12" t="s">
        <v>8</v>
      </c>
      <c r="D12" t="s">
        <v>102</v>
      </c>
      <c r="E12" t="s">
        <v>103</v>
      </c>
      <c r="F12" t="s">
        <v>72</v>
      </c>
      <c r="G12" s="2">
        <v>328000</v>
      </c>
      <c r="H12" s="2">
        <v>0</v>
      </c>
      <c r="I12" s="2">
        <v>0</v>
      </c>
      <c r="J12" s="2">
        <f t="shared" si="0"/>
        <v>328000</v>
      </c>
      <c r="K12" t="s">
        <v>100</v>
      </c>
      <c r="L12" t="s">
        <v>53</v>
      </c>
      <c r="M12" s="4">
        <v>46214</v>
      </c>
      <c r="N12" s="4">
        <v>46225</v>
      </c>
      <c r="O12" s="4"/>
      <c r="P12" s="4"/>
      <c r="Q12">
        <f t="shared" ca="1" si="1"/>
        <v>0</v>
      </c>
      <c r="R12" t="s">
        <v>54</v>
      </c>
      <c r="S12" t="s">
        <v>62</v>
      </c>
    </row>
    <row r="13" spans="1:19" x14ac:dyDescent="0.3">
      <c r="A13" t="s">
        <v>104</v>
      </c>
      <c r="B13" t="s">
        <v>25</v>
      </c>
      <c r="C13" t="s">
        <v>5</v>
      </c>
      <c r="D13" t="s">
        <v>105</v>
      </c>
      <c r="E13" t="s">
        <v>106</v>
      </c>
      <c r="F13" t="s">
        <v>72</v>
      </c>
      <c r="G13" s="2">
        <v>77000</v>
      </c>
      <c r="H13" s="2">
        <v>76688</v>
      </c>
      <c r="I13" s="2">
        <v>0</v>
      </c>
      <c r="J13" s="2">
        <f t="shared" si="0"/>
        <v>77000</v>
      </c>
      <c r="K13" t="s">
        <v>93</v>
      </c>
      <c r="L13" t="s">
        <v>68</v>
      </c>
      <c r="M13" s="4">
        <v>46076</v>
      </c>
      <c r="N13" s="4">
        <v>46083</v>
      </c>
      <c r="O13" s="4">
        <v>46091</v>
      </c>
      <c r="P13" s="4">
        <v>46121</v>
      </c>
      <c r="Q13">
        <f t="shared" ca="1" si="1"/>
        <v>109</v>
      </c>
      <c r="R13" t="s">
        <v>61</v>
      </c>
      <c r="S13" t="s">
        <v>55</v>
      </c>
    </row>
    <row r="14" spans="1:19" x14ac:dyDescent="0.3">
      <c r="A14" t="s">
        <v>107</v>
      </c>
      <c r="B14" t="s">
        <v>23</v>
      </c>
      <c r="C14" t="s">
        <v>9</v>
      </c>
      <c r="D14" t="s">
        <v>108</v>
      </c>
      <c r="E14" t="s">
        <v>109</v>
      </c>
      <c r="F14" t="s">
        <v>110</v>
      </c>
      <c r="G14" s="2">
        <v>268000</v>
      </c>
      <c r="H14" s="2">
        <v>243009</v>
      </c>
      <c r="I14" s="2">
        <v>243009</v>
      </c>
      <c r="J14" s="2">
        <f t="shared" si="0"/>
        <v>24991</v>
      </c>
      <c r="K14" t="s">
        <v>60</v>
      </c>
      <c r="L14" t="s">
        <v>53</v>
      </c>
      <c r="M14" s="4">
        <v>46148</v>
      </c>
      <c r="N14" s="4">
        <v>46165</v>
      </c>
      <c r="O14" s="4">
        <v>46182</v>
      </c>
      <c r="P14" s="4">
        <v>46212</v>
      </c>
      <c r="Q14">
        <f t="shared" ca="1" si="1"/>
        <v>18</v>
      </c>
      <c r="R14" t="s">
        <v>61</v>
      </c>
      <c r="S14" t="s">
        <v>62</v>
      </c>
    </row>
    <row r="15" spans="1:19" x14ac:dyDescent="0.3">
      <c r="A15" t="s">
        <v>111</v>
      </c>
      <c r="B15" t="s">
        <v>22</v>
      </c>
      <c r="C15" t="s">
        <v>10</v>
      </c>
      <c r="D15" t="s">
        <v>112</v>
      </c>
      <c r="E15" t="s">
        <v>113</v>
      </c>
      <c r="F15" t="s">
        <v>114</v>
      </c>
      <c r="G15" s="2">
        <v>345000</v>
      </c>
      <c r="H15" s="2">
        <v>0</v>
      </c>
      <c r="I15" s="2">
        <v>0</v>
      </c>
      <c r="J15" s="2">
        <f t="shared" si="0"/>
        <v>345000</v>
      </c>
      <c r="K15" t="s">
        <v>89</v>
      </c>
      <c r="L15" t="s">
        <v>84</v>
      </c>
      <c r="M15" s="4">
        <v>46102</v>
      </c>
      <c r="N15" s="4">
        <v>46111</v>
      </c>
      <c r="O15" s="4"/>
      <c r="P15" s="4"/>
      <c r="Q15">
        <f t="shared" ca="1" si="1"/>
        <v>0</v>
      </c>
      <c r="R15" t="s">
        <v>74</v>
      </c>
      <c r="S15" t="s">
        <v>62</v>
      </c>
    </row>
    <row r="16" spans="1:19" x14ac:dyDescent="0.3">
      <c r="A16" t="s">
        <v>115</v>
      </c>
      <c r="B16" t="s">
        <v>26</v>
      </c>
      <c r="C16" t="s">
        <v>5</v>
      </c>
      <c r="D16" t="s">
        <v>116</v>
      </c>
      <c r="E16" t="s">
        <v>117</v>
      </c>
      <c r="F16" t="s">
        <v>118</v>
      </c>
      <c r="G16" s="2">
        <v>85000</v>
      </c>
      <c r="H16" s="2">
        <v>75607</v>
      </c>
      <c r="I16" s="2">
        <v>28951</v>
      </c>
      <c r="J16" s="2">
        <f t="shared" si="0"/>
        <v>56049</v>
      </c>
      <c r="K16" t="s">
        <v>52</v>
      </c>
      <c r="L16" t="s">
        <v>53</v>
      </c>
      <c r="M16" s="4">
        <v>46180</v>
      </c>
      <c r="N16" s="4">
        <v>46190</v>
      </c>
      <c r="O16" s="4">
        <v>46209</v>
      </c>
      <c r="P16" s="4">
        <v>46239</v>
      </c>
      <c r="Q16">
        <f t="shared" ca="1" si="1"/>
        <v>0</v>
      </c>
      <c r="R16" t="s">
        <v>79</v>
      </c>
      <c r="S16" t="s">
        <v>62</v>
      </c>
    </row>
    <row r="17" spans="1:19" x14ac:dyDescent="0.3">
      <c r="A17" t="s">
        <v>119</v>
      </c>
      <c r="B17" t="s">
        <v>22</v>
      </c>
      <c r="C17" t="s">
        <v>10</v>
      </c>
      <c r="D17" t="s">
        <v>120</v>
      </c>
      <c r="E17" t="s">
        <v>121</v>
      </c>
      <c r="F17" t="s">
        <v>59</v>
      </c>
      <c r="G17" s="2">
        <v>319000</v>
      </c>
      <c r="H17" s="2">
        <v>246656</v>
      </c>
      <c r="I17" s="2">
        <v>246656</v>
      </c>
      <c r="J17" s="2">
        <f t="shared" si="0"/>
        <v>72344</v>
      </c>
      <c r="K17" t="s">
        <v>60</v>
      </c>
      <c r="L17" t="s">
        <v>53</v>
      </c>
      <c r="M17" s="4">
        <v>46112</v>
      </c>
      <c r="N17" s="4">
        <v>46121</v>
      </c>
      <c r="O17" s="4">
        <v>46165</v>
      </c>
      <c r="P17" s="4">
        <v>46195</v>
      </c>
      <c r="Q17">
        <f t="shared" ca="1" si="1"/>
        <v>35</v>
      </c>
      <c r="R17" t="s">
        <v>61</v>
      </c>
      <c r="S17" t="s">
        <v>55</v>
      </c>
    </row>
    <row r="18" spans="1:19" x14ac:dyDescent="0.3">
      <c r="A18" t="s">
        <v>122</v>
      </c>
      <c r="B18" t="s">
        <v>27</v>
      </c>
      <c r="C18" t="s">
        <v>15</v>
      </c>
      <c r="D18" t="s">
        <v>123</v>
      </c>
      <c r="E18" t="s">
        <v>124</v>
      </c>
      <c r="F18" t="s">
        <v>118</v>
      </c>
      <c r="G18" s="2">
        <v>381000</v>
      </c>
      <c r="H18" s="2">
        <v>300554</v>
      </c>
      <c r="I18" s="2">
        <v>0</v>
      </c>
      <c r="J18" s="2">
        <f t="shared" si="0"/>
        <v>381000</v>
      </c>
      <c r="K18" t="s">
        <v>78</v>
      </c>
      <c r="L18" t="s">
        <v>68</v>
      </c>
      <c r="M18" s="4">
        <v>46208</v>
      </c>
      <c r="N18" s="4">
        <v>46212</v>
      </c>
      <c r="O18" s="4">
        <v>46223</v>
      </c>
      <c r="P18" s="4">
        <v>46253</v>
      </c>
      <c r="Q18">
        <f t="shared" ca="1" si="1"/>
        <v>0</v>
      </c>
      <c r="R18" t="s">
        <v>74</v>
      </c>
      <c r="S18" t="s">
        <v>62</v>
      </c>
    </row>
    <row r="19" spans="1:19" x14ac:dyDescent="0.3">
      <c r="A19" t="s">
        <v>125</v>
      </c>
      <c r="B19" t="s">
        <v>25</v>
      </c>
      <c r="C19" t="s">
        <v>15</v>
      </c>
      <c r="D19" t="s">
        <v>126</v>
      </c>
      <c r="E19" t="s">
        <v>127</v>
      </c>
      <c r="F19" t="s">
        <v>66</v>
      </c>
      <c r="G19" s="2">
        <v>114000</v>
      </c>
      <c r="H19" s="2">
        <v>94395</v>
      </c>
      <c r="I19" s="2">
        <v>94395</v>
      </c>
      <c r="J19" s="2">
        <f t="shared" si="0"/>
        <v>19605</v>
      </c>
      <c r="K19" t="s">
        <v>60</v>
      </c>
      <c r="L19" t="s">
        <v>53</v>
      </c>
      <c r="M19" s="4">
        <v>46077</v>
      </c>
      <c r="N19" s="4">
        <v>46095</v>
      </c>
      <c r="O19" s="4">
        <v>46109</v>
      </c>
      <c r="P19" s="4">
        <v>46139</v>
      </c>
      <c r="Q19">
        <f t="shared" ca="1" si="1"/>
        <v>91</v>
      </c>
      <c r="R19" t="s">
        <v>74</v>
      </c>
      <c r="S19" t="s">
        <v>55</v>
      </c>
    </row>
    <row r="20" spans="1:19" x14ac:dyDescent="0.3">
      <c r="A20" t="s">
        <v>128</v>
      </c>
      <c r="B20" t="s">
        <v>28</v>
      </c>
      <c r="C20" t="s">
        <v>9</v>
      </c>
      <c r="D20" t="s">
        <v>129</v>
      </c>
      <c r="E20" t="s">
        <v>65</v>
      </c>
      <c r="F20" t="s">
        <v>99</v>
      </c>
      <c r="G20" s="2">
        <v>60000</v>
      </c>
      <c r="H20" s="2">
        <v>0</v>
      </c>
      <c r="I20" s="2">
        <v>0</v>
      </c>
      <c r="J20" s="2">
        <f t="shared" si="0"/>
        <v>60000</v>
      </c>
      <c r="K20" t="s">
        <v>73</v>
      </c>
      <c r="L20" t="s">
        <v>53</v>
      </c>
      <c r="M20" s="4">
        <v>46130</v>
      </c>
      <c r="N20" s="4"/>
      <c r="O20" s="4"/>
      <c r="P20" s="4"/>
      <c r="Q20">
        <f t="shared" ca="1" si="1"/>
        <v>0</v>
      </c>
      <c r="R20" t="s">
        <v>69</v>
      </c>
      <c r="S20" t="s">
        <v>62</v>
      </c>
    </row>
    <row r="21" spans="1:19" x14ac:dyDescent="0.3">
      <c r="A21" t="s">
        <v>130</v>
      </c>
      <c r="B21" t="s">
        <v>26</v>
      </c>
      <c r="C21" t="s">
        <v>10</v>
      </c>
      <c r="D21" t="s">
        <v>131</v>
      </c>
      <c r="E21" t="s">
        <v>132</v>
      </c>
      <c r="F21" t="s">
        <v>110</v>
      </c>
      <c r="G21" s="2">
        <v>355000</v>
      </c>
      <c r="H21" s="2">
        <v>322795</v>
      </c>
      <c r="I21" s="2">
        <v>151071</v>
      </c>
      <c r="J21" s="2">
        <f t="shared" si="0"/>
        <v>203929</v>
      </c>
      <c r="K21" t="s">
        <v>52</v>
      </c>
      <c r="L21" t="s">
        <v>53</v>
      </c>
      <c r="M21" s="4">
        <v>46170</v>
      </c>
      <c r="N21" s="4">
        <v>46173</v>
      </c>
      <c r="O21" s="4">
        <v>46193</v>
      </c>
      <c r="P21" s="4">
        <v>46223</v>
      </c>
      <c r="Q21">
        <f t="shared" ca="1" si="1"/>
        <v>7</v>
      </c>
      <c r="R21" t="s">
        <v>74</v>
      </c>
      <c r="S21" t="s">
        <v>62</v>
      </c>
    </row>
    <row r="22" spans="1:19" x14ac:dyDescent="0.3">
      <c r="A22" t="s">
        <v>133</v>
      </c>
      <c r="B22" t="s">
        <v>29</v>
      </c>
      <c r="C22" t="s">
        <v>17</v>
      </c>
      <c r="D22" t="s">
        <v>134</v>
      </c>
      <c r="E22" t="s">
        <v>135</v>
      </c>
      <c r="F22" t="s">
        <v>72</v>
      </c>
      <c r="G22" s="2">
        <v>192000</v>
      </c>
      <c r="H22" s="2">
        <v>0</v>
      </c>
      <c r="I22" s="2">
        <v>0</v>
      </c>
      <c r="J22" s="2">
        <f t="shared" si="0"/>
        <v>192000</v>
      </c>
      <c r="K22" t="s">
        <v>100</v>
      </c>
      <c r="L22" t="s">
        <v>53</v>
      </c>
      <c r="M22" s="4">
        <v>46099</v>
      </c>
      <c r="N22" s="4">
        <v>46109</v>
      </c>
      <c r="O22" s="4"/>
      <c r="P22" s="4"/>
      <c r="Q22">
        <f t="shared" ca="1" si="1"/>
        <v>0</v>
      </c>
      <c r="R22" t="s">
        <v>69</v>
      </c>
      <c r="S22" t="s">
        <v>62</v>
      </c>
    </row>
    <row r="23" spans="1:19" x14ac:dyDescent="0.3">
      <c r="A23" t="s">
        <v>136</v>
      </c>
      <c r="B23" t="s">
        <v>25</v>
      </c>
      <c r="C23" t="s">
        <v>5</v>
      </c>
      <c r="D23" t="s">
        <v>137</v>
      </c>
      <c r="E23" t="s">
        <v>138</v>
      </c>
      <c r="F23" t="s">
        <v>99</v>
      </c>
      <c r="G23" s="2">
        <v>121000</v>
      </c>
      <c r="H23" s="2">
        <v>111576</v>
      </c>
      <c r="I23" s="2">
        <v>111576</v>
      </c>
      <c r="J23" s="2">
        <f t="shared" si="0"/>
        <v>9424</v>
      </c>
      <c r="K23" t="s">
        <v>60</v>
      </c>
      <c r="L23" t="s">
        <v>53</v>
      </c>
      <c r="M23" s="4">
        <v>46140</v>
      </c>
      <c r="N23" s="4">
        <v>46150</v>
      </c>
      <c r="O23" s="4">
        <v>46190</v>
      </c>
      <c r="P23" s="4">
        <v>46220</v>
      </c>
      <c r="Q23">
        <f t="shared" ca="1" si="1"/>
        <v>10</v>
      </c>
      <c r="R23" t="s">
        <v>74</v>
      </c>
      <c r="S23" t="s">
        <v>62</v>
      </c>
    </row>
    <row r="24" spans="1:19" x14ac:dyDescent="0.3">
      <c r="A24" t="s">
        <v>139</v>
      </c>
      <c r="B24" t="s">
        <v>27</v>
      </c>
      <c r="C24" t="s">
        <v>8</v>
      </c>
      <c r="D24" t="s">
        <v>140</v>
      </c>
      <c r="E24" t="s">
        <v>141</v>
      </c>
      <c r="F24" t="s">
        <v>88</v>
      </c>
      <c r="G24" s="2">
        <v>274000</v>
      </c>
      <c r="H24" s="2">
        <v>263237</v>
      </c>
      <c r="I24" s="2">
        <v>0</v>
      </c>
      <c r="J24" s="2">
        <f t="shared" si="0"/>
        <v>274000</v>
      </c>
      <c r="K24" t="s">
        <v>93</v>
      </c>
      <c r="L24" t="s">
        <v>53</v>
      </c>
      <c r="M24" s="4">
        <v>46152</v>
      </c>
      <c r="N24" s="4">
        <v>46169</v>
      </c>
      <c r="O24" s="4">
        <v>46205</v>
      </c>
      <c r="P24" s="4">
        <v>46235</v>
      </c>
      <c r="Q24">
        <f t="shared" ca="1" si="1"/>
        <v>0</v>
      </c>
      <c r="R24" t="s">
        <v>54</v>
      </c>
      <c r="S24" t="s">
        <v>62</v>
      </c>
    </row>
    <row r="25" spans="1:19" x14ac:dyDescent="0.3">
      <c r="A25" t="s">
        <v>142</v>
      </c>
      <c r="B25" t="s">
        <v>28</v>
      </c>
      <c r="C25" t="s">
        <v>15</v>
      </c>
      <c r="D25" t="s">
        <v>143</v>
      </c>
      <c r="E25" t="s">
        <v>144</v>
      </c>
      <c r="F25" t="s">
        <v>88</v>
      </c>
      <c r="G25" s="2">
        <v>44000</v>
      </c>
      <c r="H25" s="2">
        <v>43696</v>
      </c>
      <c r="I25" s="2">
        <v>0</v>
      </c>
      <c r="J25" s="2">
        <f t="shared" si="0"/>
        <v>44000</v>
      </c>
      <c r="K25" t="s">
        <v>93</v>
      </c>
      <c r="L25" t="s">
        <v>53</v>
      </c>
      <c r="M25" s="4">
        <v>46074</v>
      </c>
      <c r="N25" s="4">
        <v>46086</v>
      </c>
      <c r="O25" s="4">
        <v>46115</v>
      </c>
      <c r="P25" s="4">
        <v>46145</v>
      </c>
      <c r="Q25">
        <f t="shared" ca="1" si="1"/>
        <v>85</v>
      </c>
      <c r="R25" t="s">
        <v>61</v>
      </c>
      <c r="S25" t="s">
        <v>55</v>
      </c>
    </row>
    <row r="26" spans="1:19" x14ac:dyDescent="0.3">
      <c r="A26" t="s">
        <v>145</v>
      </c>
      <c r="B26" t="s">
        <v>29</v>
      </c>
      <c r="C26" t="s">
        <v>12</v>
      </c>
      <c r="D26" t="s">
        <v>146</v>
      </c>
      <c r="E26" t="s">
        <v>147</v>
      </c>
      <c r="F26" t="s">
        <v>110</v>
      </c>
      <c r="G26" s="2">
        <v>262000</v>
      </c>
      <c r="H26" s="2">
        <v>211281</v>
      </c>
      <c r="I26" s="2">
        <v>0</v>
      </c>
      <c r="J26" s="2">
        <f t="shared" si="0"/>
        <v>262000</v>
      </c>
      <c r="K26" t="s">
        <v>78</v>
      </c>
      <c r="L26" t="s">
        <v>68</v>
      </c>
      <c r="M26" s="4">
        <v>46076</v>
      </c>
      <c r="N26" s="4">
        <v>46083</v>
      </c>
      <c r="O26" s="4">
        <v>46106</v>
      </c>
      <c r="P26" s="4">
        <v>46136</v>
      </c>
      <c r="Q26">
        <f t="shared" ca="1" si="1"/>
        <v>94</v>
      </c>
      <c r="R26" t="s">
        <v>69</v>
      </c>
      <c r="S26" t="s">
        <v>55</v>
      </c>
    </row>
    <row r="27" spans="1:19" x14ac:dyDescent="0.3">
      <c r="A27" t="s">
        <v>148</v>
      </c>
      <c r="B27" t="s">
        <v>28</v>
      </c>
      <c r="C27" t="s">
        <v>12</v>
      </c>
      <c r="D27" t="s">
        <v>149</v>
      </c>
      <c r="E27" t="s">
        <v>150</v>
      </c>
      <c r="F27" t="s">
        <v>51</v>
      </c>
      <c r="G27" s="2">
        <v>324000</v>
      </c>
      <c r="H27" s="2">
        <v>0</v>
      </c>
      <c r="I27" s="2">
        <v>0</v>
      </c>
      <c r="J27" s="2">
        <f t="shared" si="0"/>
        <v>324000</v>
      </c>
      <c r="K27" t="s">
        <v>100</v>
      </c>
      <c r="L27" t="s">
        <v>84</v>
      </c>
      <c r="M27" s="4">
        <v>46143</v>
      </c>
      <c r="N27" s="4">
        <v>46158</v>
      </c>
      <c r="O27" s="4"/>
      <c r="P27" s="4"/>
      <c r="Q27">
        <f t="shared" ca="1" si="1"/>
        <v>0</v>
      </c>
      <c r="R27" t="s">
        <v>61</v>
      </c>
      <c r="S27" t="s">
        <v>62</v>
      </c>
    </row>
    <row r="28" spans="1:19" x14ac:dyDescent="0.3">
      <c r="A28" t="s">
        <v>151</v>
      </c>
      <c r="B28" t="s">
        <v>24</v>
      </c>
      <c r="C28" t="s">
        <v>8</v>
      </c>
      <c r="D28" t="s">
        <v>152</v>
      </c>
      <c r="E28" t="s">
        <v>153</v>
      </c>
      <c r="F28" t="s">
        <v>118</v>
      </c>
      <c r="G28" s="2">
        <v>355000</v>
      </c>
      <c r="H28" s="2">
        <v>0</v>
      </c>
      <c r="I28" s="2">
        <v>0</v>
      </c>
      <c r="J28" s="2">
        <f t="shared" si="0"/>
        <v>355000</v>
      </c>
      <c r="K28" t="s">
        <v>100</v>
      </c>
      <c r="L28" t="s">
        <v>68</v>
      </c>
      <c r="M28" s="4">
        <v>46060</v>
      </c>
      <c r="N28" s="4">
        <v>46075</v>
      </c>
      <c r="O28" s="4"/>
      <c r="P28" s="4"/>
      <c r="Q28">
        <f t="shared" ca="1" si="1"/>
        <v>0</v>
      </c>
      <c r="R28" t="s">
        <v>79</v>
      </c>
      <c r="S28" t="s">
        <v>62</v>
      </c>
    </row>
    <row r="29" spans="1:19" x14ac:dyDescent="0.3">
      <c r="A29" t="s">
        <v>154</v>
      </c>
      <c r="B29" t="s">
        <v>26</v>
      </c>
      <c r="C29" t="s">
        <v>12</v>
      </c>
      <c r="D29" t="s">
        <v>155</v>
      </c>
      <c r="E29" t="s">
        <v>156</v>
      </c>
      <c r="F29" t="s">
        <v>114</v>
      </c>
      <c r="G29" s="2">
        <v>214000</v>
      </c>
      <c r="H29" s="2">
        <v>210784</v>
      </c>
      <c r="I29" s="2">
        <v>0</v>
      </c>
      <c r="J29" s="2">
        <f t="shared" si="0"/>
        <v>214000</v>
      </c>
      <c r="K29" t="s">
        <v>93</v>
      </c>
      <c r="L29" t="s">
        <v>53</v>
      </c>
      <c r="M29" s="4">
        <v>46169</v>
      </c>
      <c r="N29" s="4">
        <v>46177</v>
      </c>
      <c r="O29" s="4">
        <v>46197</v>
      </c>
      <c r="P29" s="4">
        <v>46227</v>
      </c>
      <c r="Q29">
        <f t="shared" ca="1" si="1"/>
        <v>3</v>
      </c>
      <c r="R29" t="s">
        <v>69</v>
      </c>
      <c r="S29" t="s">
        <v>62</v>
      </c>
    </row>
    <row r="30" spans="1:19" x14ac:dyDescent="0.3">
      <c r="A30" t="s">
        <v>157</v>
      </c>
      <c r="B30" t="s">
        <v>26</v>
      </c>
      <c r="C30" t="s">
        <v>5</v>
      </c>
      <c r="D30" t="s">
        <v>158</v>
      </c>
      <c r="E30" t="s">
        <v>159</v>
      </c>
      <c r="F30" t="s">
        <v>114</v>
      </c>
      <c r="G30" s="2">
        <v>397000</v>
      </c>
      <c r="H30" s="2">
        <v>379249</v>
      </c>
      <c r="I30" s="2">
        <v>379249</v>
      </c>
      <c r="J30" s="2">
        <f t="shared" si="0"/>
        <v>17751</v>
      </c>
      <c r="K30" t="s">
        <v>60</v>
      </c>
      <c r="L30" t="s">
        <v>53</v>
      </c>
      <c r="M30" s="4">
        <v>46124</v>
      </c>
      <c r="N30" s="4">
        <v>46136</v>
      </c>
      <c r="O30" s="4">
        <v>46151</v>
      </c>
      <c r="P30" s="4">
        <v>46181</v>
      </c>
      <c r="Q30">
        <f t="shared" ca="1" si="1"/>
        <v>49</v>
      </c>
      <c r="R30" t="s">
        <v>54</v>
      </c>
      <c r="S30" t="s">
        <v>55</v>
      </c>
    </row>
    <row r="31" spans="1:19" x14ac:dyDescent="0.3">
      <c r="A31" t="s">
        <v>160</v>
      </c>
      <c r="B31" t="s">
        <v>22</v>
      </c>
      <c r="C31" t="s">
        <v>10</v>
      </c>
      <c r="D31" t="s">
        <v>161</v>
      </c>
      <c r="E31" t="s">
        <v>65</v>
      </c>
      <c r="F31" t="s">
        <v>66</v>
      </c>
      <c r="G31" s="2">
        <v>118000</v>
      </c>
      <c r="H31" s="2">
        <v>0</v>
      </c>
      <c r="I31" s="2">
        <v>0</v>
      </c>
      <c r="J31" s="2">
        <f t="shared" si="0"/>
        <v>118000</v>
      </c>
      <c r="K31" t="s">
        <v>67</v>
      </c>
      <c r="L31" t="s">
        <v>84</v>
      </c>
      <c r="M31" s="4">
        <v>46174</v>
      </c>
      <c r="N31" s="4"/>
      <c r="O31" s="4"/>
      <c r="P31" s="4"/>
      <c r="Q31">
        <f t="shared" ca="1" si="1"/>
        <v>0</v>
      </c>
      <c r="R31" t="s">
        <v>61</v>
      </c>
      <c r="S31" t="s">
        <v>62</v>
      </c>
    </row>
    <row r="32" spans="1:19" x14ac:dyDescent="0.3">
      <c r="A32" t="s">
        <v>162</v>
      </c>
      <c r="B32" t="s">
        <v>25</v>
      </c>
      <c r="C32" t="s">
        <v>8</v>
      </c>
      <c r="D32" t="s">
        <v>163</v>
      </c>
      <c r="E32" t="s">
        <v>164</v>
      </c>
      <c r="F32" t="s">
        <v>59</v>
      </c>
      <c r="G32" s="2">
        <v>29000</v>
      </c>
      <c r="H32" s="2">
        <v>26149</v>
      </c>
      <c r="I32" s="2">
        <v>26149</v>
      </c>
      <c r="J32" s="2">
        <f t="shared" si="0"/>
        <v>2851</v>
      </c>
      <c r="K32" t="s">
        <v>60</v>
      </c>
      <c r="L32" t="s">
        <v>53</v>
      </c>
      <c r="M32" s="4">
        <v>46189</v>
      </c>
      <c r="N32" s="4">
        <v>46203</v>
      </c>
      <c r="O32" s="4">
        <v>46241</v>
      </c>
      <c r="P32" s="4">
        <v>46271</v>
      </c>
      <c r="Q32">
        <f t="shared" ca="1" si="1"/>
        <v>0</v>
      </c>
      <c r="R32" t="s">
        <v>54</v>
      </c>
      <c r="S32" t="s">
        <v>62</v>
      </c>
    </row>
    <row r="33" spans="1:19" x14ac:dyDescent="0.3">
      <c r="A33" t="s">
        <v>165</v>
      </c>
      <c r="B33" t="s">
        <v>29</v>
      </c>
      <c r="C33" t="s">
        <v>6</v>
      </c>
      <c r="D33" t="s">
        <v>166</v>
      </c>
      <c r="E33" t="s">
        <v>167</v>
      </c>
      <c r="F33" t="s">
        <v>72</v>
      </c>
      <c r="G33" s="2">
        <v>219000</v>
      </c>
      <c r="H33" s="2">
        <v>191914</v>
      </c>
      <c r="I33" s="2">
        <v>0</v>
      </c>
      <c r="J33" s="2">
        <f t="shared" si="0"/>
        <v>219000</v>
      </c>
      <c r="K33" t="s">
        <v>78</v>
      </c>
      <c r="L33" t="s">
        <v>53</v>
      </c>
      <c r="M33" s="4">
        <v>46053</v>
      </c>
      <c r="N33" s="4">
        <v>46065</v>
      </c>
      <c r="O33" s="4">
        <v>46101</v>
      </c>
      <c r="P33" s="4">
        <v>46131</v>
      </c>
      <c r="Q33">
        <f t="shared" ca="1" si="1"/>
        <v>99</v>
      </c>
      <c r="R33" t="s">
        <v>79</v>
      </c>
      <c r="S33" t="s">
        <v>55</v>
      </c>
    </row>
    <row r="34" spans="1:19" x14ac:dyDescent="0.3">
      <c r="A34" t="s">
        <v>168</v>
      </c>
      <c r="B34" t="s">
        <v>28</v>
      </c>
      <c r="C34" t="s">
        <v>5</v>
      </c>
      <c r="D34" t="s">
        <v>169</v>
      </c>
      <c r="E34" t="s">
        <v>170</v>
      </c>
      <c r="F34" t="s">
        <v>118</v>
      </c>
      <c r="G34" s="2">
        <v>97000</v>
      </c>
      <c r="H34" s="2">
        <v>84669</v>
      </c>
      <c r="I34" s="2">
        <v>57384</v>
      </c>
      <c r="J34" s="2">
        <f t="shared" ref="J34:J61" si="2">G34-I34</f>
        <v>39616</v>
      </c>
      <c r="K34" t="s">
        <v>52</v>
      </c>
      <c r="L34" t="s">
        <v>68</v>
      </c>
      <c r="M34" s="4">
        <v>46189</v>
      </c>
      <c r="N34" s="4">
        <v>46205</v>
      </c>
      <c r="O34" s="4">
        <v>46247</v>
      </c>
      <c r="P34" s="4">
        <v>46277</v>
      </c>
      <c r="Q34">
        <f t="shared" ref="Q34:Q61" ca="1" si="3">IF(AND(P34&lt;&gt;"",J34&gt;0),MAX(TODAY()-P34,0),0)</f>
        <v>0</v>
      </c>
      <c r="R34" t="s">
        <v>74</v>
      </c>
      <c r="S34" t="s">
        <v>62</v>
      </c>
    </row>
    <row r="35" spans="1:19" x14ac:dyDescent="0.3">
      <c r="A35" t="s">
        <v>171</v>
      </c>
      <c r="B35" t="s">
        <v>27</v>
      </c>
      <c r="C35" t="s">
        <v>6</v>
      </c>
      <c r="D35" t="s">
        <v>172</v>
      </c>
      <c r="E35" t="s">
        <v>173</v>
      </c>
      <c r="F35" t="s">
        <v>88</v>
      </c>
      <c r="G35" s="2">
        <v>49000</v>
      </c>
      <c r="H35" s="2">
        <v>39588</v>
      </c>
      <c r="I35" s="2">
        <v>39588</v>
      </c>
      <c r="J35" s="2">
        <f t="shared" si="2"/>
        <v>9412</v>
      </c>
      <c r="K35" t="s">
        <v>60</v>
      </c>
      <c r="L35" t="s">
        <v>68</v>
      </c>
      <c r="M35" s="4">
        <v>46107</v>
      </c>
      <c r="N35" s="4">
        <v>46112</v>
      </c>
      <c r="O35" s="4">
        <v>46122</v>
      </c>
      <c r="P35" s="4">
        <v>46152</v>
      </c>
      <c r="Q35">
        <f t="shared" ca="1" si="3"/>
        <v>78</v>
      </c>
      <c r="R35" t="s">
        <v>54</v>
      </c>
      <c r="S35" t="s">
        <v>55</v>
      </c>
    </row>
    <row r="36" spans="1:19" x14ac:dyDescent="0.3">
      <c r="A36" t="s">
        <v>174</v>
      </c>
      <c r="B36" t="s">
        <v>22</v>
      </c>
      <c r="C36" t="s">
        <v>6</v>
      </c>
      <c r="D36" t="s">
        <v>175</v>
      </c>
      <c r="E36" t="s">
        <v>176</v>
      </c>
      <c r="F36" t="s">
        <v>110</v>
      </c>
      <c r="G36" s="2">
        <v>389000</v>
      </c>
      <c r="H36" s="2">
        <v>385160</v>
      </c>
      <c r="I36" s="2">
        <v>240094</v>
      </c>
      <c r="J36" s="2">
        <f t="shared" si="2"/>
        <v>148906</v>
      </c>
      <c r="K36" t="s">
        <v>52</v>
      </c>
      <c r="L36" t="s">
        <v>53</v>
      </c>
      <c r="M36" s="4">
        <v>46208</v>
      </c>
      <c r="N36" s="4">
        <v>46218</v>
      </c>
      <c r="O36" s="4">
        <v>46262</v>
      </c>
      <c r="P36" s="4">
        <v>46292</v>
      </c>
      <c r="Q36">
        <f t="shared" ca="1" si="3"/>
        <v>0</v>
      </c>
      <c r="R36" t="s">
        <v>54</v>
      </c>
      <c r="S36" t="s">
        <v>62</v>
      </c>
    </row>
    <row r="37" spans="1:19" x14ac:dyDescent="0.3">
      <c r="A37" t="s">
        <v>177</v>
      </c>
      <c r="B37" t="s">
        <v>29</v>
      </c>
      <c r="C37" t="s">
        <v>12</v>
      </c>
      <c r="D37" t="s">
        <v>178</v>
      </c>
      <c r="E37" t="s">
        <v>179</v>
      </c>
      <c r="F37" t="s">
        <v>72</v>
      </c>
      <c r="G37" s="2">
        <v>179000</v>
      </c>
      <c r="H37" s="2">
        <v>170054</v>
      </c>
      <c r="I37" s="2">
        <v>0</v>
      </c>
      <c r="J37" s="2">
        <f t="shared" si="2"/>
        <v>179000</v>
      </c>
      <c r="K37" t="s">
        <v>93</v>
      </c>
      <c r="L37" t="s">
        <v>53</v>
      </c>
      <c r="M37" s="4">
        <v>46115</v>
      </c>
      <c r="N37" s="4">
        <v>46120</v>
      </c>
      <c r="O37" s="4">
        <v>46165</v>
      </c>
      <c r="P37" s="4">
        <v>46195</v>
      </c>
      <c r="Q37">
        <f t="shared" ca="1" si="3"/>
        <v>35</v>
      </c>
      <c r="R37" t="s">
        <v>69</v>
      </c>
      <c r="S37" t="s">
        <v>55</v>
      </c>
    </row>
    <row r="38" spans="1:19" x14ac:dyDescent="0.3">
      <c r="A38" t="s">
        <v>180</v>
      </c>
      <c r="B38" t="s">
        <v>27</v>
      </c>
      <c r="C38" t="s">
        <v>8</v>
      </c>
      <c r="D38" t="s">
        <v>181</v>
      </c>
      <c r="E38" t="s">
        <v>182</v>
      </c>
      <c r="F38" t="s">
        <v>88</v>
      </c>
      <c r="G38" s="2">
        <v>325000</v>
      </c>
      <c r="H38" s="2">
        <v>0</v>
      </c>
      <c r="I38" s="2">
        <v>0</v>
      </c>
      <c r="J38" s="2">
        <f t="shared" si="2"/>
        <v>325000</v>
      </c>
      <c r="K38" t="s">
        <v>89</v>
      </c>
      <c r="L38" t="s">
        <v>84</v>
      </c>
      <c r="M38" s="4">
        <v>46181</v>
      </c>
      <c r="N38" s="4">
        <v>46192</v>
      </c>
      <c r="O38" s="4"/>
      <c r="P38" s="4"/>
      <c r="Q38">
        <f t="shared" ca="1" si="3"/>
        <v>0</v>
      </c>
      <c r="R38" t="s">
        <v>54</v>
      </c>
      <c r="S38" t="s">
        <v>62</v>
      </c>
    </row>
    <row r="39" spans="1:19" x14ac:dyDescent="0.3">
      <c r="A39" t="s">
        <v>183</v>
      </c>
      <c r="B39" t="s">
        <v>25</v>
      </c>
      <c r="C39" t="s">
        <v>6</v>
      </c>
      <c r="D39" t="s">
        <v>184</v>
      </c>
      <c r="E39" t="s">
        <v>185</v>
      </c>
      <c r="F39" t="s">
        <v>72</v>
      </c>
      <c r="G39" s="2">
        <v>225000</v>
      </c>
      <c r="H39" s="2">
        <v>211348</v>
      </c>
      <c r="I39" s="2">
        <v>0</v>
      </c>
      <c r="J39" s="2">
        <f t="shared" si="2"/>
        <v>225000</v>
      </c>
      <c r="K39" t="s">
        <v>93</v>
      </c>
      <c r="L39" t="s">
        <v>53</v>
      </c>
      <c r="M39" s="4">
        <v>46129</v>
      </c>
      <c r="N39" s="4">
        <v>46144</v>
      </c>
      <c r="O39" s="4">
        <v>46182</v>
      </c>
      <c r="P39" s="4">
        <v>46212</v>
      </c>
      <c r="Q39">
        <f t="shared" ca="1" si="3"/>
        <v>18</v>
      </c>
      <c r="R39" t="s">
        <v>54</v>
      </c>
      <c r="S39" t="s">
        <v>62</v>
      </c>
    </row>
    <row r="40" spans="1:19" x14ac:dyDescent="0.3">
      <c r="A40" t="s">
        <v>186</v>
      </c>
      <c r="B40" t="s">
        <v>27</v>
      </c>
      <c r="C40" t="s">
        <v>6</v>
      </c>
      <c r="D40" t="s">
        <v>187</v>
      </c>
      <c r="E40" t="s">
        <v>188</v>
      </c>
      <c r="F40" t="s">
        <v>59</v>
      </c>
      <c r="G40" s="2">
        <v>331000</v>
      </c>
      <c r="H40" s="2">
        <v>0</v>
      </c>
      <c r="I40" s="2">
        <v>0</v>
      </c>
      <c r="J40" s="2">
        <f t="shared" si="2"/>
        <v>331000</v>
      </c>
      <c r="K40" t="s">
        <v>100</v>
      </c>
      <c r="L40" t="s">
        <v>53</v>
      </c>
      <c r="M40" s="4">
        <v>46071</v>
      </c>
      <c r="N40" s="4">
        <v>46078</v>
      </c>
      <c r="O40" s="4"/>
      <c r="P40" s="4"/>
      <c r="Q40">
        <f t="shared" ca="1" si="3"/>
        <v>0</v>
      </c>
      <c r="R40" t="s">
        <v>79</v>
      </c>
      <c r="S40" t="s">
        <v>62</v>
      </c>
    </row>
    <row r="41" spans="1:19" x14ac:dyDescent="0.3">
      <c r="A41" t="s">
        <v>189</v>
      </c>
      <c r="B41" t="s">
        <v>26</v>
      </c>
      <c r="C41" t="s">
        <v>10</v>
      </c>
      <c r="D41" t="s">
        <v>190</v>
      </c>
      <c r="E41" t="s">
        <v>191</v>
      </c>
      <c r="F41" t="s">
        <v>99</v>
      </c>
      <c r="G41" s="2">
        <v>79000</v>
      </c>
      <c r="H41" s="2">
        <v>0</v>
      </c>
      <c r="I41" s="2">
        <v>0</v>
      </c>
      <c r="J41" s="2">
        <f t="shared" si="2"/>
        <v>79000</v>
      </c>
      <c r="K41" t="s">
        <v>89</v>
      </c>
      <c r="L41" t="s">
        <v>84</v>
      </c>
      <c r="M41" s="4">
        <v>46065</v>
      </c>
      <c r="N41" s="4">
        <v>46083</v>
      </c>
      <c r="O41" s="4"/>
      <c r="P41" s="4"/>
      <c r="Q41">
        <f t="shared" ca="1" si="3"/>
        <v>0</v>
      </c>
      <c r="R41" t="s">
        <v>61</v>
      </c>
      <c r="S41" t="s">
        <v>62</v>
      </c>
    </row>
    <row r="42" spans="1:19" x14ac:dyDescent="0.3">
      <c r="A42" t="s">
        <v>192</v>
      </c>
      <c r="B42" t="s">
        <v>24</v>
      </c>
      <c r="C42" t="s">
        <v>10</v>
      </c>
      <c r="D42" t="s">
        <v>193</v>
      </c>
      <c r="E42" t="s">
        <v>194</v>
      </c>
      <c r="F42" t="s">
        <v>83</v>
      </c>
      <c r="G42" s="2">
        <v>199000</v>
      </c>
      <c r="H42" s="2">
        <v>0</v>
      </c>
      <c r="I42" s="2">
        <v>0</v>
      </c>
      <c r="J42" s="2">
        <f t="shared" si="2"/>
        <v>199000</v>
      </c>
      <c r="K42" t="s">
        <v>89</v>
      </c>
      <c r="L42" t="s">
        <v>53</v>
      </c>
      <c r="M42" s="4">
        <v>46131</v>
      </c>
      <c r="N42" s="4">
        <v>46148</v>
      </c>
      <c r="O42" s="4"/>
      <c r="P42" s="4"/>
      <c r="Q42">
        <f t="shared" ca="1" si="3"/>
        <v>0</v>
      </c>
      <c r="R42" t="s">
        <v>54</v>
      </c>
      <c r="S42" t="s">
        <v>62</v>
      </c>
    </row>
    <row r="43" spans="1:19" x14ac:dyDescent="0.3">
      <c r="A43" t="s">
        <v>195</v>
      </c>
      <c r="B43" t="s">
        <v>28</v>
      </c>
      <c r="C43" t="s">
        <v>9</v>
      </c>
      <c r="D43" t="s">
        <v>196</v>
      </c>
      <c r="E43" t="s">
        <v>197</v>
      </c>
      <c r="F43" t="s">
        <v>72</v>
      </c>
      <c r="G43" s="2">
        <v>333000</v>
      </c>
      <c r="H43" s="2">
        <v>278878</v>
      </c>
      <c r="I43" s="2">
        <v>278878</v>
      </c>
      <c r="J43" s="2">
        <f t="shared" si="2"/>
        <v>54122</v>
      </c>
      <c r="K43" t="s">
        <v>60</v>
      </c>
      <c r="L43" t="s">
        <v>53</v>
      </c>
      <c r="M43" s="4">
        <v>46179</v>
      </c>
      <c r="N43" s="4">
        <v>46191</v>
      </c>
      <c r="O43" s="4">
        <v>46219</v>
      </c>
      <c r="P43" s="4">
        <v>46249</v>
      </c>
      <c r="Q43">
        <f t="shared" ca="1" si="3"/>
        <v>0</v>
      </c>
      <c r="R43" t="s">
        <v>79</v>
      </c>
      <c r="S43" t="s">
        <v>62</v>
      </c>
    </row>
    <row r="44" spans="1:19" x14ac:dyDescent="0.3">
      <c r="A44" t="s">
        <v>198</v>
      </c>
      <c r="B44" t="s">
        <v>22</v>
      </c>
      <c r="C44" t="s">
        <v>12</v>
      </c>
      <c r="D44" t="s">
        <v>199</v>
      </c>
      <c r="E44" t="s">
        <v>200</v>
      </c>
      <c r="F44" t="s">
        <v>114</v>
      </c>
      <c r="G44" s="2">
        <v>361000</v>
      </c>
      <c r="H44" s="2">
        <v>318175</v>
      </c>
      <c r="I44" s="2">
        <v>217243</v>
      </c>
      <c r="J44" s="2">
        <f t="shared" si="2"/>
        <v>143757</v>
      </c>
      <c r="K44" t="s">
        <v>52</v>
      </c>
      <c r="L44" t="s">
        <v>68</v>
      </c>
      <c r="M44" s="4">
        <v>46174</v>
      </c>
      <c r="N44" s="4">
        <v>46192</v>
      </c>
      <c r="O44" s="4">
        <v>46204</v>
      </c>
      <c r="P44" s="4">
        <v>46234</v>
      </c>
      <c r="Q44">
        <f t="shared" ca="1" si="3"/>
        <v>0</v>
      </c>
      <c r="R44" t="s">
        <v>54</v>
      </c>
      <c r="S44" t="s">
        <v>62</v>
      </c>
    </row>
    <row r="45" spans="1:19" x14ac:dyDescent="0.3">
      <c r="A45" t="s">
        <v>201</v>
      </c>
      <c r="B45" t="s">
        <v>29</v>
      </c>
      <c r="C45" t="s">
        <v>9</v>
      </c>
      <c r="D45" t="s">
        <v>202</v>
      </c>
      <c r="E45" t="s">
        <v>203</v>
      </c>
      <c r="F45" t="s">
        <v>114</v>
      </c>
      <c r="G45" s="2">
        <v>137000</v>
      </c>
      <c r="H45" s="2">
        <v>0</v>
      </c>
      <c r="I45" s="2">
        <v>0</v>
      </c>
      <c r="J45" s="2">
        <f t="shared" si="2"/>
        <v>137000</v>
      </c>
      <c r="K45" t="s">
        <v>100</v>
      </c>
      <c r="L45" t="s">
        <v>84</v>
      </c>
      <c r="M45" s="4">
        <v>46167</v>
      </c>
      <c r="N45" s="4">
        <v>46176</v>
      </c>
      <c r="O45" s="4"/>
      <c r="P45" s="4"/>
      <c r="Q45">
        <f t="shared" ca="1" si="3"/>
        <v>0</v>
      </c>
      <c r="R45" t="s">
        <v>69</v>
      </c>
      <c r="S45" t="s">
        <v>62</v>
      </c>
    </row>
    <row r="46" spans="1:19" x14ac:dyDescent="0.3">
      <c r="A46" t="s">
        <v>204</v>
      </c>
      <c r="B46" t="s">
        <v>25</v>
      </c>
      <c r="C46" t="s">
        <v>8</v>
      </c>
      <c r="D46" t="s">
        <v>205</v>
      </c>
      <c r="E46" t="s">
        <v>206</v>
      </c>
      <c r="F46" t="s">
        <v>110</v>
      </c>
      <c r="G46" s="2">
        <v>252000</v>
      </c>
      <c r="H46" s="2">
        <v>197344</v>
      </c>
      <c r="I46" s="2">
        <v>0</v>
      </c>
      <c r="J46" s="2">
        <f t="shared" si="2"/>
        <v>252000</v>
      </c>
      <c r="K46" t="s">
        <v>93</v>
      </c>
      <c r="L46" t="s">
        <v>84</v>
      </c>
      <c r="M46" s="4">
        <v>46092</v>
      </c>
      <c r="N46" s="4">
        <v>46107</v>
      </c>
      <c r="O46" s="4">
        <v>46142</v>
      </c>
      <c r="P46" s="4">
        <v>46172</v>
      </c>
      <c r="Q46">
        <f t="shared" ca="1" si="3"/>
        <v>58</v>
      </c>
      <c r="R46" t="s">
        <v>79</v>
      </c>
      <c r="S46" t="s">
        <v>55</v>
      </c>
    </row>
    <row r="47" spans="1:19" x14ac:dyDescent="0.3">
      <c r="A47" t="s">
        <v>207</v>
      </c>
      <c r="B47" t="s">
        <v>27</v>
      </c>
      <c r="C47" t="s">
        <v>10</v>
      </c>
      <c r="D47" t="s">
        <v>208</v>
      </c>
      <c r="E47" t="s">
        <v>209</v>
      </c>
      <c r="F47" t="s">
        <v>118</v>
      </c>
      <c r="G47" s="2">
        <v>140000</v>
      </c>
      <c r="H47" s="2">
        <v>125658</v>
      </c>
      <c r="I47" s="2">
        <v>80697</v>
      </c>
      <c r="J47" s="2">
        <f t="shared" si="2"/>
        <v>59303</v>
      </c>
      <c r="K47" t="s">
        <v>52</v>
      </c>
      <c r="L47" t="s">
        <v>53</v>
      </c>
      <c r="M47" s="4">
        <v>46091</v>
      </c>
      <c r="N47" s="4">
        <v>46104</v>
      </c>
      <c r="O47" s="4">
        <v>46133</v>
      </c>
      <c r="P47" s="4">
        <v>46163</v>
      </c>
      <c r="Q47">
        <f t="shared" ca="1" si="3"/>
        <v>67</v>
      </c>
      <c r="R47" t="s">
        <v>61</v>
      </c>
      <c r="S47" t="s">
        <v>55</v>
      </c>
    </row>
    <row r="48" spans="1:19" x14ac:dyDescent="0.3">
      <c r="A48" t="s">
        <v>210</v>
      </c>
      <c r="B48" t="s">
        <v>24</v>
      </c>
      <c r="C48" t="s">
        <v>5</v>
      </c>
      <c r="D48" t="s">
        <v>211</v>
      </c>
      <c r="E48" t="s">
        <v>65</v>
      </c>
      <c r="F48" t="s">
        <v>114</v>
      </c>
      <c r="G48" s="2">
        <v>167000</v>
      </c>
      <c r="H48" s="2">
        <v>0</v>
      </c>
      <c r="I48" s="2">
        <v>0</v>
      </c>
      <c r="J48" s="2">
        <f t="shared" si="2"/>
        <v>167000</v>
      </c>
      <c r="K48" t="s">
        <v>73</v>
      </c>
      <c r="L48" t="s">
        <v>53</v>
      </c>
      <c r="M48" s="4">
        <v>46116</v>
      </c>
      <c r="N48" s="4"/>
      <c r="O48" s="4"/>
      <c r="P48" s="4"/>
      <c r="Q48">
        <f t="shared" ca="1" si="3"/>
        <v>0</v>
      </c>
      <c r="R48" t="s">
        <v>79</v>
      </c>
      <c r="S48" t="s">
        <v>62</v>
      </c>
    </row>
    <row r="49" spans="1:19" x14ac:dyDescent="0.3">
      <c r="A49" t="s">
        <v>212</v>
      </c>
      <c r="B49" t="s">
        <v>24</v>
      </c>
      <c r="C49" t="s">
        <v>15</v>
      </c>
      <c r="D49" t="s">
        <v>213</v>
      </c>
      <c r="E49" t="s">
        <v>214</v>
      </c>
      <c r="F49" t="s">
        <v>110</v>
      </c>
      <c r="G49" s="2">
        <v>234000</v>
      </c>
      <c r="H49" s="2">
        <v>199708</v>
      </c>
      <c r="I49" s="2">
        <v>0</v>
      </c>
      <c r="J49" s="2">
        <f t="shared" si="2"/>
        <v>234000</v>
      </c>
      <c r="K49" t="s">
        <v>78</v>
      </c>
      <c r="L49" t="s">
        <v>68</v>
      </c>
      <c r="M49" s="4">
        <v>46202</v>
      </c>
      <c r="N49" s="4">
        <v>46209</v>
      </c>
      <c r="O49" s="4">
        <v>46219</v>
      </c>
      <c r="P49" s="4">
        <v>46249</v>
      </c>
      <c r="Q49">
        <f t="shared" ca="1" si="3"/>
        <v>0</v>
      </c>
      <c r="R49" t="s">
        <v>69</v>
      </c>
      <c r="S49" t="s">
        <v>62</v>
      </c>
    </row>
    <row r="50" spans="1:19" x14ac:dyDescent="0.3">
      <c r="A50" t="s">
        <v>215</v>
      </c>
      <c r="B50" t="s">
        <v>26</v>
      </c>
      <c r="C50" t="s">
        <v>9</v>
      </c>
      <c r="D50" t="s">
        <v>216</v>
      </c>
      <c r="E50" t="s">
        <v>65</v>
      </c>
      <c r="F50" t="s">
        <v>59</v>
      </c>
      <c r="G50" s="2">
        <v>300000</v>
      </c>
      <c r="H50" s="2">
        <v>0</v>
      </c>
      <c r="I50" s="2">
        <v>0</v>
      </c>
      <c r="J50" s="2">
        <f t="shared" si="2"/>
        <v>300000</v>
      </c>
      <c r="K50" t="s">
        <v>73</v>
      </c>
      <c r="L50" t="s">
        <v>68</v>
      </c>
      <c r="M50" s="4">
        <v>46118</v>
      </c>
      <c r="N50" s="4"/>
      <c r="O50" s="4"/>
      <c r="P50" s="4"/>
      <c r="Q50">
        <f t="shared" ca="1" si="3"/>
        <v>0</v>
      </c>
      <c r="R50" t="s">
        <v>79</v>
      </c>
      <c r="S50" t="s">
        <v>62</v>
      </c>
    </row>
    <row r="51" spans="1:19" x14ac:dyDescent="0.3">
      <c r="A51" t="s">
        <v>217</v>
      </c>
      <c r="B51" t="s">
        <v>26</v>
      </c>
      <c r="C51" t="s">
        <v>6</v>
      </c>
      <c r="D51" t="s">
        <v>218</v>
      </c>
      <c r="E51" t="s">
        <v>219</v>
      </c>
      <c r="F51" t="s">
        <v>72</v>
      </c>
      <c r="G51" s="2">
        <v>134000</v>
      </c>
      <c r="H51" s="2">
        <v>113227</v>
      </c>
      <c r="I51" s="2">
        <v>113227</v>
      </c>
      <c r="J51" s="2">
        <f t="shared" si="2"/>
        <v>20773</v>
      </c>
      <c r="K51" t="s">
        <v>60</v>
      </c>
      <c r="L51" t="s">
        <v>68</v>
      </c>
      <c r="M51" s="4">
        <v>46080</v>
      </c>
      <c r="N51" s="4">
        <v>46091</v>
      </c>
      <c r="O51" s="4">
        <v>46131</v>
      </c>
      <c r="P51" s="4">
        <v>46161</v>
      </c>
      <c r="Q51">
        <f t="shared" ca="1" si="3"/>
        <v>69</v>
      </c>
      <c r="R51" t="s">
        <v>54</v>
      </c>
      <c r="S51" t="s">
        <v>55</v>
      </c>
    </row>
    <row r="52" spans="1:19" x14ac:dyDescent="0.3">
      <c r="A52" t="s">
        <v>220</v>
      </c>
      <c r="B52" t="s">
        <v>24</v>
      </c>
      <c r="C52" t="s">
        <v>9</v>
      </c>
      <c r="D52" t="s">
        <v>221</v>
      </c>
      <c r="E52" t="s">
        <v>222</v>
      </c>
      <c r="F52" t="s">
        <v>110</v>
      </c>
      <c r="G52" s="2">
        <v>140000</v>
      </c>
      <c r="H52" s="2">
        <v>114125</v>
      </c>
      <c r="I52" s="2">
        <v>114125</v>
      </c>
      <c r="J52" s="2">
        <f t="shared" si="2"/>
        <v>25875</v>
      </c>
      <c r="K52" t="s">
        <v>60</v>
      </c>
      <c r="L52" t="s">
        <v>53</v>
      </c>
      <c r="M52" s="4">
        <v>46079</v>
      </c>
      <c r="N52" s="4">
        <v>46096</v>
      </c>
      <c r="O52" s="4">
        <v>46109</v>
      </c>
      <c r="P52" s="4">
        <v>46139</v>
      </c>
      <c r="Q52">
        <f t="shared" ca="1" si="3"/>
        <v>91</v>
      </c>
      <c r="R52" t="s">
        <v>74</v>
      </c>
      <c r="S52" t="s">
        <v>55</v>
      </c>
    </row>
    <row r="53" spans="1:19" x14ac:dyDescent="0.3">
      <c r="A53" t="s">
        <v>223</v>
      </c>
      <c r="B53" t="s">
        <v>24</v>
      </c>
      <c r="C53" t="s">
        <v>5</v>
      </c>
      <c r="D53" t="s">
        <v>224</v>
      </c>
      <c r="E53" t="s">
        <v>225</v>
      </c>
      <c r="F53" t="s">
        <v>59</v>
      </c>
      <c r="G53" s="2">
        <v>270000</v>
      </c>
      <c r="H53" s="2">
        <v>228425</v>
      </c>
      <c r="I53" s="2">
        <v>0</v>
      </c>
      <c r="J53" s="2">
        <f t="shared" si="2"/>
        <v>270000</v>
      </c>
      <c r="K53" t="s">
        <v>93</v>
      </c>
      <c r="L53" t="s">
        <v>68</v>
      </c>
      <c r="M53" s="4">
        <v>46113</v>
      </c>
      <c r="N53" s="4">
        <v>46118</v>
      </c>
      <c r="O53" s="4">
        <v>46129</v>
      </c>
      <c r="P53" s="4">
        <v>46159</v>
      </c>
      <c r="Q53">
        <f t="shared" ca="1" si="3"/>
        <v>71</v>
      </c>
      <c r="R53" t="s">
        <v>74</v>
      </c>
      <c r="S53" t="s">
        <v>55</v>
      </c>
    </row>
    <row r="54" spans="1:19" x14ac:dyDescent="0.3">
      <c r="A54" t="s">
        <v>226</v>
      </c>
      <c r="B54" t="s">
        <v>29</v>
      </c>
      <c r="C54" t="s">
        <v>15</v>
      </c>
      <c r="D54" t="s">
        <v>227</v>
      </c>
      <c r="E54" t="s">
        <v>228</v>
      </c>
      <c r="F54" t="s">
        <v>83</v>
      </c>
      <c r="G54" s="2">
        <v>208000</v>
      </c>
      <c r="H54" s="2">
        <v>177580</v>
      </c>
      <c r="I54" s="2">
        <v>0</v>
      </c>
      <c r="J54" s="2">
        <f t="shared" si="2"/>
        <v>208000</v>
      </c>
      <c r="K54" t="s">
        <v>78</v>
      </c>
      <c r="L54" t="s">
        <v>84</v>
      </c>
      <c r="M54" s="4">
        <v>46179</v>
      </c>
      <c r="N54" s="4">
        <v>46182</v>
      </c>
      <c r="O54" s="4">
        <v>46210</v>
      </c>
      <c r="P54" s="4">
        <v>46240</v>
      </c>
      <c r="Q54">
        <f t="shared" ca="1" si="3"/>
        <v>0</v>
      </c>
      <c r="R54" t="s">
        <v>74</v>
      </c>
      <c r="S54" t="s">
        <v>62</v>
      </c>
    </row>
    <row r="55" spans="1:19" x14ac:dyDescent="0.3">
      <c r="A55" t="s">
        <v>229</v>
      </c>
      <c r="B55" t="s">
        <v>26</v>
      </c>
      <c r="C55" t="s">
        <v>10</v>
      </c>
      <c r="D55" t="s">
        <v>230</v>
      </c>
      <c r="E55" t="s">
        <v>231</v>
      </c>
      <c r="F55" t="s">
        <v>88</v>
      </c>
      <c r="G55" s="2">
        <v>281000</v>
      </c>
      <c r="H55" s="2">
        <v>0</v>
      </c>
      <c r="I55" s="2">
        <v>0</v>
      </c>
      <c r="J55" s="2">
        <f t="shared" si="2"/>
        <v>281000</v>
      </c>
      <c r="K55" t="s">
        <v>100</v>
      </c>
      <c r="L55" t="s">
        <v>53</v>
      </c>
      <c r="M55" s="4">
        <v>46115</v>
      </c>
      <c r="N55" s="4">
        <v>46120</v>
      </c>
      <c r="O55" s="4"/>
      <c r="P55" s="4"/>
      <c r="Q55">
        <f t="shared" ca="1" si="3"/>
        <v>0</v>
      </c>
      <c r="R55" t="s">
        <v>61</v>
      </c>
      <c r="S55" t="s">
        <v>62</v>
      </c>
    </row>
    <row r="56" spans="1:19" x14ac:dyDescent="0.3">
      <c r="A56" t="s">
        <v>232</v>
      </c>
      <c r="B56" t="s">
        <v>27</v>
      </c>
      <c r="C56" t="s">
        <v>10</v>
      </c>
      <c r="D56" t="s">
        <v>233</v>
      </c>
      <c r="E56" t="s">
        <v>234</v>
      </c>
      <c r="F56" t="s">
        <v>83</v>
      </c>
      <c r="G56" s="2">
        <v>39000</v>
      </c>
      <c r="H56" s="2">
        <v>0</v>
      </c>
      <c r="I56" s="2">
        <v>0</v>
      </c>
      <c r="J56" s="2">
        <f t="shared" si="2"/>
        <v>39000</v>
      </c>
      <c r="K56" t="s">
        <v>89</v>
      </c>
      <c r="L56" t="s">
        <v>53</v>
      </c>
      <c r="M56" s="4">
        <v>46186</v>
      </c>
      <c r="N56" s="4">
        <v>46193</v>
      </c>
      <c r="O56" s="4"/>
      <c r="P56" s="4"/>
      <c r="Q56">
        <f t="shared" ca="1" si="3"/>
        <v>0</v>
      </c>
      <c r="R56" t="s">
        <v>74</v>
      </c>
      <c r="S56" t="s">
        <v>62</v>
      </c>
    </row>
    <row r="57" spans="1:19" x14ac:dyDescent="0.3">
      <c r="A57" t="s">
        <v>235</v>
      </c>
      <c r="B57" t="s">
        <v>24</v>
      </c>
      <c r="C57" t="s">
        <v>8</v>
      </c>
      <c r="D57" t="s">
        <v>236</v>
      </c>
      <c r="E57" t="s">
        <v>237</v>
      </c>
      <c r="F57" t="s">
        <v>88</v>
      </c>
      <c r="G57" s="2">
        <v>103000</v>
      </c>
      <c r="H57" s="2">
        <v>81809</v>
      </c>
      <c r="I57" s="2">
        <v>81809</v>
      </c>
      <c r="J57" s="2">
        <f t="shared" si="2"/>
        <v>21191</v>
      </c>
      <c r="K57" t="s">
        <v>60</v>
      </c>
      <c r="L57" t="s">
        <v>53</v>
      </c>
      <c r="M57" s="4">
        <v>46125</v>
      </c>
      <c r="N57" s="4">
        <v>46135</v>
      </c>
      <c r="O57" s="4">
        <v>46167</v>
      </c>
      <c r="P57" s="4">
        <v>46197</v>
      </c>
      <c r="Q57">
        <f t="shared" ca="1" si="3"/>
        <v>33</v>
      </c>
      <c r="R57" t="s">
        <v>54</v>
      </c>
      <c r="S57" t="s">
        <v>55</v>
      </c>
    </row>
    <row r="58" spans="1:19" x14ac:dyDescent="0.3">
      <c r="A58" t="s">
        <v>238</v>
      </c>
      <c r="B58" t="s">
        <v>26</v>
      </c>
      <c r="C58" t="s">
        <v>17</v>
      </c>
      <c r="D58" t="s">
        <v>239</v>
      </c>
      <c r="E58" t="s">
        <v>240</v>
      </c>
      <c r="F58" t="s">
        <v>118</v>
      </c>
      <c r="G58" s="2">
        <v>402000</v>
      </c>
      <c r="H58" s="2">
        <v>318362</v>
      </c>
      <c r="I58" s="2">
        <v>0</v>
      </c>
      <c r="J58" s="2">
        <f t="shared" si="2"/>
        <v>402000</v>
      </c>
      <c r="K58" t="s">
        <v>78</v>
      </c>
      <c r="L58" t="s">
        <v>53</v>
      </c>
      <c r="M58" s="4">
        <v>46151</v>
      </c>
      <c r="N58" s="4">
        <v>46154</v>
      </c>
      <c r="O58" s="4">
        <v>46179</v>
      </c>
      <c r="P58" s="4">
        <v>46209</v>
      </c>
      <c r="Q58">
        <f t="shared" ca="1" si="3"/>
        <v>21</v>
      </c>
      <c r="R58" t="s">
        <v>79</v>
      </c>
      <c r="S58" t="s">
        <v>62</v>
      </c>
    </row>
    <row r="59" spans="1:19" x14ac:dyDescent="0.3">
      <c r="A59" t="s">
        <v>241</v>
      </c>
      <c r="B59" t="s">
        <v>25</v>
      </c>
      <c r="C59" t="s">
        <v>8</v>
      </c>
      <c r="D59" t="s">
        <v>242</v>
      </c>
      <c r="E59" t="s">
        <v>243</v>
      </c>
      <c r="F59" t="s">
        <v>118</v>
      </c>
      <c r="G59" s="2">
        <v>199000</v>
      </c>
      <c r="H59" s="2">
        <v>167058</v>
      </c>
      <c r="I59" s="2">
        <v>167058</v>
      </c>
      <c r="J59" s="2">
        <f t="shared" si="2"/>
        <v>31942</v>
      </c>
      <c r="K59" t="s">
        <v>60</v>
      </c>
      <c r="L59" t="s">
        <v>84</v>
      </c>
      <c r="M59" s="4">
        <v>46191</v>
      </c>
      <c r="N59" s="4">
        <v>46209</v>
      </c>
      <c r="O59" s="4">
        <v>46239</v>
      </c>
      <c r="P59" s="4">
        <v>46269</v>
      </c>
      <c r="Q59">
        <f t="shared" ca="1" si="3"/>
        <v>0</v>
      </c>
      <c r="R59" t="s">
        <v>61</v>
      </c>
      <c r="S59" t="s">
        <v>62</v>
      </c>
    </row>
    <row r="60" spans="1:19" x14ac:dyDescent="0.3">
      <c r="A60" t="s">
        <v>244</v>
      </c>
      <c r="B60" t="s">
        <v>27</v>
      </c>
      <c r="C60" t="s">
        <v>5</v>
      </c>
      <c r="D60" t="s">
        <v>245</v>
      </c>
      <c r="E60" t="s">
        <v>246</v>
      </c>
      <c r="F60" t="s">
        <v>51</v>
      </c>
      <c r="G60" s="2">
        <v>289000</v>
      </c>
      <c r="H60" s="2">
        <v>261688</v>
      </c>
      <c r="I60" s="2">
        <v>0</v>
      </c>
      <c r="J60" s="2">
        <f t="shared" si="2"/>
        <v>289000</v>
      </c>
      <c r="K60" t="s">
        <v>78</v>
      </c>
      <c r="L60" t="s">
        <v>53</v>
      </c>
      <c r="M60" s="4">
        <v>46073</v>
      </c>
      <c r="N60" s="4">
        <v>46076</v>
      </c>
      <c r="O60" s="4">
        <v>46102</v>
      </c>
      <c r="P60" s="4">
        <v>46132</v>
      </c>
      <c r="Q60">
        <f t="shared" ca="1" si="3"/>
        <v>98</v>
      </c>
      <c r="R60" t="s">
        <v>74</v>
      </c>
      <c r="S60" t="s">
        <v>55</v>
      </c>
    </row>
    <row r="61" spans="1:19" x14ac:dyDescent="0.3">
      <c r="A61" t="s">
        <v>247</v>
      </c>
      <c r="B61" t="s">
        <v>27</v>
      </c>
      <c r="C61" t="s">
        <v>8</v>
      </c>
      <c r="D61" t="s">
        <v>248</v>
      </c>
      <c r="E61" t="s">
        <v>249</v>
      </c>
      <c r="F61" t="s">
        <v>83</v>
      </c>
      <c r="G61" s="2">
        <v>180000</v>
      </c>
      <c r="H61" s="2">
        <v>145765</v>
      </c>
      <c r="I61" s="2">
        <v>145765</v>
      </c>
      <c r="J61" s="2">
        <f t="shared" si="2"/>
        <v>34235</v>
      </c>
      <c r="K61" t="s">
        <v>60</v>
      </c>
      <c r="L61" t="s">
        <v>68</v>
      </c>
      <c r="M61" s="4">
        <v>46076</v>
      </c>
      <c r="N61" s="4">
        <v>46085</v>
      </c>
      <c r="O61" s="4">
        <v>46099</v>
      </c>
      <c r="P61" s="4">
        <v>46129</v>
      </c>
      <c r="Q61">
        <f t="shared" ca="1" si="3"/>
        <v>101</v>
      </c>
      <c r="R61" t="s">
        <v>69</v>
      </c>
      <c r="S61" t="s">
        <v>55</v>
      </c>
    </row>
  </sheetData>
  <conditionalFormatting sqref="J2:J61">
    <cfRule type="cellIs" dxfId="1" priority="2" operator="greaterThan">
      <formula>150000</formula>
    </cfRule>
  </conditionalFormatting>
  <conditionalFormatting sqref="Q2:Q61">
    <cfRule type="cellIs" dxfId="0" priority="1" operator="greaterThan">
      <formula>30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3</v>
      </c>
      <c r="B1" s="1" t="s">
        <v>250</v>
      </c>
      <c r="C1" s="1" t="s">
        <v>251</v>
      </c>
      <c r="D1" s="1" t="s">
        <v>60</v>
      </c>
      <c r="E1" s="1" t="s">
        <v>4</v>
      </c>
      <c r="F1" s="1" t="s">
        <v>252</v>
      </c>
    </row>
    <row r="2" spans="1:6" x14ac:dyDescent="0.3">
      <c r="A2" t="s">
        <v>5</v>
      </c>
      <c r="B2" s="2">
        <f>SUMIF('Procurement Register'!C:C,A2,'Procurement Register'!G:G)</f>
        <v>1799000</v>
      </c>
      <c r="C2" s="2">
        <f>SUMIF('Procurement Register'!C:C,A2,'Procurement Register'!H:H)</f>
        <v>1448474</v>
      </c>
      <c r="D2" s="2">
        <f>SUMIF('Procurement Register'!C:C,A2,'Procurement Register'!I:I)</f>
        <v>577160</v>
      </c>
      <c r="E2" s="2">
        <f>SUMIF('Procurement Register'!C:C,A2,'Procurement Register'!J:J)</f>
        <v>1221840</v>
      </c>
      <c r="F2">
        <f>COUNTIFS('Procurement Register'!C:C,A2,'Procurement Register'!K:K,"&lt;&gt;Paid")</f>
        <v>8</v>
      </c>
    </row>
    <row r="3" spans="1:6" x14ac:dyDescent="0.3">
      <c r="A3" t="s">
        <v>6</v>
      </c>
      <c r="B3" s="2">
        <f>SUMIF('Procurement Register'!C:C,A3,'Procurement Register'!G:G)</f>
        <v>2060000</v>
      </c>
      <c r="C3" s="2">
        <f>SUMIF('Procurement Register'!C:C,A3,'Procurement Register'!H:H)</f>
        <v>1232331</v>
      </c>
      <c r="D3" s="2">
        <f>SUMIF('Procurement Register'!C:C,A3,'Procurement Register'!I:I)</f>
        <v>684003</v>
      </c>
      <c r="E3" s="2">
        <f>SUMIF('Procurement Register'!C:C,A3,'Procurement Register'!J:J)</f>
        <v>1375997</v>
      </c>
      <c r="F3">
        <f>COUNTIFS('Procurement Register'!C:C,A3,'Procurement Register'!K:K,"&lt;&gt;Paid")</f>
        <v>5</v>
      </c>
    </row>
    <row r="4" spans="1:6" x14ac:dyDescent="0.3">
      <c r="A4" t="s">
        <v>8</v>
      </c>
      <c r="B4" s="2">
        <f>SUMIF('Procurement Register'!C:C,A4,'Procurement Register'!G:G)</f>
        <v>2236000</v>
      </c>
      <c r="C4" s="2">
        <f>SUMIF('Procurement Register'!C:C,A4,'Procurement Register'!H:H)</f>
        <v>1067872</v>
      </c>
      <c r="D4" s="2">
        <f>SUMIF('Procurement Register'!C:C,A4,'Procurement Register'!I:I)</f>
        <v>607291</v>
      </c>
      <c r="E4" s="2">
        <f>SUMIF('Procurement Register'!C:C,A4,'Procurement Register'!J:J)</f>
        <v>1628709</v>
      </c>
      <c r="F4">
        <f>COUNTIFS('Procurement Register'!C:C,A4,'Procurement Register'!K:K,"&lt;&gt;Paid")</f>
        <v>5</v>
      </c>
    </row>
    <row r="5" spans="1:6" x14ac:dyDescent="0.3">
      <c r="A5" t="s">
        <v>9</v>
      </c>
      <c r="B5" s="2">
        <f>SUMIF('Procurement Register'!C:C,A5,'Procurement Register'!G:G)</f>
        <v>1238000</v>
      </c>
      <c r="C5" s="2">
        <f>SUMIF('Procurement Register'!C:C,A5,'Procurement Register'!H:H)</f>
        <v>636012</v>
      </c>
      <c r="D5" s="2">
        <f>SUMIF('Procurement Register'!C:C,A5,'Procurement Register'!I:I)</f>
        <v>636012</v>
      </c>
      <c r="E5" s="2">
        <f>SUMIF('Procurement Register'!C:C,A5,'Procurement Register'!J:J)</f>
        <v>601988</v>
      </c>
      <c r="F5">
        <f>COUNTIFS('Procurement Register'!C:C,A5,'Procurement Register'!K:K,"&lt;&gt;Paid")</f>
        <v>3</v>
      </c>
    </row>
    <row r="6" spans="1:6" x14ac:dyDescent="0.3">
      <c r="A6" t="s">
        <v>10</v>
      </c>
      <c r="B6" s="2">
        <f>SUMIF('Procurement Register'!C:C,A6,'Procurement Register'!G:G)</f>
        <v>2160000</v>
      </c>
      <c r="C6" s="2">
        <f>SUMIF('Procurement Register'!C:C,A6,'Procurement Register'!H:H)</f>
        <v>772041</v>
      </c>
      <c r="D6" s="2">
        <f>SUMIF('Procurement Register'!C:C,A6,'Procurement Register'!I:I)</f>
        <v>535993</v>
      </c>
      <c r="E6" s="2">
        <f>SUMIF('Procurement Register'!C:C,A6,'Procurement Register'!J:J)</f>
        <v>1624007</v>
      </c>
      <c r="F6">
        <f>COUNTIFS('Procurement Register'!C:C,A6,'Procurement Register'!K:K,"&lt;&gt;Paid")</f>
        <v>10</v>
      </c>
    </row>
    <row r="7" spans="1:6" x14ac:dyDescent="0.3">
      <c r="A7" t="s">
        <v>12</v>
      </c>
      <c r="B7" s="2">
        <f>SUMIF('Procurement Register'!C:C,A7,'Procurement Register'!G:G)</f>
        <v>2010000</v>
      </c>
      <c r="C7" s="2">
        <f>SUMIF('Procurement Register'!C:C,A7,'Procurement Register'!H:H)</f>
        <v>910294</v>
      </c>
      <c r="D7" s="2">
        <f>SUMIF('Procurement Register'!C:C,A7,'Procurement Register'!I:I)</f>
        <v>217243</v>
      </c>
      <c r="E7" s="2">
        <f>SUMIF('Procurement Register'!C:C,A7,'Procurement Register'!J:J)</f>
        <v>1792757</v>
      </c>
      <c r="F7">
        <f>COUNTIFS('Procurement Register'!C:C,A7,'Procurement Register'!K:K,"&lt;&gt;Paid")</f>
        <v>7</v>
      </c>
    </row>
    <row r="8" spans="1:6" x14ac:dyDescent="0.3">
      <c r="A8" t="s">
        <v>15</v>
      </c>
      <c r="B8" s="2">
        <f>SUMIF('Procurement Register'!C:C,A8,'Procurement Register'!G:G)</f>
        <v>981000</v>
      </c>
      <c r="C8" s="2">
        <f>SUMIF('Procurement Register'!C:C,A8,'Procurement Register'!H:H)</f>
        <v>815933</v>
      </c>
      <c r="D8" s="2">
        <f>SUMIF('Procurement Register'!C:C,A8,'Procurement Register'!I:I)</f>
        <v>94395</v>
      </c>
      <c r="E8" s="2">
        <f>SUMIF('Procurement Register'!C:C,A8,'Procurement Register'!J:J)</f>
        <v>886605</v>
      </c>
      <c r="F8">
        <f>COUNTIFS('Procurement Register'!C:C,A8,'Procurement Register'!K:K,"&lt;&gt;Paid")</f>
        <v>4</v>
      </c>
    </row>
    <row r="9" spans="1:6" x14ac:dyDescent="0.3">
      <c r="A9" t="s">
        <v>17</v>
      </c>
      <c r="B9" s="2">
        <f>SUMIF('Procurement Register'!C:C,A9,'Procurement Register'!G:G)</f>
        <v>681000</v>
      </c>
      <c r="C9" s="2">
        <f>SUMIF('Procurement Register'!C:C,A9,'Procurement Register'!H:H)</f>
        <v>318362</v>
      </c>
      <c r="D9" s="2">
        <f>SUMIF('Procurement Register'!C:C,A9,'Procurement Register'!I:I)</f>
        <v>0</v>
      </c>
      <c r="E9" s="2">
        <f>SUMIF('Procurement Register'!C:C,A9,'Procurement Register'!J:J)</f>
        <v>681000</v>
      </c>
      <c r="F9">
        <f>COUNTIFS('Procurement Register'!C:C,A9,'Procurement Register'!K:K,"&lt;&gt;Paid")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11" sqref="A11"/>
    </sheetView>
  </sheetViews>
  <sheetFormatPr defaultRowHeight="14.4" x14ac:dyDescent="0.3"/>
  <cols>
    <col min="1" max="3" width="21.109375" customWidth="1"/>
    <col min="4" max="4" width="15.44140625" customWidth="1"/>
  </cols>
  <sheetData>
    <row r="1" spans="1:3" x14ac:dyDescent="0.3">
      <c r="A1" s="43" t="s">
        <v>253</v>
      </c>
      <c r="B1" s="43" t="s">
        <v>254</v>
      </c>
      <c r="C1" s="43" t="s">
        <v>255</v>
      </c>
    </row>
    <row r="2" spans="1:3" x14ac:dyDescent="0.3">
      <c r="A2" t="s">
        <v>67</v>
      </c>
      <c r="B2" t="s">
        <v>22</v>
      </c>
      <c r="C2" t="s">
        <v>5</v>
      </c>
    </row>
    <row r="3" spans="1:3" x14ac:dyDescent="0.3">
      <c r="A3" t="s">
        <v>73</v>
      </c>
      <c r="B3" t="s">
        <v>23</v>
      </c>
      <c r="C3" t="s">
        <v>6</v>
      </c>
    </row>
    <row r="4" spans="1:3" x14ac:dyDescent="0.3">
      <c r="A4" t="s">
        <v>100</v>
      </c>
      <c r="B4" t="s">
        <v>24</v>
      </c>
      <c r="C4" t="s">
        <v>8</v>
      </c>
    </row>
    <row r="5" spans="1:3" x14ac:dyDescent="0.3">
      <c r="A5" t="s">
        <v>89</v>
      </c>
      <c r="B5" t="s">
        <v>25</v>
      </c>
      <c r="C5" t="s">
        <v>9</v>
      </c>
    </row>
    <row r="6" spans="1:3" x14ac:dyDescent="0.3">
      <c r="A6" t="s">
        <v>93</v>
      </c>
      <c r="B6" t="s">
        <v>26</v>
      </c>
      <c r="C6" t="s">
        <v>10</v>
      </c>
    </row>
    <row r="7" spans="1:3" x14ac:dyDescent="0.3">
      <c r="A7" t="s">
        <v>78</v>
      </c>
      <c r="B7" t="s">
        <v>27</v>
      </c>
      <c r="C7" t="s">
        <v>12</v>
      </c>
    </row>
    <row r="8" spans="1:3" x14ac:dyDescent="0.3">
      <c r="A8" t="s">
        <v>52</v>
      </c>
      <c r="B8" t="s">
        <v>28</v>
      </c>
      <c r="C8" t="s">
        <v>15</v>
      </c>
    </row>
    <row r="9" spans="1:3" x14ac:dyDescent="0.3">
      <c r="A9" t="s">
        <v>60</v>
      </c>
      <c r="B9" t="s">
        <v>29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Procurement Register</vt:lpstr>
      <vt:lpstr>Vendor Summary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sudheer</dc:creator>
  <cp:lastModifiedBy>Sudheer Ahmed</cp:lastModifiedBy>
  <cp:lastPrinted>2026-07-27T14:57:32Z</cp:lastPrinted>
  <dcterms:created xsi:type="dcterms:W3CDTF">2026-07-27T14:50:49Z</dcterms:created>
  <dcterms:modified xsi:type="dcterms:W3CDTF">2026-07-27T14:58:01Z</dcterms:modified>
</cp:coreProperties>
</file>