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udeer Data\Power BI Github\Structure Charts\"/>
    </mc:Choice>
  </mc:AlternateContent>
  <xr:revisionPtr revIDLastSave="0" documentId="13_ncr:1_{AAC6A5CC-2636-4988-B3E0-31F40C851FD2}" xr6:coauthVersionLast="47" xr6:coauthVersionMax="47" xr10:uidLastSave="{00000000-0000-0000-0000-000000000000}"/>
  <bookViews>
    <workbookView xWindow="-108" yWindow="-108" windowWidth="23256" windowHeight="12456" tabRatio="442" activeTab="2" xr2:uid="{00000000-000D-0000-FFFF-FFFF00000000}"/>
  </bookViews>
  <sheets>
    <sheet name="Tunnel Org (3)" sheetId="7" r:id="rId1"/>
    <sheet name="Tunnel Org (2)" sheetId="3" r:id="rId2"/>
    <sheet name="Tunnel Org 1" sheetId="5" r:id="rId3"/>
  </sheets>
  <definedNames>
    <definedName name="druck">#REF!</definedName>
    <definedName name="_xlnm.Print_Area" localSheetId="1">'Tunnel Org (2)'!$A$1:$BW$113</definedName>
    <definedName name="_xlnm.Print_Area" localSheetId="0">'Tunnel Org (3)'!$A$1:$DH$103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" i="7" l="1"/>
  <c r="Z41" i="7"/>
  <c r="T41" i="7"/>
  <c r="O41" i="7"/>
  <c r="J41" i="7"/>
  <c r="BJ41" i="7"/>
  <c r="CF38" i="7"/>
  <c r="AF38" i="7"/>
  <c r="BY41" i="7"/>
  <c r="BT41" i="7"/>
  <c r="BO41" i="7"/>
  <c r="BJ38" i="7" l="1"/>
  <c r="J38" i="7"/>
  <c r="BK17" i="3"/>
  <c r="AT14" i="5"/>
  <c r="AT10" i="5"/>
  <c r="AI45" i="3"/>
  <c r="AD45" i="3"/>
  <c r="Y45" i="3"/>
  <c r="I45" i="3"/>
  <c r="AP30" i="3"/>
  <c r="BK15" i="3"/>
  <c r="BK13" i="3"/>
  <c r="BK9" i="3"/>
  <c r="T29" i="3" l="1"/>
</calcChain>
</file>

<file path=xl/sharedStrings.xml><?xml version="1.0" encoding="utf-8"?>
<sst xmlns="http://schemas.openxmlformats.org/spreadsheetml/2006/main" count="650" uniqueCount="268">
  <si>
    <t>CONTRACTOR</t>
  </si>
  <si>
    <t xml:space="preserve">Coastal Tunnel Package </t>
  </si>
  <si>
    <t>PROPOSAL OF SITE ORGANIZATION CHART FOR TBM ASSEMBLY. TUNNEL EXCAVATION, TBM DISASSEMBLY</t>
  </si>
  <si>
    <t>APEX TUNNEL SERVICES</t>
  </si>
  <si>
    <t>Head Office Support</t>
  </si>
  <si>
    <t>SPECIALIST SITE PERSONNEL</t>
  </si>
  <si>
    <t>TECHNICAL SERVICE</t>
  </si>
  <si>
    <t>SPECIALIST PERSONNEL @ HEAD OFFICE</t>
  </si>
  <si>
    <t>JV PERSONNEL</t>
  </si>
  <si>
    <t>TBM SUPPLIER PERSONNEL</t>
  </si>
  <si>
    <t>PRE-EXECUTION STAGE</t>
  </si>
  <si>
    <t>JV PERSONNEL TO BE MOBILISED</t>
  </si>
  <si>
    <t>PARTNER PERSONNEL TO BE MOBILISED</t>
  </si>
  <si>
    <t xml:space="preserve">Personnel in JV head office </t>
  </si>
  <si>
    <t>TOTAL FOR TUNNELING WORKS</t>
  </si>
  <si>
    <t>Geotechnical Engineer</t>
  </si>
  <si>
    <t>Quality - QA / QC</t>
  </si>
  <si>
    <t>Tunnel Suvey Manager</t>
  </si>
  <si>
    <t>Technical / Method Manager</t>
  </si>
  <si>
    <t xml:space="preserve">Adminstrative &amp; Logistic </t>
  </si>
  <si>
    <t>Tunnel Manager</t>
  </si>
  <si>
    <t xml:space="preserve">Design Engineer - </t>
  </si>
  <si>
    <t>Monitoring</t>
  </si>
  <si>
    <t>TBM Suvey Assistant</t>
  </si>
  <si>
    <t>Plant Manager</t>
  </si>
  <si>
    <t>CAD / Draftsman</t>
  </si>
  <si>
    <t>Safety Officer</t>
  </si>
  <si>
    <t>Underground &amp; Station Box</t>
  </si>
  <si>
    <t>Plant Department</t>
  </si>
  <si>
    <t>Deputy Tunnel Manager</t>
  </si>
  <si>
    <t xml:space="preserve">Plant Manager </t>
  </si>
  <si>
    <t>Eng. Daniel Rafiq</t>
  </si>
  <si>
    <t>Shift Engnieers</t>
  </si>
  <si>
    <t xml:space="preserve"> Surface  Manger</t>
  </si>
  <si>
    <t>TBM Mech. Manager</t>
  </si>
  <si>
    <t>TBM Elec. Manager</t>
  </si>
  <si>
    <t>Eng. Oscar Faris</t>
  </si>
  <si>
    <t>Eng. Emil Silva</t>
  </si>
  <si>
    <t>Underground - Tunnel</t>
  </si>
  <si>
    <t>Support from Surface &amp; Shaft</t>
  </si>
  <si>
    <t>TBM Mechanical  (assembly, disassembly and maintenance)</t>
  </si>
  <si>
    <t>TBM Electrical  (assembly, disassembly and maintenance)</t>
  </si>
  <si>
    <t xml:space="preserve">TBM Excavation </t>
  </si>
  <si>
    <t xml:space="preserve">TBM Mechanical </t>
  </si>
  <si>
    <t xml:space="preserve">TBM Electrical </t>
  </si>
  <si>
    <t>TBM1-Shift A</t>
  </si>
  <si>
    <t>Shift B</t>
  </si>
  <si>
    <t>Shift C</t>
  </si>
  <si>
    <t>Shift A</t>
  </si>
  <si>
    <t>Mech. Shift Engineer</t>
  </si>
  <si>
    <t>Elec. Shift Engineer</t>
  </si>
  <si>
    <t>Eng. Tomas Menon</t>
  </si>
  <si>
    <t>Eng. Emil Nasser</t>
  </si>
  <si>
    <t>Eng. Carlos Ortega</t>
  </si>
  <si>
    <t>G.Foreman</t>
  </si>
  <si>
    <t>PLC. Shift Engineer</t>
  </si>
  <si>
    <t>Bruno Darwish</t>
  </si>
  <si>
    <t>Cyril Haddad</t>
  </si>
  <si>
    <t>Tomas Baig</t>
  </si>
  <si>
    <t>Eng. Daniel Faris</t>
  </si>
  <si>
    <t>Mechanic</t>
  </si>
  <si>
    <t>Elect. Supervisor</t>
  </si>
  <si>
    <t>Faris Mendes</t>
  </si>
  <si>
    <t>Umar Novak</t>
  </si>
  <si>
    <t>Cyril Petrov</t>
  </si>
  <si>
    <t>Cyril Karam</t>
  </si>
  <si>
    <t>Bruno Haddad</t>
  </si>
  <si>
    <t>Bilal Mendes</t>
  </si>
  <si>
    <t>TBM Foreman/Shift leader</t>
  </si>
  <si>
    <t>Yard Forman Manager</t>
  </si>
  <si>
    <t>Helper</t>
  </si>
  <si>
    <t>Gavin Costa</t>
  </si>
  <si>
    <t>Welder</t>
  </si>
  <si>
    <t>Victor Nasser</t>
  </si>
  <si>
    <t>Bruno Quinn</t>
  </si>
  <si>
    <t>Marco Darwish</t>
  </si>
  <si>
    <t>TBM Operator</t>
  </si>
  <si>
    <t>GH Operator</t>
  </si>
  <si>
    <t>STP&amp;surface Mech. Manager</t>
  </si>
  <si>
    <t>STP&amp;surface Elec. Manager</t>
  </si>
  <si>
    <t>Eng. Felix Novak</t>
  </si>
  <si>
    <t>Eng. Karim Petrov</t>
  </si>
  <si>
    <t>TBM Erector</t>
  </si>
  <si>
    <t>Bottom Rigger</t>
  </si>
  <si>
    <t>Bruno Karam</t>
  </si>
  <si>
    <t>Rami Varga</t>
  </si>
  <si>
    <t>STP &amp; Surface Mechanical  (assembly, disassembly and maintenance)</t>
  </si>
  <si>
    <t>STP &amp; Surface Electrical  (assembly, disassembly and maintenance)</t>
  </si>
  <si>
    <t xml:space="preserve">TBM Erector </t>
  </si>
  <si>
    <t>Top Rigger</t>
  </si>
  <si>
    <t xml:space="preserve">STP &amp;Surface Mechanical </t>
  </si>
  <si>
    <t xml:space="preserve">STP &amp;Surface Electric </t>
  </si>
  <si>
    <t>Zane Costa</t>
  </si>
  <si>
    <t>Bruno Petrov</t>
  </si>
  <si>
    <t>Oscar Novak</t>
  </si>
  <si>
    <t>TBM Assistant</t>
  </si>
  <si>
    <t>Grout Plant Operator</t>
  </si>
  <si>
    <t>Cyril Nasser</t>
  </si>
  <si>
    <t>Hadi Varga</t>
  </si>
  <si>
    <t>Wael Rafiq</t>
  </si>
  <si>
    <t>Emil Menon</t>
  </si>
  <si>
    <t>Samir Darwish</t>
  </si>
  <si>
    <t>Leo Nasser</t>
  </si>
  <si>
    <t>Eng. Pavel Arslan</t>
  </si>
  <si>
    <t>Eng. Adam Nasser</t>
  </si>
  <si>
    <t>Eng. Nabil Novak</t>
  </si>
  <si>
    <t>Segment Crane Operator</t>
  </si>
  <si>
    <t>Grout Plant Assistant</t>
  </si>
  <si>
    <t>Electrical supervisor</t>
  </si>
  <si>
    <t>Daniel Morris</t>
  </si>
  <si>
    <t>Elias Morris</t>
  </si>
  <si>
    <t>Marco Quinn</t>
  </si>
  <si>
    <t>Tomas Silva</t>
  </si>
  <si>
    <t>Oscar Petrov</t>
  </si>
  <si>
    <t>Samir Morris</t>
  </si>
  <si>
    <t>Bilal Nasser</t>
  </si>
  <si>
    <t>Adam Mendes</t>
  </si>
  <si>
    <t>Pipe Extension</t>
  </si>
  <si>
    <t>Grout Plant Labor</t>
  </si>
  <si>
    <t>Elias Rafiq</t>
  </si>
  <si>
    <t>Leo Costa</t>
  </si>
  <si>
    <t>Ivan Novak</t>
  </si>
  <si>
    <t>Forklift Operator</t>
  </si>
  <si>
    <t>Faris Baig</t>
  </si>
  <si>
    <t xml:space="preserve"> Mechanical Workshop (Cutter head discs, hydraulic container and maintainance)</t>
  </si>
  <si>
    <t>Elec. Workshop Engineer</t>
  </si>
  <si>
    <t>Helper &amp; Mason</t>
  </si>
  <si>
    <t>STP</t>
  </si>
  <si>
    <t>Slurry Treatment Plant</t>
  </si>
  <si>
    <t>STP Manager</t>
  </si>
  <si>
    <t>Eng. Rami Menon</t>
  </si>
  <si>
    <t>WTP</t>
  </si>
  <si>
    <t>Water Treatment Plant</t>
  </si>
  <si>
    <t>Supervisor</t>
  </si>
  <si>
    <t>Zane Varga</t>
  </si>
  <si>
    <t>Grout Operator</t>
  </si>
  <si>
    <t>Cooling Tower Operator</t>
  </si>
  <si>
    <t>STP Operator</t>
  </si>
  <si>
    <t>Carlos Haddad</t>
  </si>
  <si>
    <t>Rami Ortega</t>
  </si>
  <si>
    <t>Eng. Adam Quinn</t>
  </si>
  <si>
    <t>Eng. Leo Petrov</t>
  </si>
  <si>
    <t>Electrician</t>
  </si>
  <si>
    <t>Hydraulic Mechanic</t>
  </si>
  <si>
    <t>Diesel Mechanic</t>
  </si>
  <si>
    <t>Grout Assistant</t>
  </si>
  <si>
    <t>Pump Station</t>
  </si>
  <si>
    <t>STP Assistant</t>
  </si>
  <si>
    <t>Oscar Karam</t>
  </si>
  <si>
    <t>Dario Quinn</t>
  </si>
  <si>
    <t>Dario Rafiq</t>
  </si>
  <si>
    <t>Zane Mendes</t>
  </si>
  <si>
    <t>Truck Driver</t>
  </si>
  <si>
    <t>Filter Press operator</t>
  </si>
  <si>
    <t>Oscar Hamdan</t>
  </si>
  <si>
    <t>Steel Work Engineer</t>
  </si>
  <si>
    <t xml:space="preserve">Eng. Carlos Baig</t>
  </si>
  <si>
    <t>Emil Quinn</t>
  </si>
  <si>
    <t>Chief Storekeeper</t>
  </si>
  <si>
    <t>Technical office</t>
  </si>
  <si>
    <t>Daniel Mendes</t>
  </si>
  <si>
    <t>Cyril Varga</t>
  </si>
  <si>
    <t>Purchasing Officer</t>
  </si>
  <si>
    <t>Hadi Karam</t>
  </si>
  <si>
    <t>Jonas Mendes</t>
  </si>
  <si>
    <t>Storekeeper Assistant</t>
  </si>
  <si>
    <t>Ivan Darwish</t>
  </si>
  <si>
    <t xml:space="preserve">Coastal Tunnel Package – Lot 3 – Twin TBM Drives </t>
  </si>
  <si>
    <t xml:space="preserve">SPECIALIST PROJECT COORDINATOR / MANAGER </t>
  </si>
  <si>
    <t>Administrative &amp; Logistics for Specialist Personnel</t>
  </si>
  <si>
    <t>Plant Manager - Maintenance &amp; Equip Responsible</t>
  </si>
  <si>
    <t>Under ground  Manager</t>
  </si>
  <si>
    <t xml:space="preserve"> De.Tunnel Manager</t>
  </si>
  <si>
    <t>Eng. Pavel Darwish</t>
  </si>
  <si>
    <t>Eng. Emil Arslan</t>
  </si>
  <si>
    <t>Workshop Foreman</t>
  </si>
  <si>
    <t>Deputy Plant Manager</t>
  </si>
  <si>
    <t>Eng. Marco Lind</t>
  </si>
  <si>
    <t>Assistant</t>
  </si>
  <si>
    <t>Eng. Aaron Silva</t>
  </si>
  <si>
    <t>Eng. Victor Arslan</t>
  </si>
  <si>
    <t>Electrical Engineer</t>
  </si>
  <si>
    <t>Mechanical Engineer</t>
  </si>
  <si>
    <t>Eng. Bilal Baig</t>
  </si>
  <si>
    <t>Eng. Leo Quinn</t>
  </si>
  <si>
    <t>Eng. Nabil Karam</t>
  </si>
  <si>
    <t>Eng. Gavin Menon</t>
  </si>
  <si>
    <t>Eng. Ivan Silva</t>
  </si>
  <si>
    <t>Eng. Felix Ortega</t>
  </si>
  <si>
    <t>Approval 2</t>
  </si>
  <si>
    <t>Eng. Umar Silva</t>
  </si>
  <si>
    <t>Discs Repair</t>
  </si>
  <si>
    <t>Approval 3</t>
  </si>
  <si>
    <t>Steel Work Manager</t>
  </si>
  <si>
    <t>PLC Electronic Engineer</t>
  </si>
  <si>
    <t>Eng. Umar Darwish</t>
  </si>
  <si>
    <t>Eng. Bruno Silva</t>
  </si>
  <si>
    <t xml:space="preserve"> Supervisor</t>
  </si>
  <si>
    <t>TBM Mechanic</t>
  </si>
  <si>
    <t xml:space="preserve">Approval 2 </t>
  </si>
  <si>
    <t>Eng. Samir Hamdan</t>
  </si>
  <si>
    <t>Approval 9</t>
  </si>
  <si>
    <t xml:space="preserve"> Welder</t>
  </si>
  <si>
    <t>TBM Electrician</t>
  </si>
  <si>
    <t xml:space="preserve"> Fitter</t>
  </si>
  <si>
    <t>Mechanic for Cutter head Maintenance</t>
  </si>
  <si>
    <t>TBM Erector (Backup)</t>
  </si>
  <si>
    <t>Hadi Rafiq</t>
  </si>
  <si>
    <t>Oscar Ortega</t>
  </si>
  <si>
    <t>Wael Lind</t>
  </si>
  <si>
    <t>Dario Arslan</t>
  </si>
  <si>
    <t>Eng. Ivan Karam</t>
  </si>
  <si>
    <t>MSV Driver</t>
  </si>
  <si>
    <t>Approval 8</t>
  </si>
  <si>
    <t>Eng. Emil Costa</t>
  </si>
  <si>
    <t>Eng. Umar Arslan</t>
  </si>
  <si>
    <t>Approval 6</t>
  </si>
  <si>
    <t>WTP Operator (Filter Press)</t>
  </si>
  <si>
    <t>Leo Haddad</t>
  </si>
  <si>
    <t>Felix Faris</t>
  </si>
  <si>
    <t xml:space="preserve">PROJECT SENIOR MANAGER </t>
  </si>
  <si>
    <t>Rack pinion Driver</t>
  </si>
  <si>
    <t>Mr. Bilal Varga</t>
  </si>
  <si>
    <t>Mr. Nabil Costa</t>
  </si>
  <si>
    <t>TBM - 1</t>
  </si>
  <si>
    <t>Tunnel Forman</t>
  </si>
  <si>
    <t>TBM Erector operator</t>
  </si>
  <si>
    <t>Belt Forman</t>
  </si>
  <si>
    <t>TBM Belt Supervisor</t>
  </si>
  <si>
    <t>Tunnel Belt</t>
  </si>
  <si>
    <t>Cross Belt</t>
  </si>
  <si>
    <t>Volcanization Team</t>
  </si>
  <si>
    <t>TBM1-Shift B</t>
  </si>
  <si>
    <t>Shift  A</t>
  </si>
  <si>
    <t>Shift  B</t>
  </si>
  <si>
    <t>Surface Forman</t>
  </si>
  <si>
    <t>Sarface Labour</t>
  </si>
  <si>
    <t>Senior Electrician</t>
  </si>
  <si>
    <t>Electric Helper</t>
  </si>
  <si>
    <t>TBM - 2</t>
  </si>
  <si>
    <t>Plant Team</t>
  </si>
  <si>
    <t>Electric Plant</t>
  </si>
  <si>
    <t>Mechenical Plant</t>
  </si>
  <si>
    <t>WWTP</t>
  </si>
  <si>
    <t>Power Plant</t>
  </si>
  <si>
    <t>Batching Plant</t>
  </si>
  <si>
    <t>Cooling Tower</t>
  </si>
  <si>
    <t>Engineers</t>
  </si>
  <si>
    <t>PLC ENGR.</t>
  </si>
  <si>
    <t>Tunnel Team A</t>
  </si>
  <si>
    <t>Tunnel Team B</t>
  </si>
  <si>
    <t>Surface Support A</t>
  </si>
  <si>
    <t>Surface Support B</t>
  </si>
  <si>
    <t>Shift Engr.</t>
  </si>
  <si>
    <t>Project Manager</t>
  </si>
  <si>
    <t>Locomotive operator</t>
  </si>
  <si>
    <t>TBM Department</t>
  </si>
  <si>
    <t>Deputy Tunnel Managers</t>
  </si>
  <si>
    <t>Technical Dep</t>
  </si>
  <si>
    <t>QC Dep</t>
  </si>
  <si>
    <t>Segment Factory</t>
  </si>
  <si>
    <t>Geotechnical Dep</t>
  </si>
  <si>
    <t>Ventiliation Tunnel</t>
  </si>
  <si>
    <t>Administrative Dep</t>
  </si>
  <si>
    <t>Direct Reporting</t>
  </si>
  <si>
    <t xml:space="preserve">                                                                                                     APEX TUNNEL SERVICES</t>
  </si>
  <si>
    <t>Mr. Samir Rafiq</t>
  </si>
  <si>
    <t xml:space="preserve">                 Plant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</si>
</sst>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color rgb="FF9C5700"/>
      <name val="Calibri"/>
      <family val="2"/>
      <scheme val="minor"/>
    </font>
    <font>
      <b/>
      <sz val="12"/>
      <name val="Aptos Narrow"/>
      <family val="2"/>
    </font>
    <font>
      <b/>
      <sz val="12"/>
      <color rgb="FFFF0000"/>
      <name val="Aptos Narrow"/>
      <family val="2"/>
    </font>
    <font>
      <b/>
      <sz val="12"/>
      <color rgb="FFC00000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2"/>
      <color rgb="FFFFFFFF"/>
      <name val="Aptos Narrow"/>
      <family val="2"/>
    </font>
    <font>
      <b/>
      <sz val="12"/>
      <color theme="0"/>
      <name val="Aptos Narrow"/>
      <family val="2"/>
    </font>
    <font>
      <b/>
      <sz val="14"/>
      <color rgb="FFC00000"/>
      <name val="Aptos Narrow"/>
      <family val="2"/>
    </font>
    <font>
      <b/>
      <sz val="14"/>
      <name val="Aptos Narrow"/>
      <family val="2"/>
    </font>
    <font>
      <b/>
      <sz val="12"/>
      <color rgb="FF002060"/>
      <name val="Aptos Narrow"/>
      <family val="2"/>
    </font>
    <font>
      <b/>
      <sz val="14"/>
      <name val="Arial"/>
      <family val="2"/>
    </font>
    <font>
      <sz val="12"/>
      <color theme="1"/>
      <name val="Aptos Narrow"/>
      <family val="2"/>
    </font>
    <font>
      <b/>
      <sz val="16"/>
      <name val="Aptos Narrow"/>
      <family val="2"/>
    </font>
    <font>
      <b/>
      <sz val="16"/>
      <color rgb="FFC00000"/>
      <name val="Aptos Narrow"/>
      <family val="2"/>
    </font>
    <font>
      <b/>
      <sz val="16"/>
      <color rgb="FFFFFFFF"/>
      <name val="Aptos Narrow"/>
      <family val="2"/>
    </font>
    <font>
      <b/>
      <sz val="16"/>
      <color rgb="FFFF0000"/>
      <name val="Aptos Narrow"/>
      <family val="2"/>
    </font>
    <font>
      <b/>
      <sz val="16"/>
      <color theme="0"/>
      <name val="Aptos Narrow"/>
      <family val="2"/>
    </font>
    <font>
      <b/>
      <sz val="16"/>
      <color theme="1"/>
      <name val="Aptos Narrow"/>
      <family val="2"/>
    </font>
    <font>
      <b/>
      <sz val="20"/>
      <color theme="0"/>
      <name val="Aptos Narrow"/>
      <family val="2"/>
    </font>
    <font>
      <b/>
      <sz val="22"/>
      <color theme="0"/>
      <name val="Aptos Narrow"/>
      <family val="2"/>
    </font>
    <font>
      <sz val="16"/>
      <name val="Aptos Narrow"/>
      <family val="2"/>
    </font>
    <font>
      <b/>
      <sz val="18"/>
      <color theme="1"/>
      <name val="Aptos Narrow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B9C"/>
      </patternFill>
    </fill>
    <fill>
      <patternFill patternType="solid">
        <fgColor theme="0"/>
        <bgColor rgb="FFBDD7EE"/>
      </patternFill>
    </fill>
    <fill>
      <patternFill patternType="solid">
        <fgColor theme="0" tint="-4.9989318521683403E-2"/>
        <bgColor rgb="FFBDD7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rgb="FFBDD7E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rgb="FFBDD7EE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AF7EE"/>
        <bgColor rgb="FFEAF7EE"/>
      </patternFill>
    </fill>
    <fill>
      <patternFill patternType="solid">
        <fgColor rgb="FF1F4E5F"/>
        <bgColor rgb="FF1F4E5F"/>
      </patternFill>
    </fill>
    <fill>
      <patternFill patternType="solid">
        <fgColor theme="0" tint="-4.9989318521683403E-2"/>
        <bgColor rgb="FFEAF7EE"/>
      </patternFill>
    </fill>
    <fill>
      <patternFill patternType="solid">
        <fgColor theme="0"/>
        <bgColor rgb="FFEAF7EE"/>
      </patternFill>
    </fill>
    <fill>
      <patternFill patternType="solid">
        <fgColor theme="3" tint="-0.499984740745262"/>
        <bgColor rgb="FFEAF7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rgb="FFEAF7E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EAF7E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EAF7EE"/>
      </patternFill>
    </fill>
    <fill>
      <patternFill patternType="solid">
        <fgColor theme="8" tint="0.39997558519241921"/>
        <bgColor rgb="FFEAF7E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rgb="FF1F4E5F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rgb="FFEAF7EE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rgb="FFEAF7E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3" tint="0.59999389629810485"/>
        <bgColor rgb="FF5B9BD5"/>
      </patternFill>
    </fill>
    <fill>
      <patternFill patternType="solid">
        <fgColor theme="8" tint="0.59999389629810485"/>
        <bgColor rgb="FFBDD7EE"/>
      </patternFill>
    </fill>
    <fill>
      <patternFill patternType="solid">
        <fgColor theme="8" tint="0.59999389629810485"/>
        <bgColor indexed="64"/>
      </patternFill>
    </fill>
  </fills>
  <borders count="1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theme="3" tint="0.59996337778862885"/>
      </left>
      <right/>
      <top style="medium">
        <color theme="3" tint="0.59996337778862885"/>
      </top>
      <bottom/>
      <diagonal/>
    </border>
    <border>
      <left/>
      <right/>
      <top style="medium">
        <color theme="3" tint="0.59996337778862885"/>
      </top>
      <bottom/>
      <diagonal/>
    </border>
    <border>
      <left style="thin">
        <color indexed="64"/>
      </left>
      <right/>
      <top style="medium">
        <color theme="3" tint="0.59996337778862885"/>
      </top>
      <bottom/>
      <diagonal/>
    </border>
    <border>
      <left/>
      <right style="medium">
        <color theme="3" tint="0.59996337778862885"/>
      </right>
      <top style="medium">
        <color theme="3" tint="0.59996337778862885"/>
      </top>
      <bottom/>
      <diagonal/>
    </border>
    <border>
      <left style="medium">
        <color theme="3" tint="0.59996337778862885"/>
      </left>
      <right/>
      <top/>
      <bottom/>
      <diagonal/>
    </border>
    <border>
      <left/>
      <right style="medium">
        <color theme="3" tint="0.59996337778862885"/>
      </right>
      <top/>
      <bottom/>
      <diagonal/>
    </border>
    <border>
      <left/>
      <right style="medium">
        <color theme="3" tint="0.59996337778862885"/>
      </right>
      <top style="thin">
        <color indexed="64"/>
      </top>
      <bottom/>
      <diagonal/>
    </border>
    <border>
      <left style="medium">
        <color theme="3" tint="0.59996337778862885"/>
      </left>
      <right/>
      <top/>
      <bottom style="medium">
        <color theme="3" tint="0.59996337778862885"/>
      </bottom>
      <diagonal/>
    </border>
    <border>
      <left/>
      <right/>
      <top/>
      <bottom style="medium">
        <color theme="3" tint="0.59996337778862885"/>
      </bottom>
      <diagonal/>
    </border>
    <border>
      <left/>
      <right style="medium">
        <color theme="3" tint="0.59996337778862885"/>
      </right>
      <top/>
      <bottom style="medium">
        <color theme="3" tint="0.59996337778862885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theme="5" tint="0.59996337778862885"/>
      </left>
      <right/>
      <top/>
      <bottom/>
      <diagonal/>
    </border>
    <border>
      <left/>
      <right style="thick">
        <color theme="5" tint="0.59996337778862885"/>
      </right>
      <top/>
      <bottom/>
      <diagonal/>
    </border>
    <border>
      <left style="thick">
        <color theme="5" tint="0.59996337778862885"/>
      </left>
      <right/>
      <top/>
      <bottom style="thick">
        <color theme="5" tint="0.59996337778862885"/>
      </bottom>
      <diagonal/>
    </border>
    <border>
      <left/>
      <right/>
      <top/>
      <bottom style="thick">
        <color theme="5" tint="0.59996337778862885"/>
      </bottom>
      <diagonal/>
    </border>
    <border>
      <left/>
      <right style="thick">
        <color theme="5" tint="0.59996337778862885"/>
      </right>
      <top/>
      <bottom style="thick">
        <color theme="5" tint="0.59996337778862885"/>
      </bottom>
      <diagonal/>
    </border>
    <border>
      <left style="mediumDashed">
        <color rgb="FF7030A0"/>
      </left>
      <right/>
      <top style="mediumDashed">
        <color rgb="FF7030A0"/>
      </top>
      <bottom/>
      <diagonal/>
    </border>
    <border>
      <left/>
      <right/>
      <top style="mediumDashed">
        <color rgb="FF7030A0"/>
      </top>
      <bottom/>
      <diagonal/>
    </border>
    <border>
      <left/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/>
      <top/>
      <bottom/>
      <diagonal/>
    </border>
    <border>
      <left/>
      <right style="mediumDashed">
        <color rgb="FF7030A0"/>
      </right>
      <top/>
      <bottom/>
      <diagonal/>
    </border>
    <border>
      <left style="mediumDashed">
        <color rgb="FF7030A0"/>
      </left>
      <right/>
      <top/>
      <bottom style="mediumDashed">
        <color rgb="FF7030A0"/>
      </bottom>
      <diagonal/>
    </border>
    <border>
      <left/>
      <right/>
      <top/>
      <bottom style="mediumDashed">
        <color rgb="FF7030A0"/>
      </bottom>
      <diagonal/>
    </border>
    <border>
      <left/>
      <right style="mediumDashed">
        <color rgb="FF7030A0"/>
      </right>
      <top/>
      <bottom style="mediumDashed">
        <color rgb="FF7030A0"/>
      </bottom>
      <diagonal/>
    </border>
    <border>
      <left style="thin">
        <color indexed="64"/>
      </left>
      <right/>
      <top/>
      <bottom style="medium">
        <color theme="3" tint="0.59996337778862885"/>
      </bottom>
      <diagonal/>
    </border>
    <border>
      <left style="thin">
        <color indexed="64"/>
      </left>
      <right/>
      <top style="medium">
        <color theme="3" tint="0.59996337778862885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5" tint="0.59996337778862885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rgb="FF00B050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thin">
        <color indexed="64"/>
      </right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6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5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3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5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7" borderId="0" xfId="0" applyFont="1" applyFill="1" applyAlignment="1">
      <alignment horizontal="center" vertical="center"/>
    </xf>
    <xf numFmtId="0" fontId="4" fillId="0" borderId="66" xfId="0" applyFont="1" applyBorder="1" applyAlignment="1">
      <alignment vertical="center"/>
    </xf>
    <xf numFmtId="0" fontId="4" fillId="0" borderId="0" xfId="0" applyFont="1"/>
    <xf numFmtId="0" fontId="4" fillId="11" borderId="5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36" xfId="0" applyFont="1" applyBorder="1"/>
    <xf numFmtId="0" fontId="4" fillId="0" borderId="38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1" borderId="0" xfId="0" applyFont="1" applyFill="1" applyAlignment="1">
      <alignment horizontal="left" vertical="top"/>
    </xf>
    <xf numFmtId="0" fontId="4" fillId="12" borderId="0" xfId="0" applyFont="1" applyFill="1" applyAlignment="1">
      <alignment horizontal="left" vertical="top"/>
    </xf>
    <xf numFmtId="0" fontId="12" fillId="0" borderId="0" xfId="0" applyFont="1" applyAlignment="1">
      <alignment vertical="center"/>
    </xf>
    <xf numFmtId="0" fontId="12" fillId="7" borderId="5" xfId="0" applyFont="1" applyFill="1" applyBorder="1" applyAlignment="1">
      <alignment horizontal="center" vertical="center" wrapText="1"/>
    </xf>
    <xf numFmtId="0" fontId="12" fillId="7" borderId="68" xfId="0" applyFont="1" applyFill="1" applyBorder="1" applyAlignment="1">
      <alignment horizontal="center" vertical="center" wrapText="1"/>
    </xf>
    <xf numFmtId="0" fontId="4" fillId="0" borderId="69" xfId="0" applyFont="1" applyBorder="1" applyAlignment="1">
      <alignment vertical="center"/>
    </xf>
    <xf numFmtId="0" fontId="6" fillId="12" borderId="0" xfId="0" applyFont="1" applyFill="1" applyAlignment="1">
      <alignment horizontal="center" vertical="top"/>
    </xf>
    <xf numFmtId="0" fontId="6" fillId="11" borderId="0" xfId="0" applyFont="1" applyFill="1" applyAlignment="1">
      <alignment horizontal="center" vertical="top" wrapText="1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0" borderId="64" xfId="0" applyFont="1" applyBorder="1" applyAlignment="1">
      <alignment vertical="center"/>
    </xf>
    <xf numFmtId="0" fontId="4" fillId="2" borderId="64" xfId="0" applyFont="1" applyFill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4" fillId="0" borderId="74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72" xfId="0" applyFont="1" applyBorder="1"/>
    <xf numFmtId="0" fontId="4" fillId="2" borderId="72" xfId="0" applyFont="1" applyFill="1" applyBorder="1"/>
    <xf numFmtId="0" fontId="4" fillId="10" borderId="7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75" xfId="0" applyFont="1" applyBorder="1"/>
    <xf numFmtId="0" fontId="4" fillId="0" borderId="64" xfId="0" applyFont="1" applyBorder="1"/>
    <xf numFmtId="0" fontId="4" fillId="2" borderId="69" xfId="0" applyFont="1" applyFill="1" applyBorder="1" applyAlignment="1">
      <alignment horizontal="center" vertical="center"/>
    </xf>
    <xf numFmtId="0" fontId="4" fillId="0" borderId="76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10" fillId="16" borderId="0" xfId="0" applyFont="1" applyFill="1" applyAlignment="1">
      <alignment horizontal="center" vertical="top" wrapText="1"/>
    </xf>
    <xf numFmtId="0" fontId="10" fillId="16" borderId="0" xfId="0" applyFont="1" applyFill="1" applyAlignment="1">
      <alignment horizontal="left" vertical="top"/>
    </xf>
    <xf numFmtId="0" fontId="10" fillId="17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4" fillId="10" borderId="0" xfId="0" applyFont="1" applyFill="1" applyAlignment="1">
      <alignment horizontal="left" vertical="top"/>
    </xf>
    <xf numFmtId="0" fontId="11" fillId="2" borderId="0" xfId="0" applyFont="1" applyFill="1"/>
    <xf numFmtId="0" fontId="14" fillId="0" borderId="0" xfId="0" applyFont="1" applyAlignment="1">
      <alignment vertical="center"/>
    </xf>
    <xf numFmtId="0" fontId="4" fillId="18" borderId="0" xfId="0" applyFont="1" applyFill="1" applyAlignment="1">
      <alignment vertical="center"/>
    </xf>
    <xf numFmtId="0" fontId="9" fillId="19" borderId="65" xfId="0" applyFont="1" applyFill="1" applyBorder="1" applyAlignment="1">
      <alignment horizontal="center" vertical="center" wrapText="1"/>
    </xf>
    <xf numFmtId="0" fontId="4" fillId="18" borderId="65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/>
    </xf>
    <xf numFmtId="0" fontId="4" fillId="0" borderId="41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18" borderId="2" xfId="0" applyFont="1" applyFill="1" applyBorder="1" applyAlignment="1">
      <alignment vertical="center"/>
    </xf>
    <xf numFmtId="0" fontId="4" fillId="18" borderId="41" xfId="0" applyFont="1" applyFill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18" borderId="38" xfId="0" applyFont="1" applyFill="1" applyBorder="1" applyAlignment="1">
      <alignment vertical="center"/>
    </xf>
    <xf numFmtId="0" fontId="10" fillId="22" borderId="0" xfId="0" applyFont="1" applyFill="1" applyAlignment="1">
      <alignment vertical="center"/>
    </xf>
    <xf numFmtId="0" fontId="10" fillId="22" borderId="0" xfId="0" applyFont="1" applyFill="1" applyAlignment="1">
      <alignment horizontal="left" vertical="center"/>
    </xf>
    <xf numFmtId="0" fontId="10" fillId="23" borderId="0" xfId="0" applyFont="1" applyFill="1" applyAlignment="1">
      <alignment horizontal="left" vertical="center"/>
    </xf>
    <xf numFmtId="0" fontId="5" fillId="21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left" vertical="center"/>
    </xf>
    <xf numFmtId="0" fontId="4" fillId="27" borderId="0" xfId="0" applyFont="1" applyFill="1" applyAlignment="1">
      <alignment horizontal="left" vertical="center"/>
    </xf>
    <xf numFmtId="0" fontId="4" fillId="29" borderId="65" xfId="0" applyFont="1" applyFill="1" applyBorder="1" applyAlignment="1">
      <alignment horizontal="center" vertical="center"/>
    </xf>
    <xf numFmtId="0" fontId="4" fillId="20" borderId="65" xfId="0" applyFont="1" applyFill="1" applyBorder="1" applyAlignment="1">
      <alignment horizontal="center" vertical="center"/>
    </xf>
    <xf numFmtId="0" fontId="4" fillId="29" borderId="69" xfId="0" applyFont="1" applyFill="1" applyBorder="1" applyAlignment="1">
      <alignment horizontal="left" vertical="center"/>
    </xf>
    <xf numFmtId="0" fontId="4" fillId="29" borderId="6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center" vertical="center" wrapText="1"/>
    </xf>
    <xf numFmtId="0" fontId="4" fillId="35" borderId="65" xfId="0" applyFont="1" applyFill="1" applyBorder="1" applyAlignment="1">
      <alignment horizontal="center" vertical="center"/>
    </xf>
    <xf numFmtId="0" fontId="4" fillId="0" borderId="84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6" fillId="0" borderId="10" xfId="0" applyFont="1" applyBorder="1"/>
    <xf numFmtId="0" fontId="16" fillId="7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64" xfId="0" applyFont="1" applyBorder="1" applyAlignment="1">
      <alignment vertical="center"/>
    </xf>
    <xf numFmtId="0" fontId="18" fillId="37" borderId="0" xfId="0" applyFont="1" applyFill="1" applyAlignment="1">
      <alignment vertical="center" wrapText="1"/>
    </xf>
    <xf numFmtId="0" fontId="16" fillId="2" borderId="0" xfId="0" applyFont="1" applyFill="1"/>
    <xf numFmtId="0" fontId="16" fillId="0" borderId="8" xfId="0" applyFont="1" applyBorder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/>
    <xf numFmtId="0" fontId="16" fillId="0" borderId="1" xfId="0" applyFont="1" applyBorder="1" applyAlignment="1">
      <alignment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62" xfId="0" applyFont="1" applyBorder="1"/>
    <xf numFmtId="0" fontId="16" fillId="2" borderId="114" xfId="0" applyFont="1" applyFill="1" applyBorder="1"/>
    <xf numFmtId="0" fontId="16" fillId="2" borderId="114" xfId="0" applyFont="1" applyFill="1" applyBorder="1" applyAlignment="1">
      <alignment vertical="center"/>
    </xf>
    <xf numFmtId="0" fontId="16" fillId="0" borderId="114" xfId="0" applyFont="1" applyBorder="1" applyAlignment="1">
      <alignment vertical="center"/>
    </xf>
    <xf numFmtId="0" fontId="16" fillId="0" borderId="101" xfId="0" applyFont="1" applyBorder="1" applyAlignment="1">
      <alignment vertical="center"/>
    </xf>
    <xf numFmtId="0" fontId="16" fillId="0" borderId="111" xfId="0" applyFont="1" applyBorder="1" applyAlignment="1">
      <alignment vertical="center"/>
    </xf>
    <xf numFmtId="0" fontId="16" fillId="0" borderId="2" xfId="0" applyFont="1" applyBorder="1"/>
    <xf numFmtId="0" fontId="16" fillId="0" borderId="103" xfId="0" applyFont="1" applyBorder="1" applyAlignment="1">
      <alignment vertical="center"/>
    </xf>
    <xf numFmtId="0" fontId="16" fillId="7" borderId="65" xfId="0" applyFont="1" applyFill="1" applyBorder="1" applyAlignment="1">
      <alignment horizontal="center" vertical="center" wrapText="1"/>
    </xf>
    <xf numFmtId="0" fontId="16" fillId="2" borderId="136" xfId="0" applyFont="1" applyFill="1" applyBorder="1" applyAlignment="1">
      <alignment vertical="center"/>
    </xf>
    <xf numFmtId="0" fontId="16" fillId="10" borderId="136" xfId="0" applyFont="1" applyFill="1" applyBorder="1" applyAlignment="1">
      <alignment horizontal="center" vertical="center" wrapText="1"/>
    </xf>
    <xf numFmtId="0" fontId="16" fillId="0" borderId="136" xfId="0" applyFont="1" applyBorder="1" applyAlignment="1">
      <alignment vertical="center"/>
    </xf>
    <xf numFmtId="0" fontId="16" fillId="2" borderId="136" xfId="0" applyFont="1" applyFill="1" applyBorder="1"/>
    <xf numFmtId="0" fontId="16" fillId="0" borderId="136" xfId="0" applyFont="1" applyBorder="1"/>
    <xf numFmtId="0" fontId="16" fillId="0" borderId="137" xfId="0" applyFont="1" applyBorder="1"/>
    <xf numFmtId="0" fontId="16" fillId="0" borderId="10" xfId="0" applyFont="1" applyBorder="1" applyAlignment="1">
      <alignment vertical="center"/>
    </xf>
    <xf numFmtId="0" fontId="16" fillId="0" borderId="119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23" xfId="0" applyFont="1" applyBorder="1" applyAlignment="1">
      <alignment vertical="center"/>
    </xf>
    <xf numFmtId="0" fontId="16" fillId="2" borderId="64" xfId="0" applyFont="1" applyFill="1" applyBorder="1" applyAlignment="1">
      <alignment vertical="center"/>
    </xf>
    <xf numFmtId="0" fontId="16" fillId="2" borderId="123" xfId="0" applyFont="1" applyFill="1" applyBorder="1" applyAlignment="1">
      <alignment vertical="center"/>
    </xf>
    <xf numFmtId="0" fontId="16" fillId="10" borderId="125" xfId="0" applyFont="1" applyFill="1" applyBorder="1" applyAlignment="1">
      <alignment horizontal="center" vertical="center" wrapText="1"/>
    </xf>
    <xf numFmtId="0" fontId="16" fillId="0" borderId="130" xfId="0" applyFont="1" applyBorder="1" applyAlignment="1">
      <alignment vertical="center"/>
    </xf>
    <xf numFmtId="0" fontId="16" fillId="0" borderId="131" xfId="0" applyFont="1" applyBorder="1" applyAlignment="1">
      <alignment vertical="center"/>
    </xf>
    <xf numFmtId="0" fontId="16" fillId="2" borderId="131" xfId="0" applyFont="1" applyFill="1" applyBorder="1" applyAlignment="1">
      <alignment vertical="center"/>
    </xf>
    <xf numFmtId="0" fontId="16" fillId="0" borderId="132" xfId="0" applyFont="1" applyBorder="1" applyAlignment="1">
      <alignment vertical="center"/>
    </xf>
    <xf numFmtId="0" fontId="16" fillId="0" borderId="125" xfId="0" applyFont="1" applyBorder="1" applyAlignment="1">
      <alignment vertical="center"/>
    </xf>
    <xf numFmtId="0" fontId="16" fillId="0" borderId="133" xfId="0" applyFont="1" applyBorder="1" applyAlignment="1">
      <alignment vertical="center"/>
    </xf>
    <xf numFmtId="0" fontId="17" fillId="10" borderId="134" xfId="0" applyFont="1" applyFill="1" applyBorder="1" applyAlignment="1">
      <alignment vertical="center" wrapText="1"/>
    </xf>
    <xf numFmtId="0" fontId="17" fillId="10" borderId="0" xfId="0" applyFont="1" applyFill="1" applyAlignment="1">
      <alignment vertical="center" wrapText="1"/>
    </xf>
    <xf numFmtId="0" fontId="16" fillId="2" borderId="125" xfId="0" applyFont="1" applyFill="1" applyBorder="1" applyAlignment="1">
      <alignment vertical="center"/>
    </xf>
    <xf numFmtId="0" fontId="16" fillId="2" borderId="134" xfId="0" applyFont="1" applyFill="1" applyBorder="1" applyAlignment="1">
      <alignment vertical="center"/>
    </xf>
    <xf numFmtId="0" fontId="16" fillId="2" borderId="133" xfId="0" applyFont="1" applyFill="1" applyBorder="1" applyAlignment="1">
      <alignment vertical="center"/>
    </xf>
    <xf numFmtId="0" fontId="16" fillId="0" borderId="134" xfId="0" applyFont="1" applyBorder="1" applyAlignment="1">
      <alignment vertical="center"/>
    </xf>
    <xf numFmtId="0" fontId="16" fillId="2" borderId="135" xfId="0" applyFont="1" applyFill="1" applyBorder="1" applyAlignment="1">
      <alignment vertical="center"/>
    </xf>
    <xf numFmtId="0" fontId="16" fillId="0" borderId="138" xfId="0" applyFont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37" borderId="107" xfId="0" applyFont="1" applyFill="1" applyBorder="1" applyAlignment="1">
      <alignment vertical="center" wrapText="1"/>
    </xf>
    <xf numFmtId="0" fontId="16" fillId="0" borderId="114" xfId="0" applyFont="1" applyBorder="1"/>
    <xf numFmtId="0" fontId="18" fillId="37" borderId="114" xfId="0" applyFont="1" applyFill="1" applyBorder="1" applyAlignment="1">
      <alignment vertical="center" wrapText="1"/>
    </xf>
    <xf numFmtId="0" fontId="16" fillId="10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6" fillId="0" borderId="102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16" fillId="0" borderId="107" xfId="0" applyFont="1" applyBorder="1" applyAlignment="1">
      <alignment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vertical="center"/>
    </xf>
    <xf numFmtId="0" fontId="16" fillId="0" borderId="105" xfId="0" applyFont="1" applyBorder="1" applyAlignment="1">
      <alignment vertical="center"/>
    </xf>
    <xf numFmtId="0" fontId="1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8" xfId="0" applyFont="1" applyBorder="1" applyAlignment="1">
      <alignment vertical="center"/>
    </xf>
    <xf numFmtId="0" fontId="19" fillId="0" borderId="123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105" xfId="0" applyFont="1" applyBorder="1" applyAlignment="1">
      <alignment horizontal="center" vertical="center"/>
    </xf>
    <xf numFmtId="0" fontId="16" fillId="2" borderId="114" xfId="0" applyFont="1" applyFill="1" applyBorder="1" applyAlignment="1">
      <alignment horizontal="center" vertical="center"/>
    </xf>
    <xf numFmtId="0" fontId="16" fillId="10" borderId="114" xfId="0" applyFont="1" applyFill="1" applyBorder="1" applyAlignment="1">
      <alignment vertical="center" wrapText="1"/>
    </xf>
    <xf numFmtId="0" fontId="16" fillId="10" borderId="114" xfId="0" applyFont="1" applyFill="1" applyBorder="1" applyAlignment="1">
      <alignment horizontal="center" vertical="center" wrapText="1"/>
    </xf>
    <xf numFmtId="0" fontId="16" fillId="2" borderId="101" xfId="0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102" xfId="0" applyFont="1" applyFill="1" applyBorder="1" applyAlignment="1">
      <alignment vertical="center"/>
    </xf>
    <xf numFmtId="0" fontId="16" fillId="0" borderId="1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7" borderId="109" xfId="0" applyFont="1" applyFill="1" applyBorder="1" applyAlignment="1">
      <alignment vertical="center" wrapText="1"/>
    </xf>
    <xf numFmtId="0" fontId="16" fillId="0" borderId="90" xfId="0" applyFont="1" applyBorder="1"/>
    <xf numFmtId="0" fontId="16" fillId="0" borderId="10" xfId="0" applyFont="1" applyBorder="1" applyAlignment="1">
      <alignment horizontal="center" vertical="center"/>
    </xf>
    <xf numFmtId="0" fontId="16" fillId="2" borderId="83" xfId="0" applyFont="1" applyFill="1" applyBorder="1" applyAlignment="1">
      <alignment vertical="center"/>
    </xf>
    <xf numFmtId="0" fontId="16" fillId="2" borderId="94" xfId="0" applyFont="1" applyFill="1" applyBorder="1"/>
    <xf numFmtId="0" fontId="16" fillId="2" borderId="95" xfId="0" applyFont="1" applyFill="1" applyBorder="1" applyAlignment="1">
      <alignment vertical="center"/>
    </xf>
    <xf numFmtId="0" fontId="16" fillId="2" borderId="96" xfId="0" applyFont="1" applyFill="1" applyBorder="1" applyAlignment="1">
      <alignment vertical="center"/>
    </xf>
    <xf numFmtId="0" fontId="18" fillId="8" borderId="63" xfId="0" applyFont="1" applyFill="1" applyBorder="1" applyAlignment="1">
      <alignment vertical="center" wrapText="1"/>
    </xf>
    <xf numFmtId="0" fontId="16" fillId="0" borderId="123" xfId="0" applyFont="1" applyBorder="1" applyAlignment="1">
      <alignment horizontal="center" vertical="center"/>
    </xf>
    <xf numFmtId="0" fontId="16" fillId="7" borderId="115" xfId="0" applyFont="1" applyFill="1" applyBorder="1" applyAlignment="1">
      <alignment vertical="center" wrapText="1"/>
    </xf>
    <xf numFmtId="0" fontId="16" fillId="0" borderId="106" xfId="0" applyFont="1" applyBorder="1" applyAlignment="1">
      <alignment vertical="center"/>
    </xf>
    <xf numFmtId="0" fontId="16" fillId="2" borderId="102" xfId="0" applyFont="1" applyFill="1" applyBorder="1"/>
    <xf numFmtId="0" fontId="16" fillId="7" borderId="107" xfId="0" applyFont="1" applyFill="1" applyBorder="1" applyAlignment="1">
      <alignment horizontal="center" vertical="center" wrapText="1"/>
    </xf>
    <xf numFmtId="0" fontId="16" fillId="0" borderId="116" xfId="0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2" borderId="105" xfId="0" applyFont="1" applyFill="1" applyBorder="1" applyAlignment="1">
      <alignment vertical="center"/>
    </xf>
    <xf numFmtId="0" fontId="16" fillId="0" borderId="96" xfId="0" applyFont="1" applyBorder="1" applyAlignment="1">
      <alignment vertical="center"/>
    </xf>
    <xf numFmtId="0" fontId="20" fillId="37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6" fillId="10" borderId="84" xfId="0" applyFont="1" applyFill="1" applyBorder="1" applyAlignment="1">
      <alignment vertical="center" wrapText="1"/>
    </xf>
    <xf numFmtId="0" fontId="16" fillId="2" borderId="84" xfId="0" applyFont="1" applyFill="1" applyBorder="1" applyAlignment="1">
      <alignment vertical="center"/>
    </xf>
    <xf numFmtId="0" fontId="16" fillId="0" borderId="6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37" borderId="0" xfId="0" applyFont="1" applyFill="1" applyAlignment="1">
      <alignment horizontal="center" vertical="center" wrapText="1"/>
    </xf>
    <xf numFmtId="0" fontId="16" fillId="0" borderId="104" xfId="0" applyFont="1" applyBorder="1" applyAlignment="1">
      <alignment horizontal="center" vertical="center"/>
    </xf>
    <xf numFmtId="0" fontId="16" fillId="0" borderId="93" xfId="0" applyFont="1" applyBorder="1" applyAlignment="1">
      <alignment vertical="center"/>
    </xf>
    <xf numFmtId="0" fontId="16" fillId="7" borderId="110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0" borderId="66" xfId="0" applyFont="1" applyBorder="1" applyAlignment="1">
      <alignment vertical="center"/>
    </xf>
    <xf numFmtId="0" fontId="21" fillId="2" borderId="0" xfId="0" applyFont="1" applyFill="1"/>
    <xf numFmtId="0" fontId="16" fillId="0" borderId="87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123" xfId="0" applyFont="1" applyBorder="1"/>
    <xf numFmtId="0" fontId="16" fillId="0" borderId="125" xfId="0" applyFont="1" applyBorder="1"/>
    <xf numFmtId="0" fontId="16" fillId="0" borderId="0" xfId="0" applyFont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6" fillId="0" borderId="126" xfId="0" applyFont="1" applyBorder="1" applyAlignment="1">
      <alignment vertical="center"/>
    </xf>
    <xf numFmtId="0" fontId="16" fillId="0" borderId="127" xfId="0" applyFont="1" applyBorder="1" applyAlignment="1">
      <alignment vertical="center"/>
    </xf>
    <xf numFmtId="0" fontId="16" fillId="2" borderId="127" xfId="0" applyFont="1" applyFill="1" applyBorder="1" applyAlignment="1">
      <alignment vertical="center"/>
    </xf>
    <xf numFmtId="0" fontId="16" fillId="0" borderId="128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6" fillId="7" borderId="83" xfId="0" applyFont="1" applyFill="1" applyBorder="1" applyAlignment="1">
      <alignment horizontal="center" wrapText="1"/>
    </xf>
    <xf numFmtId="0" fontId="16" fillId="0" borderId="64" xfId="0" applyFont="1" applyBorder="1"/>
    <xf numFmtId="0" fontId="16" fillId="2" borderId="133" xfId="0" applyFont="1" applyFill="1" applyBorder="1"/>
    <xf numFmtId="0" fontId="16" fillId="10" borderId="0" xfId="0" applyFont="1" applyFill="1" applyAlignment="1">
      <alignment horizontal="center" wrapText="1"/>
    </xf>
    <xf numFmtId="0" fontId="16" fillId="7" borderId="65" xfId="0" applyFont="1" applyFill="1" applyBorder="1" applyAlignment="1">
      <alignment horizontal="center" wrapText="1"/>
    </xf>
    <xf numFmtId="0" fontId="16" fillId="0" borderId="134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19" fillId="0" borderId="0" xfId="0" applyFont="1" applyAlignment="1">
      <alignment horizontal="center"/>
    </xf>
    <xf numFmtId="0" fontId="16" fillId="10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6" fillId="0" borderId="102" xfId="0" applyFont="1" applyBorder="1"/>
    <xf numFmtId="0" fontId="17" fillId="10" borderId="0" xfId="0" applyFont="1" applyFill="1" applyAlignment="1">
      <alignment wrapText="1"/>
    </xf>
    <xf numFmtId="0" fontId="17" fillId="10" borderId="107" xfId="0" applyFont="1" applyFill="1" applyBorder="1" applyAlignment="1">
      <alignment wrapText="1"/>
    </xf>
    <xf numFmtId="0" fontId="16" fillId="10" borderId="114" xfId="0" applyFont="1" applyFill="1" applyBorder="1" applyAlignment="1">
      <alignment horizontal="center" wrapText="1"/>
    </xf>
    <xf numFmtId="0" fontId="17" fillId="10" borderId="114" xfId="0" applyFont="1" applyFill="1" applyBorder="1" applyAlignment="1">
      <alignment wrapText="1"/>
    </xf>
    <xf numFmtId="0" fontId="17" fillId="10" borderId="114" xfId="0" applyFont="1" applyFill="1" applyBorder="1" applyAlignment="1">
      <alignment horizontal="center" wrapText="1"/>
    </xf>
    <xf numFmtId="0" fontId="17" fillId="10" borderId="101" xfId="0" applyFont="1" applyFill="1" applyBorder="1" applyAlignment="1">
      <alignment wrapText="1"/>
    </xf>
    <xf numFmtId="0" fontId="17" fillId="10" borderId="105" xfId="0" applyFont="1" applyFill="1" applyBorder="1" applyAlignment="1">
      <alignment wrapText="1"/>
    </xf>
    <xf numFmtId="0" fontId="17" fillId="12" borderId="0" xfId="0" applyFont="1" applyFill="1"/>
    <xf numFmtId="0" fontId="16" fillId="7" borderId="4" xfId="0" applyFont="1" applyFill="1" applyBorder="1" applyAlignment="1">
      <alignment horizontal="center" wrapText="1"/>
    </xf>
    <xf numFmtId="0" fontId="16" fillId="7" borderId="58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/>
    </xf>
    <xf numFmtId="0" fontId="16" fillId="0" borderId="105" xfId="0" applyFont="1" applyBorder="1"/>
    <xf numFmtId="0" fontId="16" fillId="0" borderId="111" xfId="0" applyFont="1" applyBorder="1"/>
    <xf numFmtId="0" fontId="16" fillId="7" borderId="110" xfId="0" applyFont="1" applyFill="1" applyBorder="1" applyAlignment="1">
      <alignment horizontal="center" wrapText="1"/>
    </xf>
    <xf numFmtId="0" fontId="16" fillId="7" borderId="6" xfId="0" applyFont="1" applyFill="1" applyBorder="1" applyAlignment="1">
      <alignment horizontal="center" wrapText="1"/>
    </xf>
    <xf numFmtId="0" fontId="16" fillId="0" borderId="104" xfId="0" applyFont="1" applyBorder="1" applyAlignment="1">
      <alignment horizontal="center"/>
    </xf>
    <xf numFmtId="0" fontId="24" fillId="0" borderId="0" xfId="0" applyFont="1" applyAlignment="1">
      <alignment vertical="center"/>
    </xf>
    <xf numFmtId="0" fontId="19" fillId="7" borderId="108" xfId="0" applyFont="1" applyFill="1" applyBorder="1" applyAlignment="1">
      <alignment horizontal="center" vertical="center" wrapText="1"/>
    </xf>
    <xf numFmtId="0" fontId="23" fillId="8" borderId="94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0" borderId="1" xfId="0" applyFont="1" applyBorder="1"/>
    <xf numFmtId="0" fontId="16" fillId="2" borderId="64" xfId="0" applyFont="1" applyFill="1" applyBorder="1"/>
    <xf numFmtId="0" fontId="16" fillId="0" borderId="6" xfId="0" applyFont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16" fillId="7" borderId="0" xfId="0" applyFont="1" applyFill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88" xfId="0" applyFont="1" applyFill="1" applyBorder="1" applyAlignment="1">
      <alignment horizontal="center" vertical="center" wrapText="1"/>
    </xf>
    <xf numFmtId="0" fontId="16" fillId="7" borderId="117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18" fillId="8" borderId="66" xfId="0" applyFont="1" applyFill="1" applyBorder="1" applyAlignment="1">
      <alignment horizontal="center" vertical="center" wrapText="1"/>
    </xf>
    <xf numFmtId="0" fontId="25" fillId="37" borderId="69" xfId="0" applyFont="1" applyFill="1" applyBorder="1" applyAlignment="1">
      <alignment horizontal="center" vertical="center" wrapText="1"/>
    </xf>
    <xf numFmtId="0" fontId="25" fillId="37" borderId="8" xfId="0" applyFont="1" applyFill="1" applyBorder="1" applyAlignment="1">
      <alignment horizontal="center" vertical="center" wrapText="1"/>
    </xf>
    <xf numFmtId="0" fontId="25" fillId="37" borderId="6" xfId="0" applyFont="1" applyFill="1" applyBorder="1" applyAlignment="1">
      <alignment horizontal="center" vertical="center" wrapText="1"/>
    </xf>
    <xf numFmtId="0" fontId="22" fillId="8" borderId="95" xfId="0" applyFont="1" applyFill="1" applyBorder="1" applyAlignment="1">
      <alignment horizontal="center" vertical="center" wrapText="1"/>
    </xf>
    <xf numFmtId="0" fontId="22" fillId="8" borderId="84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18" fillId="8" borderId="89" xfId="0" applyFont="1" applyFill="1" applyBorder="1" applyAlignment="1">
      <alignment horizontal="center" vertical="center" wrapText="1"/>
    </xf>
    <xf numFmtId="0" fontId="18" fillId="8" borderId="90" xfId="0" applyFont="1" applyFill="1" applyBorder="1" applyAlignment="1">
      <alignment horizontal="center" vertical="center" wrapText="1"/>
    </xf>
    <xf numFmtId="0" fontId="21" fillId="38" borderId="99" xfId="0" applyFont="1" applyFill="1" applyBorder="1" applyAlignment="1">
      <alignment horizontal="center" vertical="center" wrapText="1"/>
    </xf>
    <xf numFmtId="0" fontId="21" fillId="3" borderId="89" xfId="0" applyFont="1" applyFill="1" applyBorder="1"/>
    <xf numFmtId="0" fontId="21" fillId="3" borderId="100" xfId="0" applyFont="1" applyFill="1" applyBorder="1"/>
    <xf numFmtId="0" fontId="16" fillId="0" borderId="65" xfId="0" applyFont="1" applyBorder="1" applyAlignment="1">
      <alignment horizontal="center" vertical="center"/>
    </xf>
    <xf numFmtId="0" fontId="16" fillId="0" borderId="8" xfId="0" applyFont="1" applyBorder="1"/>
    <xf numFmtId="0" fontId="16" fillId="0" borderId="6" xfId="0" applyFont="1" applyBorder="1"/>
    <xf numFmtId="0" fontId="17" fillId="7" borderId="0" xfId="0" applyFont="1" applyFill="1" applyAlignment="1">
      <alignment horizontal="center" vertical="center" wrapText="1"/>
    </xf>
    <xf numFmtId="0" fontId="18" fillId="8" borderId="8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129" xfId="0" applyFont="1" applyFill="1" applyBorder="1" applyAlignment="1">
      <alignment horizontal="center" vertical="center" wrapText="1"/>
    </xf>
    <xf numFmtId="0" fontId="16" fillId="2" borderId="69" xfId="0" applyFont="1" applyFill="1" applyBorder="1" applyAlignment="1">
      <alignment horizontal="left" wrapText="1"/>
    </xf>
    <xf numFmtId="0" fontId="16" fillId="2" borderId="6" xfId="0" applyFont="1" applyFill="1" applyBorder="1" applyAlignment="1">
      <alignment horizontal="left" wrapText="1"/>
    </xf>
    <xf numFmtId="0" fontId="18" fillId="8" borderId="105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8" borderId="101" xfId="0" applyFont="1" applyFill="1" applyBorder="1" applyAlignment="1">
      <alignment horizontal="center" vertical="center" wrapText="1"/>
    </xf>
    <xf numFmtId="0" fontId="16" fillId="2" borderId="108" xfId="0" applyFont="1" applyFill="1" applyBorder="1" applyAlignment="1">
      <alignment horizontal="center" wrapText="1"/>
    </xf>
    <xf numFmtId="0" fontId="16" fillId="2" borderId="103" xfId="0" applyFont="1" applyFill="1" applyBorder="1" applyAlignment="1">
      <alignment horizontal="center" wrapText="1"/>
    </xf>
    <xf numFmtId="0" fontId="18" fillId="8" borderId="107" xfId="0" applyFont="1" applyFill="1" applyBorder="1" applyAlignment="1">
      <alignment horizontal="center" vertical="center" wrapText="1"/>
    </xf>
    <xf numFmtId="0" fontId="18" fillId="8" borderId="114" xfId="0" applyFont="1" applyFill="1" applyBorder="1" applyAlignment="1">
      <alignment horizontal="center" vertical="center" wrapText="1"/>
    </xf>
    <xf numFmtId="0" fontId="18" fillId="8" borderId="102" xfId="0" applyFont="1" applyFill="1" applyBorder="1" applyAlignment="1">
      <alignment horizontal="center" vertical="center" wrapText="1"/>
    </xf>
    <xf numFmtId="0" fontId="16" fillId="39" borderId="11" xfId="0" applyFont="1" applyFill="1" applyBorder="1" applyAlignment="1">
      <alignment horizontal="center" vertical="center" wrapText="1"/>
    </xf>
    <xf numFmtId="0" fontId="16" fillId="39" borderId="10" xfId="0" applyFont="1" applyFill="1" applyBorder="1" applyAlignment="1">
      <alignment horizontal="center" vertical="center" wrapText="1"/>
    </xf>
    <xf numFmtId="0" fontId="16" fillId="39" borderId="62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16" fillId="39" borderId="63" xfId="0" applyFont="1" applyFill="1" applyBorder="1" applyAlignment="1">
      <alignment horizontal="center" vertical="center" wrapText="1"/>
    </xf>
    <xf numFmtId="0" fontId="16" fillId="40" borderId="10" xfId="0" applyFont="1" applyFill="1" applyBorder="1"/>
    <xf numFmtId="0" fontId="16" fillId="40" borderId="0" xfId="0" applyFont="1" applyFill="1"/>
    <xf numFmtId="0" fontId="16" fillId="40" borderId="62" xfId="0" applyFont="1" applyFill="1" applyBorder="1"/>
    <xf numFmtId="0" fontId="16" fillId="0" borderId="6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6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3" borderId="69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7" borderId="120" xfId="0" applyFont="1" applyFill="1" applyBorder="1" applyAlignment="1">
      <alignment horizontal="center" vertical="center" wrapText="1"/>
    </xf>
    <xf numFmtId="0" fontId="16" fillId="7" borderId="121" xfId="0" applyFont="1" applyFill="1" applyBorder="1" applyAlignment="1">
      <alignment horizontal="center" vertical="center" wrapText="1"/>
    </xf>
    <xf numFmtId="0" fontId="16" fillId="7" borderId="122" xfId="0" applyFont="1" applyFill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24" xfId="0" applyFont="1" applyFill="1" applyBorder="1" applyAlignment="1">
      <alignment horizontal="center" vertical="center" wrapText="1"/>
    </xf>
    <xf numFmtId="0" fontId="21" fillId="38" borderId="65" xfId="0" applyFont="1" applyFill="1" applyBorder="1" applyAlignment="1">
      <alignment horizontal="center" vertical="center" wrapText="1"/>
    </xf>
    <xf numFmtId="0" fontId="21" fillId="3" borderId="8" xfId="0" applyFont="1" applyFill="1" applyBorder="1"/>
    <xf numFmtId="0" fontId="21" fillId="3" borderId="6" xfId="0" applyFont="1" applyFill="1" applyBorder="1"/>
    <xf numFmtId="0" fontId="17" fillId="11" borderId="4" xfId="0" applyFont="1" applyFill="1" applyBorder="1" applyAlignment="1">
      <alignment horizontal="center" wrapText="1"/>
    </xf>
    <xf numFmtId="0" fontId="16" fillId="12" borderId="1" xfId="0" applyFont="1" applyFill="1" applyBorder="1"/>
    <xf numFmtId="0" fontId="16" fillId="12" borderId="4" xfId="0" applyFont="1" applyFill="1" applyBorder="1"/>
    <xf numFmtId="0" fontId="17" fillId="12" borderId="1" xfId="0" applyFont="1" applyFill="1" applyBorder="1"/>
    <xf numFmtId="0" fontId="17" fillId="12" borderId="4" xfId="0" applyFont="1" applyFill="1" applyBorder="1"/>
    <xf numFmtId="0" fontId="16" fillId="2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16" fillId="13" borderId="112" xfId="0" applyFont="1" applyFill="1" applyBorder="1" applyAlignment="1">
      <alignment horizontal="center" vertical="center" wrapText="1"/>
    </xf>
    <xf numFmtId="0" fontId="16" fillId="13" borderId="89" xfId="0" applyFont="1" applyFill="1" applyBorder="1" applyAlignment="1">
      <alignment horizontal="center" vertical="center" wrapText="1"/>
    </xf>
    <xf numFmtId="0" fontId="16" fillId="13" borderId="90" xfId="0" applyFont="1" applyFill="1" applyBorder="1" applyAlignment="1">
      <alignment horizontal="center" vertical="center" wrapText="1"/>
    </xf>
    <xf numFmtId="0" fontId="18" fillId="8" borderId="94" xfId="0" applyFont="1" applyFill="1" applyBorder="1" applyAlignment="1">
      <alignment horizontal="center" vertical="center" wrapText="1"/>
    </xf>
    <xf numFmtId="0" fontId="18" fillId="8" borderId="95" xfId="0" applyFont="1" applyFill="1" applyBorder="1" applyAlignment="1">
      <alignment horizontal="center" vertical="center" wrapText="1"/>
    </xf>
    <xf numFmtId="0" fontId="18" fillId="8" borderId="96" xfId="0" applyFont="1" applyFill="1" applyBorder="1" applyAlignment="1">
      <alignment horizontal="center" vertical="center" wrapText="1"/>
    </xf>
    <xf numFmtId="0" fontId="22" fillId="8" borderId="114" xfId="0" applyFont="1" applyFill="1" applyBorder="1" applyAlignment="1">
      <alignment horizontal="center" vertical="center" wrapText="1"/>
    </xf>
    <xf numFmtId="0" fontId="16" fillId="0" borderId="65" xfId="0" applyFont="1" applyBorder="1" applyAlignment="1">
      <alignment horizontal="center"/>
    </xf>
    <xf numFmtId="0" fontId="24" fillId="10" borderId="65" xfId="0" applyFont="1" applyFill="1" applyBorder="1" applyAlignment="1">
      <alignment horizontal="center" wrapText="1"/>
    </xf>
    <xf numFmtId="0" fontId="24" fillId="2" borderId="8" xfId="0" applyFont="1" applyFill="1" applyBorder="1"/>
    <xf numFmtId="0" fontId="24" fillId="2" borderId="6" xfId="0" applyFont="1" applyFill="1" applyBorder="1"/>
    <xf numFmtId="0" fontId="16" fillId="2" borderId="65" xfId="0" applyFont="1" applyFill="1" applyBorder="1" applyAlignment="1">
      <alignment horizontal="center"/>
    </xf>
    <xf numFmtId="0" fontId="16" fillId="2" borderId="8" xfId="0" applyFont="1" applyFill="1" applyBorder="1"/>
    <xf numFmtId="0" fontId="16" fillId="2" borderId="6" xfId="0" applyFont="1" applyFill="1" applyBorder="1"/>
    <xf numFmtId="0" fontId="16" fillId="6" borderId="69" xfId="0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16" fillId="6" borderId="65" xfId="0" applyFont="1" applyFill="1" applyBorder="1" applyAlignment="1">
      <alignment horizontal="center"/>
    </xf>
    <xf numFmtId="0" fontId="16" fillId="7" borderId="69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2" borderId="6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6" fillId="0" borderId="6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4" fillId="0" borderId="69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10" borderId="69" xfId="0" applyFont="1" applyFill="1" applyBorder="1" applyAlignment="1">
      <alignment horizontal="center" wrapText="1"/>
    </xf>
    <xf numFmtId="0" fontId="24" fillId="10" borderId="8" xfId="0" applyFont="1" applyFill="1" applyBorder="1" applyAlignment="1">
      <alignment horizontal="center" wrapText="1"/>
    </xf>
    <xf numFmtId="0" fontId="24" fillId="10" borderId="6" xfId="0" applyFont="1" applyFill="1" applyBorder="1" applyAlignment="1">
      <alignment horizontal="center" wrapText="1"/>
    </xf>
    <xf numFmtId="0" fontId="24" fillId="0" borderId="113" xfId="0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24" fillId="0" borderId="92" xfId="0" applyFont="1" applyBorder="1" applyAlignment="1">
      <alignment horizontal="center" vertical="center"/>
    </xf>
    <xf numFmtId="0" fontId="16" fillId="10" borderId="0" xfId="0" applyFont="1" applyFill="1" applyAlignment="1">
      <alignment horizontal="center" wrapText="1"/>
    </xf>
    <xf numFmtId="0" fontId="17" fillId="11" borderId="97" xfId="0" applyFont="1" applyFill="1" applyBorder="1" applyAlignment="1">
      <alignment horizontal="center" wrapText="1"/>
    </xf>
    <xf numFmtId="0" fontId="17" fillId="12" borderId="84" xfId="0" applyFont="1" applyFill="1" applyBorder="1"/>
    <xf numFmtId="0" fontId="17" fillId="12" borderId="98" xfId="0" applyFont="1" applyFill="1" applyBorder="1"/>
    <xf numFmtId="0" fontId="16" fillId="2" borderId="0" xfId="0" applyFont="1" applyFill="1" applyAlignment="1">
      <alignment horizontal="center"/>
    </xf>
    <xf numFmtId="0" fontId="16" fillId="13" borderId="112" xfId="0" applyFont="1" applyFill="1" applyBorder="1" applyAlignment="1">
      <alignment horizontal="center" wrapText="1"/>
    </xf>
    <xf numFmtId="0" fontId="16" fillId="13" borderId="89" xfId="0" applyFont="1" applyFill="1" applyBorder="1" applyAlignment="1">
      <alignment horizontal="center" wrapText="1"/>
    </xf>
    <xf numFmtId="0" fontId="16" fillId="13" borderId="90" xfId="0" applyFont="1" applyFill="1" applyBorder="1" applyAlignment="1">
      <alignment horizontal="center" wrapText="1"/>
    </xf>
    <xf numFmtId="0" fontId="16" fillId="0" borderId="113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24" fillId="10" borderId="69" xfId="0" applyFont="1" applyFill="1" applyBorder="1" applyAlignment="1">
      <alignment horizontal="center" vertical="center" wrapText="1"/>
    </xf>
    <xf numFmtId="0" fontId="24" fillId="10" borderId="8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18" fillId="8" borderId="69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6" fillId="7" borderId="107" xfId="0" applyFont="1" applyFill="1" applyBorder="1" applyAlignment="1">
      <alignment horizontal="center" vertical="center" wrapText="1"/>
    </xf>
    <xf numFmtId="0" fontId="16" fillId="7" borderId="114" xfId="0" applyFont="1" applyFill="1" applyBorder="1" applyAlignment="1">
      <alignment horizontal="center" vertical="center" wrapText="1"/>
    </xf>
    <xf numFmtId="0" fontId="16" fillId="7" borderId="101" xfId="0" applyFont="1" applyFill="1" applyBorder="1" applyAlignment="1">
      <alignment horizontal="center" vertical="center" wrapText="1"/>
    </xf>
    <xf numFmtId="0" fontId="16" fillId="0" borderId="113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2" xfId="0" applyFont="1" applyBorder="1" applyAlignment="1">
      <alignment horizontal="center"/>
    </xf>
    <xf numFmtId="0" fontId="16" fillId="10" borderId="84" xfId="0" applyFont="1" applyFill="1" applyBorder="1" applyAlignment="1">
      <alignment horizontal="center" vertical="center" wrapText="1"/>
    </xf>
    <xf numFmtId="0" fontId="19" fillId="0" borderId="107" xfId="0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/>
    </xf>
    <xf numFmtId="0" fontId="19" fillId="0" borderId="96" xfId="0" applyFont="1" applyBorder="1" applyAlignment="1">
      <alignment horizontal="center" vertical="center"/>
    </xf>
    <xf numFmtId="0" fontId="21" fillId="38" borderId="118" xfId="0" applyFont="1" applyFill="1" applyBorder="1" applyAlignment="1">
      <alignment horizontal="center" vertical="center" wrapText="1"/>
    </xf>
    <xf numFmtId="0" fontId="21" fillId="38" borderId="89" xfId="0" applyFont="1" applyFill="1" applyBorder="1" applyAlignment="1">
      <alignment horizontal="center" vertical="center" wrapText="1"/>
    </xf>
    <xf numFmtId="0" fontId="21" fillId="38" borderId="100" xfId="0" applyFont="1" applyFill="1" applyBorder="1" applyAlignment="1">
      <alignment horizontal="center" vertical="center" wrapText="1"/>
    </xf>
    <xf numFmtId="0" fontId="17" fillId="11" borderId="66" xfId="0" applyFont="1" applyFill="1" applyBorder="1" applyAlignment="1">
      <alignment horizontal="center" wrapText="1"/>
    </xf>
    <xf numFmtId="0" fontId="17" fillId="11" borderId="1" xfId="0" applyFont="1" applyFill="1" applyBorder="1" applyAlignment="1">
      <alignment horizontal="center" wrapText="1"/>
    </xf>
    <xf numFmtId="0" fontId="21" fillId="38" borderId="69" xfId="0" applyFont="1" applyFill="1" applyBorder="1" applyAlignment="1">
      <alignment horizontal="center" vertical="center" wrapText="1"/>
    </xf>
    <xf numFmtId="0" fontId="21" fillId="38" borderId="8" xfId="0" applyFont="1" applyFill="1" applyBorder="1" applyAlignment="1">
      <alignment horizontal="center" vertical="center" wrapText="1"/>
    </xf>
    <xf numFmtId="0" fontId="21" fillId="38" borderId="6" xfId="0" applyFont="1" applyFill="1" applyBorder="1" applyAlignment="1">
      <alignment horizontal="center" vertical="center" wrapText="1"/>
    </xf>
    <xf numFmtId="0" fontId="17" fillId="11" borderId="111" xfId="0" applyFont="1" applyFill="1" applyBorder="1" applyAlignment="1">
      <alignment horizontal="center" wrapText="1"/>
    </xf>
    <xf numFmtId="0" fontId="17" fillId="11" borderId="84" xfId="0" applyFont="1" applyFill="1" applyBorder="1" applyAlignment="1">
      <alignment horizontal="center" wrapText="1"/>
    </xf>
    <xf numFmtId="0" fontId="17" fillId="11" borderId="98" xfId="0" applyFont="1" applyFill="1" applyBorder="1" applyAlignment="1">
      <alignment horizontal="center" wrapText="1"/>
    </xf>
    <xf numFmtId="0" fontId="16" fillId="2" borderId="84" xfId="0" applyFont="1" applyFill="1" applyBorder="1" applyAlignment="1">
      <alignment horizontal="center" wrapText="1"/>
    </xf>
    <xf numFmtId="0" fontId="19" fillId="0" borderId="6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6" fillId="7" borderId="94" xfId="0" applyFont="1" applyFill="1" applyBorder="1" applyAlignment="1">
      <alignment horizontal="center" vertical="center" wrapText="1"/>
    </xf>
    <xf numFmtId="0" fontId="16" fillId="7" borderId="95" xfId="0" applyFont="1" applyFill="1" applyBorder="1" applyAlignment="1">
      <alignment horizontal="center" vertical="center" wrapText="1"/>
    </xf>
    <xf numFmtId="0" fontId="16" fillId="7" borderId="96" xfId="0" applyFont="1" applyFill="1" applyBorder="1" applyAlignment="1">
      <alignment horizontal="center" vertical="center" wrapText="1"/>
    </xf>
    <xf numFmtId="0" fontId="24" fillId="7" borderId="69" xfId="0" applyFont="1" applyFill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6" xfId="0" applyFont="1" applyBorder="1"/>
    <xf numFmtId="0" fontId="4" fillId="7" borderId="6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11" borderId="4" xfId="0" applyFont="1" applyFill="1" applyBorder="1" applyAlignment="1">
      <alignment horizontal="center" vertical="center" wrapText="1"/>
    </xf>
    <xf numFmtId="0" fontId="11" fillId="12" borderId="1" xfId="0" applyFont="1" applyFill="1" applyBorder="1"/>
    <xf numFmtId="0" fontId="11" fillId="12" borderId="4" xfId="0" applyFont="1" applyFill="1" applyBorder="1"/>
    <xf numFmtId="0" fontId="4" fillId="7" borderId="63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62" xfId="0" applyFont="1" applyBorder="1"/>
    <xf numFmtId="0" fontId="4" fillId="6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12" fillId="12" borderId="1" xfId="0" applyFont="1" applyFill="1" applyBorder="1"/>
    <xf numFmtId="0" fontId="12" fillId="12" borderId="4" xfId="0" applyFont="1" applyFill="1" applyBorder="1"/>
    <xf numFmtId="0" fontId="4" fillId="7" borderId="58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 wrapText="1"/>
    </xf>
    <xf numFmtId="0" fontId="4" fillId="14" borderId="8" xfId="0" applyFont="1" applyFill="1" applyBorder="1"/>
    <xf numFmtId="0" fontId="4" fillId="14" borderId="6" xfId="0" applyFont="1" applyFill="1" applyBorder="1"/>
    <xf numFmtId="0" fontId="9" fillId="8" borderId="5" xfId="0" applyFont="1" applyFill="1" applyBorder="1" applyAlignment="1">
      <alignment horizontal="center" vertical="center" wrapText="1"/>
    </xf>
    <xf numFmtId="0" fontId="9" fillId="8" borderId="69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2" xfId="0" applyFont="1" applyBorder="1"/>
    <xf numFmtId="0" fontId="4" fillId="2" borderId="0" xfId="0" applyFont="1" applyFill="1" applyAlignment="1">
      <alignment horizontal="center" vertical="center"/>
    </xf>
    <xf numFmtId="0" fontId="4" fillId="4" borderId="6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8" xfId="0" applyFont="1" applyFill="1" applyBorder="1"/>
    <xf numFmtId="0" fontId="4" fillId="2" borderId="6" xfId="0" applyFont="1" applyFill="1" applyBorder="1"/>
    <xf numFmtId="0" fontId="4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4" borderId="65" xfId="0" applyFont="1" applyFill="1" applyBorder="1" applyAlignment="1">
      <alignment horizontal="center" vertical="center"/>
    </xf>
    <xf numFmtId="0" fontId="9" fillId="8" borderId="65" xfId="0" applyFont="1" applyFill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6" borderId="6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7" borderId="68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7" fillId="13" borderId="5" xfId="0" applyFont="1" applyFill="1" applyBorder="1" applyAlignment="1">
      <alignment horizontal="center" vertical="center" wrapText="1"/>
    </xf>
    <xf numFmtId="0" fontId="7" fillId="14" borderId="8" xfId="0" applyFont="1" applyFill="1" applyBorder="1"/>
    <xf numFmtId="0" fontId="7" fillId="14" borderId="6" xfId="0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7" borderId="6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0" borderId="67" xfId="0" applyFont="1" applyBorder="1"/>
    <xf numFmtId="0" fontId="4" fillId="0" borderId="58" xfId="0" applyFont="1" applyBorder="1"/>
    <xf numFmtId="0" fontId="4" fillId="7" borderId="65" xfId="0" applyFont="1" applyFill="1" applyBorder="1" applyAlignment="1">
      <alignment horizontal="center" wrapText="1"/>
    </xf>
    <xf numFmtId="0" fontId="4" fillId="0" borderId="65" xfId="0" applyFont="1" applyBorder="1"/>
    <xf numFmtId="0" fontId="9" fillId="8" borderId="63" xfId="0" applyFont="1" applyFill="1" applyBorder="1" applyAlignment="1">
      <alignment horizontal="center" vertical="center" wrapText="1"/>
    </xf>
    <xf numFmtId="0" fontId="7" fillId="15" borderId="65" xfId="1" applyFont="1" applyFill="1" applyBorder="1" applyAlignment="1">
      <alignment horizontal="center"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4" xfId="0" applyFont="1" applyBorder="1"/>
    <xf numFmtId="0" fontId="4" fillId="4" borderId="6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 wrapText="1"/>
    </xf>
    <xf numFmtId="0" fontId="4" fillId="2" borderId="8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1" fillId="11" borderId="66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4" fillId="6" borderId="67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66" xfId="0" applyFont="1" applyBorder="1"/>
    <xf numFmtId="0" fontId="4" fillId="0" borderId="8" xfId="0" applyFont="1" applyBorder="1" applyAlignment="1">
      <alignment horizontal="center" vertical="center"/>
    </xf>
    <xf numFmtId="0" fontId="12" fillId="7" borderId="71" xfId="0" applyFont="1" applyFill="1" applyBorder="1" applyAlignment="1">
      <alignment horizontal="center" vertical="center" wrapText="1"/>
    </xf>
    <xf numFmtId="0" fontId="12" fillId="7" borderId="70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15" borderId="11" xfId="1" applyFont="1" applyFill="1" applyBorder="1" applyAlignment="1">
      <alignment horizontal="center" vertical="center" wrapText="1"/>
    </xf>
    <xf numFmtId="0" fontId="7" fillId="15" borderId="10" xfId="1" applyFont="1" applyFill="1" applyBorder="1" applyAlignment="1">
      <alignment horizontal="center" vertical="center" wrapText="1"/>
    </xf>
    <xf numFmtId="0" fontId="7" fillId="15" borderId="62" xfId="1" applyFont="1" applyFill="1" applyBorder="1" applyAlignment="1">
      <alignment horizontal="center" vertical="center" wrapText="1"/>
    </xf>
    <xf numFmtId="0" fontId="7" fillId="15" borderId="66" xfId="1" applyFont="1" applyFill="1" applyBorder="1" applyAlignment="1">
      <alignment horizontal="center" vertical="center" wrapText="1"/>
    </xf>
    <xf numFmtId="0" fontId="7" fillId="15" borderId="1" xfId="1" applyFont="1" applyFill="1" applyBorder="1" applyAlignment="1">
      <alignment horizontal="center" vertical="center" wrapText="1"/>
    </xf>
    <xf numFmtId="0" fontId="7" fillId="15" borderId="4" xfId="1" applyFont="1" applyFill="1" applyBorder="1" applyAlignment="1">
      <alignment horizontal="center" vertical="center" wrapText="1"/>
    </xf>
    <xf numFmtId="0" fontId="4" fillId="0" borderId="59" xfId="0" applyFont="1" applyBorder="1"/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7" borderId="71" xfId="0" applyFont="1" applyFill="1" applyBorder="1" applyAlignment="1">
      <alignment horizontal="center" vertical="center" wrapText="1"/>
    </xf>
    <xf numFmtId="0" fontId="4" fillId="7" borderId="78" xfId="0" applyFont="1" applyFill="1" applyBorder="1" applyAlignment="1">
      <alignment horizontal="center" vertical="center" wrapText="1"/>
    </xf>
    <xf numFmtId="0" fontId="4" fillId="7" borderId="70" xfId="0" applyFont="1" applyFill="1" applyBorder="1" applyAlignment="1">
      <alignment horizontal="center" vertical="center" wrapText="1"/>
    </xf>
    <xf numFmtId="0" fontId="4" fillId="7" borderId="85" xfId="0" applyFont="1" applyFill="1" applyBorder="1" applyAlignment="1">
      <alignment horizontal="center" vertical="center" wrapText="1"/>
    </xf>
    <xf numFmtId="0" fontId="4" fillId="0" borderId="86" xfId="0" applyFont="1" applyBorder="1"/>
    <xf numFmtId="0" fontId="8" fillId="12" borderId="69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6" fillId="7" borderId="63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6" fillId="0" borderId="12" xfId="0" applyFont="1" applyBorder="1"/>
    <xf numFmtId="0" fontId="5" fillId="18" borderId="79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9" borderId="65" xfId="0" applyFont="1" applyFill="1" applyBorder="1" applyAlignment="1">
      <alignment horizontal="center" vertical="center" wrapText="1"/>
    </xf>
    <xf numFmtId="0" fontId="4" fillId="30" borderId="8" xfId="0" applyFont="1" applyFill="1" applyBorder="1"/>
    <xf numFmtId="0" fontId="4" fillId="30" borderId="6" xfId="0" applyFont="1" applyFill="1" applyBorder="1"/>
    <xf numFmtId="0" fontId="9" fillId="19" borderId="65" xfId="0" applyFont="1" applyFill="1" applyBorder="1" applyAlignment="1">
      <alignment horizontal="center" vertical="center" wrapText="1"/>
    </xf>
    <xf numFmtId="0" fontId="4" fillId="29" borderId="65" xfId="0" applyFont="1" applyFill="1" applyBorder="1" applyAlignment="1">
      <alignment horizontal="center" vertical="center"/>
    </xf>
    <xf numFmtId="0" fontId="4" fillId="30" borderId="58" xfId="0" applyFont="1" applyFill="1" applyBorder="1"/>
    <xf numFmtId="0" fontId="4" fillId="30" borderId="10" xfId="0" applyFont="1" applyFill="1" applyBorder="1"/>
    <xf numFmtId="0" fontId="4" fillId="30" borderId="62" xfId="0" applyFont="1" applyFill="1" applyBorder="1"/>
    <xf numFmtId="0" fontId="4" fillId="30" borderId="66" xfId="0" applyFont="1" applyFill="1" applyBorder="1"/>
    <xf numFmtId="0" fontId="4" fillId="30" borderId="1" xfId="0" applyFont="1" applyFill="1" applyBorder="1"/>
    <xf numFmtId="0" fontId="4" fillId="30" borderId="4" xfId="0" applyFont="1" applyFill="1" applyBorder="1"/>
    <xf numFmtId="0" fontId="4" fillId="35" borderId="65" xfId="0" applyFont="1" applyFill="1" applyBorder="1" applyAlignment="1">
      <alignment horizontal="center" vertical="center"/>
    </xf>
    <xf numFmtId="0" fontId="4" fillId="36" borderId="8" xfId="0" applyFont="1" applyFill="1" applyBorder="1"/>
    <xf numFmtId="0" fontId="4" fillId="36" borderId="6" xfId="0" applyFont="1" applyFill="1" applyBorder="1"/>
    <xf numFmtId="0" fontId="4" fillId="29" borderId="6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4" xfId="0" applyFont="1" applyBorder="1"/>
    <xf numFmtId="0" fontId="4" fillId="28" borderId="63" xfId="0" applyFont="1" applyFill="1" applyBorder="1" applyAlignment="1">
      <alignment horizontal="center" vertical="center" wrapText="1"/>
    </xf>
    <xf numFmtId="0" fontId="4" fillId="5" borderId="10" xfId="0" applyFont="1" applyFill="1" applyBorder="1"/>
    <xf numFmtId="0" fontId="4" fillId="5" borderId="62" xfId="0" applyFont="1" applyFill="1" applyBorder="1"/>
    <xf numFmtId="0" fontId="4" fillId="0" borderId="58" xfId="0" applyFont="1" applyBorder="1" applyAlignment="1">
      <alignment horizontal="left" vertical="center"/>
    </xf>
    <xf numFmtId="0" fontId="10" fillId="33" borderId="65" xfId="0" applyFont="1" applyFill="1" applyBorder="1" applyAlignment="1">
      <alignment horizontal="center" vertical="center"/>
    </xf>
    <xf numFmtId="0" fontId="10" fillId="34" borderId="8" xfId="0" applyFont="1" applyFill="1" applyBorder="1"/>
    <xf numFmtId="0" fontId="10" fillId="34" borderId="6" xfId="0" applyFont="1" applyFill="1" applyBorder="1"/>
    <xf numFmtId="0" fontId="4" fillId="30" borderId="67" xfId="0" applyFont="1" applyFill="1" applyBorder="1"/>
    <xf numFmtId="0" fontId="4" fillId="0" borderId="63" xfId="0" applyFont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4" fillId="0" borderId="69" xfId="0" applyFont="1" applyBorder="1" applyAlignment="1">
      <alignment horizontal="center" vertical="center"/>
    </xf>
    <xf numFmtId="0" fontId="9" fillId="31" borderId="65" xfId="0" applyFont="1" applyFill="1" applyBorder="1" applyAlignment="1">
      <alignment horizontal="center" vertical="center" wrapText="1"/>
    </xf>
    <xf numFmtId="0" fontId="4" fillId="32" borderId="8" xfId="0" applyFont="1" applyFill="1" applyBorder="1"/>
    <xf numFmtId="0" fontId="4" fillId="32" borderId="6" xfId="0" applyFont="1" applyFill="1" applyBorder="1"/>
    <xf numFmtId="0" fontId="5" fillId="18" borderId="68" xfId="0" applyFont="1" applyFill="1" applyBorder="1" applyAlignment="1">
      <alignment horizontal="center" vertical="center"/>
    </xf>
    <xf numFmtId="0" fontId="5" fillId="18" borderId="80" xfId="0" applyFont="1" applyFill="1" applyBorder="1" applyAlignment="1">
      <alignment horizontal="center" vertical="center"/>
    </xf>
    <xf numFmtId="0" fontId="5" fillId="18" borderId="81" xfId="0" applyFont="1" applyFill="1" applyBorder="1" applyAlignment="1">
      <alignment horizontal="center" vertical="center"/>
    </xf>
    <xf numFmtId="0" fontId="5" fillId="18" borderId="82" xfId="0" applyFont="1" applyFill="1" applyBorder="1" applyAlignment="1">
      <alignment horizontal="center" vertical="center"/>
    </xf>
    <xf numFmtId="0" fontId="4" fillId="29" borderId="58" xfId="0" applyFont="1" applyFill="1" applyBorder="1" applyAlignment="1">
      <alignment horizontal="center" vertical="center" wrapText="1"/>
    </xf>
    <xf numFmtId="0" fontId="4" fillId="29" borderId="63" xfId="0" applyFont="1" applyFill="1" applyBorder="1" applyAlignment="1">
      <alignment horizontal="center" vertical="center"/>
    </xf>
    <xf numFmtId="0" fontId="4" fillId="29" borderId="58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29" borderId="63" xfId="0" applyFont="1" applyFill="1" applyBorder="1" applyAlignment="1">
      <alignment horizontal="center" vertical="center" wrapText="1"/>
    </xf>
    <xf numFmtId="0" fontId="4" fillId="29" borderId="69" xfId="0" applyFont="1" applyFill="1" applyBorder="1" applyAlignment="1">
      <alignment horizontal="center" vertical="center" wrapText="1"/>
    </xf>
    <xf numFmtId="0" fontId="4" fillId="29" borderId="8" xfId="0" applyFont="1" applyFill="1" applyBorder="1" applyAlignment="1">
      <alignment horizontal="center" vertical="center" wrapText="1"/>
    </xf>
    <xf numFmtId="0" fontId="4" fillId="29" borderId="6" xfId="0" applyFont="1" applyFill="1" applyBorder="1" applyAlignment="1">
      <alignment horizontal="center" vertical="center" wrapText="1"/>
    </xf>
    <xf numFmtId="0" fontId="4" fillId="24" borderId="65" xfId="0" applyFont="1" applyFill="1" applyBorder="1" applyAlignment="1">
      <alignment horizontal="center" vertical="center" wrapText="1"/>
    </xf>
    <xf numFmtId="0" fontId="4" fillId="25" borderId="10" xfId="0" applyFont="1" applyFill="1" applyBorder="1"/>
    <xf numFmtId="0" fontId="4" fillId="25" borderId="62" xfId="0" applyFont="1" applyFill="1" applyBorder="1"/>
    <xf numFmtId="0" fontId="4" fillId="25" borderId="66" xfId="0" applyFont="1" applyFill="1" applyBorder="1"/>
    <xf numFmtId="0" fontId="4" fillId="25" borderId="1" xfId="0" applyFont="1" applyFill="1" applyBorder="1"/>
    <xf numFmtId="0" fontId="4" fillId="25" borderId="4" xfId="0" applyFont="1" applyFill="1" applyBorder="1"/>
    <xf numFmtId="0" fontId="4" fillId="21" borderId="65" xfId="0" applyFont="1" applyFill="1" applyBorder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4" fillId="25" borderId="65" xfId="0" applyFont="1" applyFill="1" applyBorder="1" applyAlignment="1">
      <alignment horizontal="center" vertical="center" wrapText="1"/>
    </xf>
    <xf numFmtId="0" fontId="4" fillId="25" borderId="6" xfId="0" applyFont="1" applyFill="1" applyBorder="1"/>
    <xf numFmtId="0" fontId="5" fillId="18" borderId="65" xfId="0" applyFont="1" applyFill="1" applyBorder="1" applyAlignment="1">
      <alignment horizontal="left" vertical="center"/>
    </xf>
    <xf numFmtId="0" fontId="4" fillId="36" borderId="65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8" fillId="0" borderId="10" xfId="0" applyFont="1" applyBorder="1"/>
    <xf numFmtId="0" fontId="7" fillId="29" borderId="65" xfId="0" applyFont="1" applyFill="1" applyBorder="1" applyAlignment="1">
      <alignment horizontal="center" vertical="center"/>
    </xf>
    <xf numFmtId="0" fontId="15" fillId="30" borderId="8" xfId="0" applyFont="1" applyFill="1" applyBorder="1"/>
    <xf numFmtId="0" fontId="15" fillId="30" borderId="6" xfId="0" applyFont="1" applyFill="1" applyBorder="1"/>
    <xf numFmtId="0" fontId="5" fillId="18" borderId="63" xfId="0" applyFont="1" applyFill="1" applyBorder="1" applyAlignment="1">
      <alignment horizontal="center" vertical="center"/>
    </xf>
    <xf numFmtId="0" fontId="5" fillId="18" borderId="58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colors>
    <mruColors>
      <color rgb="FFFFFF66"/>
      <color rgb="FF0000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122539</xdr:colOff>
      <xdr:row>10</xdr:row>
      <xdr:rowOff>205146</xdr:rowOff>
    </xdr:from>
    <xdr:to>
      <xdr:col>5</xdr:col>
      <xdr:colOff>381001</xdr:colOff>
      <xdr:row>21</xdr:row>
      <xdr:rowOff>157249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D7E3C-5216-42A9-B0C6-96E249E25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539" y="2629691"/>
          <a:ext cx="2007598" cy="2255422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127090</xdr:colOff>
      <xdr:row>1</xdr:row>
      <xdr:rowOff>88991</xdr:rowOff>
    </xdr:from>
    <xdr:to>
      <xdr:col>4</xdr:col>
      <xdr:colOff>256798</xdr:colOff>
      <xdr:row>6</xdr:row>
      <xdr:rowOff>22040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C3556795-DAC2-41B7-83F4-BAB9D79B2874}"/>
            </a:ext>
          </a:extLst>
        </xdr:cNvPr>
        <xdr:cNvGrpSpPr>
          <a:grpSpLocks/>
        </xdr:cNvGrpSpPr>
      </xdr:nvGrpSpPr>
      <xdr:grpSpPr bwMode="auto">
        <a:xfrm>
          <a:off x="290376" y="448220"/>
          <a:ext cx="1305365" cy="1184906"/>
          <a:chOff x="662" y="371"/>
          <a:chExt cx="1478" cy="12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00E3C84-89FA-0301-D6BC-4421AF5495B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1" y="398"/>
            <a:ext cx="1469" cy="1267"/>
          </a:xfrm>
          <a:prstGeom prst="rect">
            <a:avLst/>
          </a:prstGeom>
          <a:noFill/>
          <a:ln>
            <a:prstDash val="solid"/>
          </a:ln>
        </xdr:spPr>
      </xdr:pic>
    </xdr:grpSp>
    <xdr:clientData/>
  </xdr:twoCellAnchor>
  <xdr:twoCellAnchor>
    <xdr:from>
      <xdr:col>47</xdr:col>
      <xdr:colOff>230332</xdr:colOff>
      <xdr:row>37</xdr:row>
      <xdr:rowOff>292602</xdr:rowOff>
    </xdr:from>
    <xdr:to>
      <xdr:col>48</xdr:col>
      <xdr:colOff>150595</xdr:colOff>
      <xdr:row>39</xdr:row>
      <xdr:rowOff>173181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26C22CBF-071D-0ECC-72D3-FE9A55E89910}"/>
            </a:ext>
          </a:extLst>
        </xdr:cNvPr>
        <xdr:cNvSpPr/>
      </xdr:nvSpPr>
      <xdr:spPr bwMode="auto">
        <a:xfrm>
          <a:off x="26311514" y="8414829"/>
          <a:ext cx="318581" cy="382807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272142</xdr:colOff>
      <xdr:row>38</xdr:row>
      <xdr:rowOff>9797</xdr:rowOff>
    </xdr:from>
    <xdr:to>
      <xdr:col>98</xdr:col>
      <xdr:colOff>143691</xdr:colOff>
      <xdr:row>39</xdr:row>
      <xdr:rowOff>190500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41480A66-AFC1-4BE2-A935-70D525A7491F}"/>
            </a:ext>
          </a:extLst>
        </xdr:cNvPr>
        <xdr:cNvSpPr/>
      </xdr:nvSpPr>
      <xdr:spPr bwMode="auto">
        <a:xfrm>
          <a:off x="54401356" y="5683976"/>
          <a:ext cx="306978" cy="384810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381001</xdr:colOff>
      <xdr:row>24</xdr:row>
      <xdr:rowOff>0</xdr:rowOff>
    </xdr:from>
    <xdr:to>
      <xdr:col>23</xdr:col>
      <xdr:colOff>153490</xdr:colOff>
      <xdr:row>25</xdr:row>
      <xdr:rowOff>174988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75852D0D-0D1A-4316-AF2F-966093A45A3F}"/>
            </a:ext>
          </a:extLst>
        </xdr:cNvPr>
        <xdr:cNvSpPr/>
      </xdr:nvSpPr>
      <xdr:spPr bwMode="auto">
        <a:xfrm>
          <a:off x="12001501" y="3129643"/>
          <a:ext cx="303168" cy="379095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614226</xdr:colOff>
      <xdr:row>27</xdr:row>
      <xdr:rowOff>0</xdr:rowOff>
    </xdr:from>
    <xdr:to>
      <xdr:col>75</xdr:col>
      <xdr:colOff>145597</xdr:colOff>
      <xdr:row>28</xdr:row>
      <xdr:rowOff>174988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5540B427-A052-46F9-9072-6D2B9A1FEE77}"/>
            </a:ext>
          </a:extLst>
        </xdr:cNvPr>
        <xdr:cNvSpPr/>
      </xdr:nvSpPr>
      <xdr:spPr bwMode="auto">
        <a:xfrm>
          <a:off x="43299833" y="3741964"/>
          <a:ext cx="306978" cy="379095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357967</xdr:colOff>
      <xdr:row>12</xdr:row>
      <xdr:rowOff>200025</xdr:rowOff>
    </xdr:from>
    <xdr:to>
      <xdr:col>27</xdr:col>
      <xdr:colOff>205443</xdr:colOff>
      <xdr:row>14</xdr:row>
      <xdr:rowOff>151955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B5E43BF6-2BDF-457D-AC2C-BFADC8BF8C38}"/>
            </a:ext>
          </a:extLst>
        </xdr:cNvPr>
        <xdr:cNvSpPr/>
      </xdr:nvSpPr>
      <xdr:spPr bwMode="auto">
        <a:xfrm>
          <a:off x="14818649" y="3421207"/>
          <a:ext cx="297749" cy="36756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337563</xdr:colOff>
      <xdr:row>11</xdr:row>
      <xdr:rowOff>396</xdr:rowOff>
    </xdr:from>
    <xdr:to>
      <xdr:col>52</xdr:col>
      <xdr:colOff>148244</xdr:colOff>
      <xdr:row>12</xdr:row>
      <xdr:rowOff>177289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7976DDEA-BFC8-48B8-B84B-1CE7FD0A171B}"/>
            </a:ext>
          </a:extLst>
        </xdr:cNvPr>
        <xdr:cNvSpPr/>
      </xdr:nvSpPr>
      <xdr:spPr bwMode="auto">
        <a:xfrm>
          <a:off x="29709199" y="3013760"/>
          <a:ext cx="278272" cy="384711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225137</xdr:colOff>
      <xdr:row>13</xdr:row>
      <xdr:rowOff>0</xdr:rowOff>
    </xdr:from>
    <xdr:to>
      <xdr:col>58</xdr:col>
      <xdr:colOff>517171</xdr:colOff>
      <xdr:row>14</xdr:row>
      <xdr:rowOff>174988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F78BD8F4-280B-45CE-ABB4-A23959F931DD}"/>
            </a:ext>
          </a:extLst>
        </xdr:cNvPr>
        <xdr:cNvSpPr/>
      </xdr:nvSpPr>
      <xdr:spPr bwMode="auto">
        <a:xfrm>
          <a:off x="32939182" y="3429000"/>
          <a:ext cx="292034" cy="38280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329045</xdr:colOff>
      <xdr:row>13</xdr:row>
      <xdr:rowOff>0</xdr:rowOff>
    </xdr:from>
    <xdr:to>
      <xdr:col>64</xdr:col>
      <xdr:colOff>617269</xdr:colOff>
      <xdr:row>14</xdr:row>
      <xdr:rowOff>171178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C93C2C92-7B98-44D0-B442-5BE606DA8DE6}"/>
            </a:ext>
          </a:extLst>
        </xdr:cNvPr>
        <xdr:cNvSpPr/>
      </xdr:nvSpPr>
      <xdr:spPr bwMode="auto">
        <a:xfrm>
          <a:off x="36731863" y="3429000"/>
          <a:ext cx="288224" cy="37899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623454</xdr:colOff>
      <xdr:row>13</xdr:row>
      <xdr:rowOff>0</xdr:rowOff>
    </xdr:from>
    <xdr:to>
      <xdr:col>70</xdr:col>
      <xdr:colOff>132360</xdr:colOff>
      <xdr:row>14</xdr:row>
      <xdr:rowOff>171178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DDB2FC75-3602-4CDA-8B8B-A9F2F93CCF0E}"/>
            </a:ext>
          </a:extLst>
        </xdr:cNvPr>
        <xdr:cNvSpPr/>
      </xdr:nvSpPr>
      <xdr:spPr bwMode="auto">
        <a:xfrm>
          <a:off x="40922863" y="3429000"/>
          <a:ext cx="288224" cy="37899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314040</xdr:colOff>
      <xdr:row>19</xdr:row>
      <xdr:rowOff>206138</xdr:rowOff>
    </xdr:from>
    <xdr:to>
      <xdr:col>52</xdr:col>
      <xdr:colOff>153296</xdr:colOff>
      <xdr:row>21</xdr:row>
      <xdr:rowOff>173930</xdr:rowOff>
    </xdr:to>
    <xdr:sp macro="" textlink="">
      <xdr:nvSpPr>
        <xdr:cNvPr id="22" name="Arrow: Down 21">
          <a:extLst>
            <a:ext uri="{FF2B5EF4-FFF2-40B4-BE49-F238E27FC236}">
              <a16:creationId xmlns:a16="http://schemas.microsoft.com/office/drawing/2014/main" id="{C31B7CED-D5F3-4400-8123-A49AF1FC537C}"/>
            </a:ext>
          </a:extLst>
        </xdr:cNvPr>
        <xdr:cNvSpPr/>
      </xdr:nvSpPr>
      <xdr:spPr bwMode="auto">
        <a:xfrm>
          <a:off x="29583805" y="5024667"/>
          <a:ext cx="309903" cy="39361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3810</xdr:colOff>
      <xdr:row>26</xdr:row>
      <xdr:rowOff>92306</xdr:rowOff>
    </xdr:from>
    <xdr:to>
      <xdr:col>16</xdr:col>
      <xdr:colOff>3810</xdr:colOff>
      <xdr:row>28</xdr:row>
      <xdr:rowOff>134735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D4AD57D-C5DF-E6F1-138E-EE7AA593DA92}"/>
            </a:ext>
          </a:extLst>
        </xdr:cNvPr>
        <xdr:cNvCxnSpPr/>
      </xdr:nvCxnSpPr>
      <xdr:spPr bwMode="auto">
        <a:xfrm flipH="1">
          <a:off x="7796992" y="6222942"/>
          <a:ext cx="0" cy="45806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511753</xdr:colOff>
      <xdr:row>33</xdr:row>
      <xdr:rowOff>105637</xdr:rowOff>
    </xdr:from>
    <xdr:to>
      <xdr:col>37</xdr:col>
      <xdr:colOff>0</xdr:colOff>
      <xdr:row>36</xdr:row>
      <xdr:rowOff>153956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83DBF74-30CF-4918-81F2-A28E8967F618}"/>
            </a:ext>
          </a:extLst>
        </xdr:cNvPr>
        <xdr:cNvCxnSpPr/>
      </xdr:nvCxnSpPr>
      <xdr:spPr bwMode="auto">
        <a:xfrm>
          <a:off x="21206980" y="7310001"/>
          <a:ext cx="7793" cy="67177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70</xdr:col>
      <xdr:colOff>758363</xdr:colOff>
      <xdr:row>34</xdr:row>
      <xdr:rowOff>205740</xdr:rowOff>
    </xdr:from>
    <xdr:to>
      <xdr:col>70</xdr:col>
      <xdr:colOff>758363</xdr:colOff>
      <xdr:row>36</xdr:row>
      <xdr:rowOff>138546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AA1F16E-5A43-47DD-A58B-7AEC74F56E3D}"/>
            </a:ext>
          </a:extLst>
        </xdr:cNvPr>
        <xdr:cNvCxnSpPr/>
      </xdr:nvCxnSpPr>
      <xdr:spPr bwMode="auto">
        <a:xfrm>
          <a:off x="43932590" y="7704513"/>
          <a:ext cx="0" cy="34844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98</xdr:col>
      <xdr:colOff>0</xdr:colOff>
      <xdr:row>33</xdr:row>
      <xdr:rowOff>86591</xdr:rowOff>
    </xdr:from>
    <xdr:to>
      <xdr:col>98</xdr:col>
      <xdr:colOff>5888</xdr:colOff>
      <xdr:row>36</xdr:row>
      <xdr:rowOff>140625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1FE7073-210A-4B86-961F-DB66A886A4F9}"/>
            </a:ext>
          </a:extLst>
        </xdr:cNvPr>
        <xdr:cNvCxnSpPr/>
      </xdr:nvCxnSpPr>
      <xdr:spPr bwMode="auto">
        <a:xfrm>
          <a:off x="57912000" y="7290955"/>
          <a:ext cx="5888" cy="6774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511751</xdr:colOff>
      <xdr:row>13</xdr:row>
      <xdr:rowOff>0</xdr:rowOff>
    </xdr:from>
    <xdr:to>
      <xdr:col>34</xdr:col>
      <xdr:colOff>817764</xdr:colOff>
      <xdr:row>14</xdr:row>
      <xdr:rowOff>155863</xdr:rowOff>
    </xdr:to>
    <xdr:sp macro="" textlink="">
      <xdr:nvSpPr>
        <xdr:cNvPr id="39" name="Arrow: Down 38">
          <a:extLst>
            <a:ext uri="{FF2B5EF4-FFF2-40B4-BE49-F238E27FC236}">
              <a16:creationId xmlns:a16="http://schemas.microsoft.com/office/drawing/2014/main" id="{11C03832-A409-4E14-9BA5-42D8281F18EF}"/>
            </a:ext>
          </a:extLst>
        </xdr:cNvPr>
        <xdr:cNvSpPr/>
      </xdr:nvSpPr>
      <xdr:spPr bwMode="auto">
        <a:xfrm>
          <a:off x="19492478" y="3429000"/>
          <a:ext cx="306013" cy="363681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33</xdr:row>
      <xdr:rowOff>-1</xdr:rowOff>
    </xdr:from>
    <xdr:to>
      <xdr:col>16</xdr:col>
      <xdr:colOff>0</xdr:colOff>
      <xdr:row>36</xdr:row>
      <xdr:rowOff>129020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1EA88CC3-EC69-4A6F-A8E7-FA6E32D71620}"/>
            </a:ext>
          </a:extLst>
        </xdr:cNvPr>
        <xdr:cNvCxnSpPr/>
      </xdr:nvCxnSpPr>
      <xdr:spPr bwMode="auto">
        <a:xfrm>
          <a:off x="7793182" y="7290954"/>
          <a:ext cx="0" cy="7524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515734</xdr:colOff>
      <xdr:row>13</xdr:row>
      <xdr:rowOff>3810</xdr:rowOff>
    </xdr:from>
    <xdr:to>
      <xdr:col>43</xdr:col>
      <xdr:colOff>155862</xdr:colOff>
      <xdr:row>14</xdr:row>
      <xdr:rowOff>148244</xdr:rowOff>
    </xdr:to>
    <xdr:sp macro="" textlink="">
      <xdr:nvSpPr>
        <xdr:cNvPr id="45" name="Arrow: Down 44">
          <a:extLst>
            <a:ext uri="{FF2B5EF4-FFF2-40B4-BE49-F238E27FC236}">
              <a16:creationId xmlns:a16="http://schemas.microsoft.com/office/drawing/2014/main" id="{09D53CEE-F979-435E-840B-B08149B14A05}"/>
            </a:ext>
          </a:extLst>
        </xdr:cNvPr>
        <xdr:cNvSpPr/>
      </xdr:nvSpPr>
      <xdr:spPr bwMode="auto">
        <a:xfrm>
          <a:off x="23722098" y="3432810"/>
          <a:ext cx="315537" cy="352252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99332</xdr:colOff>
      <xdr:row>7</xdr:row>
      <xdr:rowOff>108857</xdr:rowOff>
    </xdr:from>
    <xdr:to>
      <xdr:col>3</xdr:col>
      <xdr:colOff>356507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732" y="1842407"/>
          <a:ext cx="1019175" cy="9484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125185</xdr:colOff>
      <xdr:row>1</xdr:row>
      <xdr:rowOff>87086</xdr:rowOff>
    </xdr:from>
    <xdr:to>
      <xdr:col>4</xdr:col>
      <xdr:colOff>258703</xdr:colOff>
      <xdr:row>5</xdr:row>
      <xdr:rowOff>25850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>
          <a:grpSpLocks/>
        </xdr:cNvGrpSpPr>
      </xdr:nvGrpSpPr>
      <xdr:grpSpPr bwMode="auto">
        <a:xfrm>
          <a:off x="288471" y="446315"/>
          <a:ext cx="1309175" cy="874935"/>
          <a:chOff x="662" y="371"/>
          <a:chExt cx="1478" cy="12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1" y="398"/>
            <a:ext cx="1469" cy="1267"/>
          </a:xfrm>
          <a:prstGeom prst="rect">
            <a:avLst/>
          </a:prstGeom>
          <a:noFill/>
          <a:ln>
            <a:prstDash val="solid"/>
          </a:ln>
        </xdr:spPr>
      </xdr:pic>
    </xdr:grpSp>
    <xdr:clientData/>
  </xdr:twoCellAnchor>
  <xdr:twoCellAnchor>
    <xdr:from>
      <xdr:col>22</xdr:col>
      <xdr:colOff>312965</xdr:colOff>
      <xdr:row>32</xdr:row>
      <xdr:rowOff>196486</xdr:rowOff>
    </xdr:from>
    <xdr:to>
      <xdr:col>23</xdr:col>
      <xdr:colOff>79739</xdr:colOff>
      <xdr:row>33</xdr:row>
      <xdr:rowOff>200623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3BF5053F-2A4E-AA80-DDAE-D58C00FCF203}"/>
            </a:ext>
          </a:extLst>
        </xdr:cNvPr>
        <xdr:cNvSpPr/>
      </xdr:nvSpPr>
      <xdr:spPr bwMode="auto">
        <a:xfrm>
          <a:off x="12151179" y="7625986"/>
          <a:ext cx="161381" cy="208244"/>
        </a:xfrm>
        <a:prstGeom prst="down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99332</xdr:colOff>
      <xdr:row>7</xdr:row>
      <xdr:rowOff>108857</xdr:rowOff>
    </xdr:from>
    <xdr:to>
      <xdr:col>3</xdr:col>
      <xdr:colOff>356507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985EA-E949-4DC4-B05C-E5A629B4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7447" y="1840502"/>
          <a:ext cx="1045845" cy="95222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127090</xdr:colOff>
      <xdr:row>1</xdr:row>
      <xdr:rowOff>88991</xdr:rowOff>
    </xdr:from>
    <xdr:to>
      <xdr:col>4</xdr:col>
      <xdr:colOff>256798</xdr:colOff>
      <xdr:row>5</xdr:row>
      <xdr:rowOff>22040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DA5DCB82-3DF9-425A-9CAF-89FA26B471C9}"/>
            </a:ext>
          </a:extLst>
        </xdr:cNvPr>
        <xdr:cNvGrpSpPr>
          <a:grpSpLocks/>
        </xdr:cNvGrpSpPr>
      </xdr:nvGrpSpPr>
      <xdr:grpSpPr bwMode="auto">
        <a:xfrm>
          <a:off x="288455" y="447579"/>
          <a:ext cx="1286155" cy="874343"/>
          <a:chOff x="662" y="371"/>
          <a:chExt cx="1478" cy="12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45C2D79-C37D-D73F-788C-3437C6EF3B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1" y="398"/>
            <a:ext cx="1469" cy="1267"/>
          </a:xfrm>
          <a:prstGeom prst="rect">
            <a:avLst/>
          </a:prstGeom>
          <a:noFill/>
          <a:ln>
            <a:prstDash val="solid"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63BA-2E3A-4E49-A165-1456B165541E}">
  <sheetPr>
    <pageSetUpPr fitToPage="1"/>
  </sheetPr>
  <dimension ref="A1:DK155"/>
  <sheetViews>
    <sheetView showGridLines="0" zoomScale="70" zoomScaleNormal="70" zoomScaleSheetLayoutView="70" workbookViewId="0">
      <selection sqref="A1:DJ104"/>
    </sheetView>
  </sheetViews>
  <sheetFormatPr defaultColWidth="9.109375" defaultRowHeight="15.6" x14ac:dyDescent="0.25"/>
  <cols>
    <col min="1" max="1" width="2.33203125" style="2" customWidth="1"/>
    <col min="2" max="7" width="5.6640625" style="2" customWidth="1"/>
    <col min="8" max="8" width="6.5546875" style="2" customWidth="1"/>
    <col min="9" max="9" width="5.77734375" style="2" customWidth="1"/>
    <col min="10" max="10" width="7.44140625" style="2" customWidth="1"/>
    <col min="11" max="11" width="5.6640625" style="2" customWidth="1"/>
    <col min="12" max="12" width="9.5546875" style="2" customWidth="1"/>
    <col min="13" max="13" width="14.5546875" style="2" customWidth="1"/>
    <col min="14" max="14" width="9.5546875" style="2" customWidth="1"/>
    <col min="15" max="15" width="7.5546875" style="2" customWidth="1"/>
    <col min="16" max="16" width="9.44140625" style="2" customWidth="1"/>
    <col min="17" max="17" width="16.6640625" style="2" customWidth="1"/>
    <col min="18" max="18" width="5.6640625" style="2" customWidth="1"/>
    <col min="19" max="19" width="14.77734375" style="2" customWidth="1"/>
    <col min="20" max="20" width="5.6640625" style="2" customWidth="1"/>
    <col min="21" max="23" width="7.6640625" style="2" customWidth="1"/>
    <col min="24" max="24" width="16.77734375" style="2" customWidth="1"/>
    <col min="25" max="25" width="7" style="149" customWidth="1"/>
    <col min="26" max="26" width="7.44140625" style="149" customWidth="1"/>
    <col min="27" max="27" width="6.6640625" style="149" customWidth="1"/>
    <col min="28" max="28" width="13.88671875" style="149" customWidth="1"/>
    <col min="29" max="29" width="9.33203125" style="2" customWidth="1"/>
    <col min="30" max="30" width="12.77734375" style="2" customWidth="1"/>
    <col min="31" max="34" width="5.6640625" style="2" customWidth="1"/>
    <col min="35" max="35" width="17.5546875" style="2" customWidth="1"/>
    <col min="36" max="36" width="11.88671875" style="2" customWidth="1"/>
    <col min="37" max="37" width="7.6640625" style="2" customWidth="1"/>
    <col min="38" max="38" width="5.6640625" style="2" customWidth="1"/>
    <col min="39" max="39" width="15.21875" style="2" customWidth="1"/>
    <col min="40" max="41" width="5.6640625" style="2" customWidth="1"/>
    <col min="42" max="42" width="5.88671875" style="2" customWidth="1"/>
    <col min="43" max="43" width="9.88671875" style="2" customWidth="1"/>
    <col min="44" max="44" width="14.77734375" style="2" customWidth="1"/>
    <col min="45" max="49" width="5.6640625" style="2" customWidth="1"/>
    <col min="50" max="50" width="15.21875" style="2" customWidth="1"/>
    <col min="51" max="51" width="7.109375" style="2" customWidth="1"/>
    <col min="52" max="52" width="6.77734375" style="2" customWidth="1"/>
    <col min="53" max="53" width="17.33203125" style="2" customWidth="1"/>
    <col min="54" max="54" width="11.109375" style="2" customWidth="1"/>
    <col min="55" max="55" width="7.5546875" style="2" customWidth="1"/>
    <col min="56" max="56" width="5.6640625" style="2" customWidth="1"/>
    <col min="57" max="57" width="4.88671875" style="2" customWidth="1"/>
    <col min="58" max="58" width="9.44140625" style="2" customWidth="1"/>
    <col min="59" max="59" width="13.21875" style="2" customWidth="1"/>
    <col min="60" max="60" width="5.6640625" style="2" customWidth="1"/>
    <col min="61" max="61" width="17.109375" style="2" customWidth="1"/>
    <col min="62" max="80" width="11.21875" style="2" customWidth="1"/>
    <col min="81" max="81" width="6.44140625" style="149" customWidth="1"/>
    <col min="82" max="82" width="6.88671875" style="149" customWidth="1"/>
    <col min="83" max="83" width="2.44140625" style="2" customWidth="1"/>
    <col min="84" max="85" width="6.44140625" style="2" customWidth="1"/>
    <col min="86" max="86" width="9.109375" style="2" customWidth="1"/>
    <col min="87" max="87" width="9.33203125" style="2" customWidth="1"/>
    <col min="88" max="90" width="6.44140625" style="2" customWidth="1"/>
    <col min="91" max="91" width="8.6640625" style="2" customWidth="1"/>
    <col min="92" max="94" width="6.44140625" style="2" customWidth="1"/>
    <col min="95" max="95" width="9.6640625" style="2" customWidth="1"/>
    <col min="96" max="96" width="6.44140625" style="2" customWidth="1"/>
    <col min="97" max="97" width="6.44140625" style="149" customWidth="1"/>
    <col min="98" max="98" width="6.44140625" style="2" customWidth="1"/>
    <col min="99" max="99" width="6.5546875" style="2" customWidth="1"/>
    <col min="100" max="100" width="9.6640625" style="2" customWidth="1"/>
    <col min="101" max="104" width="6.44140625" style="2" customWidth="1"/>
    <col min="105" max="105" width="9.6640625" style="2" customWidth="1"/>
    <col min="106" max="109" width="6.44140625" style="2" customWidth="1"/>
    <col min="110" max="110" width="10.6640625" style="2" customWidth="1"/>
    <col min="111" max="111" width="6.44140625" style="2" customWidth="1"/>
    <col min="112" max="113" width="6.44140625" style="149" customWidth="1"/>
    <col min="114" max="114" width="2.33203125" style="2" customWidth="1"/>
    <col min="115" max="16384" width="9.109375" style="2"/>
  </cols>
  <sheetData>
    <row r="1" spans="1:115" s="154" customFormat="1" ht="28.5" customHeight="1" x14ac:dyDescent="0.25">
      <c r="A1" s="165"/>
      <c r="B1" s="315" t="s">
        <v>0</v>
      </c>
      <c r="C1" s="315"/>
      <c r="D1" s="315"/>
      <c r="E1" s="315"/>
      <c r="F1" s="181"/>
      <c r="G1" s="181"/>
      <c r="H1" s="182"/>
      <c r="I1" s="365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6"/>
      <c r="BA1" s="366"/>
      <c r="BB1" s="366"/>
      <c r="BC1" s="366"/>
      <c r="BD1" s="366"/>
      <c r="BE1" s="366"/>
      <c r="BF1" s="366"/>
      <c r="BG1" s="366"/>
      <c r="BH1" s="366"/>
      <c r="BI1" s="366"/>
      <c r="BJ1" s="366"/>
      <c r="BK1" s="366"/>
      <c r="BL1" s="366"/>
      <c r="BM1" s="366"/>
      <c r="BN1" s="366"/>
      <c r="BO1" s="366"/>
      <c r="BP1" s="366"/>
      <c r="BQ1" s="366"/>
      <c r="BR1" s="366"/>
      <c r="BS1" s="366"/>
      <c r="BT1" s="366"/>
      <c r="BU1" s="366"/>
      <c r="BV1" s="366"/>
      <c r="BW1" s="366"/>
      <c r="BX1" s="366"/>
      <c r="BY1" s="366"/>
      <c r="BZ1" s="366"/>
      <c r="CA1" s="366"/>
      <c r="CB1" s="366"/>
      <c r="CC1" s="366"/>
      <c r="CD1" s="366"/>
      <c r="CE1" s="366"/>
      <c r="CF1" s="366"/>
      <c r="CG1" s="366"/>
      <c r="CH1" s="366"/>
      <c r="CI1" s="366"/>
      <c r="CJ1" s="366"/>
      <c r="CK1" s="366"/>
      <c r="CL1" s="366"/>
      <c r="CM1" s="366"/>
      <c r="CN1" s="366"/>
      <c r="CO1" s="366"/>
      <c r="CP1" s="366"/>
      <c r="CQ1" s="366"/>
      <c r="CR1" s="366"/>
      <c r="CS1" s="366"/>
      <c r="CT1" s="366"/>
      <c r="CU1" s="366"/>
      <c r="CV1" s="366"/>
      <c r="CW1" s="366"/>
      <c r="CX1" s="366"/>
      <c r="CY1" s="366"/>
      <c r="CZ1" s="366"/>
      <c r="DA1" s="366"/>
      <c r="DB1" s="366"/>
      <c r="DC1" s="366"/>
      <c r="DD1" s="366"/>
      <c r="DE1" s="366"/>
      <c r="DF1" s="366"/>
      <c r="DG1" s="366"/>
      <c r="DH1" s="366"/>
      <c r="DI1" s="366"/>
      <c r="DJ1" s="367"/>
    </row>
    <row r="2" spans="1:115" s="154" customFormat="1" ht="25.5" customHeight="1" x14ac:dyDescent="0.25">
      <c r="A2" s="183"/>
      <c r="H2" s="184"/>
      <c r="I2" s="368" t="s">
        <v>2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69"/>
      <c r="BV2" s="369"/>
      <c r="BW2" s="369"/>
      <c r="BX2" s="369"/>
      <c r="BY2" s="369"/>
      <c r="BZ2" s="369"/>
      <c r="CA2" s="369"/>
      <c r="CB2" s="369"/>
      <c r="CC2" s="369"/>
      <c r="CD2" s="369"/>
      <c r="CE2" s="369"/>
      <c r="CF2" s="369"/>
      <c r="CG2" s="369"/>
      <c r="CH2" s="369"/>
      <c r="CI2" s="369"/>
      <c r="CJ2" s="369"/>
      <c r="CK2" s="369"/>
      <c r="CL2" s="369"/>
      <c r="CM2" s="369"/>
      <c r="CN2" s="369"/>
      <c r="CO2" s="369"/>
      <c r="CP2" s="369"/>
      <c r="CQ2" s="369"/>
      <c r="CR2" s="369"/>
      <c r="CS2" s="369"/>
      <c r="CT2" s="369"/>
      <c r="CU2" s="369"/>
      <c r="CV2" s="369"/>
      <c r="CW2" s="369"/>
      <c r="CX2" s="369"/>
      <c r="CY2" s="369"/>
      <c r="CZ2" s="369"/>
      <c r="DA2" s="369"/>
      <c r="DB2" s="369"/>
      <c r="DC2" s="369"/>
      <c r="DD2" s="369"/>
      <c r="DE2" s="369"/>
      <c r="DF2" s="369"/>
      <c r="DG2" s="369"/>
      <c r="DH2" s="369"/>
      <c r="DI2" s="369"/>
      <c r="DJ2" s="370"/>
    </row>
    <row r="3" spans="1:115" s="155" customFormat="1" ht="25.5" customHeight="1" thickBot="1" x14ac:dyDescent="0.3">
      <c r="A3" s="185"/>
      <c r="H3" s="186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/>
      <c r="CR3" s="160"/>
      <c r="CS3" s="160"/>
      <c r="CT3" s="160"/>
      <c r="CU3" s="160"/>
      <c r="CV3" s="160"/>
      <c r="CW3" s="160"/>
      <c r="CX3" s="160"/>
      <c r="CY3" s="160"/>
      <c r="CZ3" s="160"/>
      <c r="DA3" s="160"/>
      <c r="DB3" s="160"/>
      <c r="DC3" s="160"/>
      <c r="DD3" s="160"/>
      <c r="DE3" s="160"/>
      <c r="DF3" s="160"/>
      <c r="DG3" s="160"/>
      <c r="DH3" s="160"/>
      <c r="DI3" s="160"/>
      <c r="DJ3" s="187"/>
    </row>
    <row r="4" spans="1:115" s="154" customFormat="1" ht="16.5" customHeight="1" x14ac:dyDescent="0.25">
      <c r="A4" s="183"/>
      <c r="H4" s="184"/>
      <c r="T4" s="188"/>
      <c r="U4" s="189"/>
      <c r="V4" s="189"/>
      <c r="W4" s="189"/>
      <c r="X4" s="189"/>
      <c r="Y4" s="190"/>
      <c r="Z4" s="190"/>
      <c r="AA4" s="190"/>
      <c r="AB4" s="190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89"/>
      <c r="BP4" s="189"/>
      <c r="BQ4" s="189"/>
      <c r="BR4" s="189"/>
      <c r="BS4" s="189"/>
      <c r="BT4" s="191"/>
      <c r="CC4" s="155"/>
      <c r="CD4" s="155"/>
      <c r="CS4" s="155"/>
      <c r="DH4" s="155"/>
      <c r="DI4" s="155"/>
      <c r="DJ4" s="192"/>
    </row>
    <row r="5" spans="1:115" s="154" customFormat="1" ht="16.5" customHeight="1" x14ac:dyDescent="0.25">
      <c r="A5" s="183"/>
      <c r="H5" s="184"/>
      <c r="T5" s="193"/>
      <c r="U5" s="334" t="s">
        <v>265</v>
      </c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4"/>
      <c r="AK5" s="334"/>
      <c r="AL5" s="334"/>
      <c r="AM5" s="334"/>
      <c r="AN5" s="334"/>
      <c r="AO5" s="334"/>
      <c r="AP5" s="334"/>
      <c r="AQ5" s="334"/>
      <c r="AR5" s="334"/>
      <c r="AS5" s="334"/>
      <c r="AT5" s="334"/>
      <c r="AU5" s="334"/>
      <c r="AV5" s="334"/>
      <c r="AW5" s="334"/>
      <c r="AX5" s="334"/>
      <c r="AY5" s="334"/>
      <c r="AZ5" s="334"/>
      <c r="BA5" s="334"/>
      <c r="BB5" s="334"/>
      <c r="BC5" s="334"/>
      <c r="BD5" s="334"/>
      <c r="BE5" s="334"/>
      <c r="BF5" s="334"/>
      <c r="BG5" s="334"/>
      <c r="BH5" s="334"/>
      <c r="BI5" s="334"/>
      <c r="BJ5" s="334"/>
      <c r="BK5" s="334"/>
      <c r="BL5" s="334"/>
      <c r="BM5" s="334"/>
      <c r="BN5" s="334"/>
      <c r="BO5" s="334"/>
      <c r="BP5" s="334"/>
      <c r="BQ5" s="334"/>
      <c r="BR5" s="334"/>
      <c r="BS5" s="334"/>
      <c r="BT5" s="194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  <c r="DF5" s="195"/>
      <c r="DG5" s="195"/>
      <c r="DH5" s="195"/>
      <c r="DI5" s="195"/>
      <c r="DJ5" s="196"/>
      <c r="DK5" s="155"/>
    </row>
    <row r="6" spans="1:115" s="154" customFormat="1" ht="16.5" customHeight="1" x14ac:dyDescent="0.25">
      <c r="A6" s="183"/>
      <c r="H6" s="184"/>
      <c r="T6" s="193"/>
      <c r="U6" s="334"/>
      <c r="V6" s="334"/>
      <c r="W6" s="334"/>
      <c r="X6" s="334"/>
      <c r="Y6" s="334"/>
      <c r="Z6" s="334"/>
      <c r="AA6" s="334"/>
      <c r="AB6" s="334"/>
      <c r="AC6" s="334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334"/>
      <c r="AO6" s="334"/>
      <c r="AP6" s="334"/>
      <c r="AQ6" s="334"/>
      <c r="AR6" s="334"/>
      <c r="AS6" s="334"/>
      <c r="AT6" s="334"/>
      <c r="AU6" s="334"/>
      <c r="AV6" s="334"/>
      <c r="AW6" s="334"/>
      <c r="AX6" s="334"/>
      <c r="AY6" s="334"/>
      <c r="AZ6" s="334"/>
      <c r="BA6" s="334"/>
      <c r="BB6" s="334"/>
      <c r="BC6" s="334"/>
      <c r="BD6" s="334"/>
      <c r="BE6" s="334"/>
      <c r="BF6" s="334"/>
      <c r="BG6" s="334"/>
      <c r="BH6" s="334"/>
      <c r="BI6" s="334"/>
      <c r="BJ6" s="334"/>
      <c r="BK6" s="334"/>
      <c r="BL6" s="334"/>
      <c r="BM6" s="334"/>
      <c r="BN6" s="334"/>
      <c r="BO6" s="334"/>
      <c r="BP6" s="334"/>
      <c r="BQ6" s="334"/>
      <c r="BR6" s="334"/>
      <c r="BS6" s="334"/>
      <c r="BT6" s="194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  <c r="CY6" s="195"/>
      <c r="CZ6" s="195"/>
      <c r="DA6" s="195"/>
      <c r="DB6" s="195"/>
      <c r="DC6" s="195"/>
      <c r="DD6" s="195"/>
      <c r="DE6" s="195"/>
      <c r="DF6" s="195"/>
      <c r="DG6" s="195"/>
      <c r="DH6" s="195"/>
      <c r="DI6" s="195"/>
      <c r="DJ6" s="196"/>
      <c r="DK6" s="155"/>
    </row>
    <row r="7" spans="1:115" s="154" customFormat="1" ht="16.5" customHeight="1" x14ac:dyDescent="0.25">
      <c r="A7" s="183"/>
      <c r="H7" s="184"/>
      <c r="T7" s="193"/>
      <c r="Y7" s="155"/>
      <c r="AV7" s="155"/>
      <c r="AW7" s="155"/>
      <c r="AX7" s="155"/>
      <c r="AZ7" s="156"/>
      <c r="BS7" s="155"/>
      <c r="BT7" s="197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  <c r="CJ7" s="155"/>
      <c r="CK7" s="155"/>
      <c r="CL7" s="155"/>
      <c r="CM7" s="155"/>
      <c r="CN7" s="155"/>
      <c r="CO7" s="155"/>
      <c r="CP7" s="155"/>
      <c r="CQ7" s="155"/>
      <c r="CR7" s="155"/>
      <c r="CS7" s="155"/>
      <c r="CT7" s="155"/>
      <c r="CU7" s="155"/>
      <c r="CV7" s="155"/>
      <c r="CW7" s="155"/>
      <c r="CX7" s="155"/>
      <c r="CY7" s="155"/>
      <c r="CZ7" s="155"/>
      <c r="DA7" s="155"/>
      <c r="DB7" s="155"/>
      <c r="DC7" s="155"/>
      <c r="DD7" s="155"/>
      <c r="DE7" s="155"/>
      <c r="DF7" s="155"/>
      <c r="DG7" s="155"/>
      <c r="DH7" s="155"/>
      <c r="DI7" s="155"/>
      <c r="DJ7" s="196"/>
      <c r="DK7" s="155"/>
    </row>
    <row r="8" spans="1:115" s="154" customFormat="1" ht="16.5" customHeight="1" x14ac:dyDescent="0.25">
      <c r="A8" s="156"/>
      <c r="H8" s="184"/>
      <c r="L8" s="155"/>
      <c r="M8" s="155"/>
      <c r="N8" s="155"/>
      <c r="O8" s="155"/>
      <c r="P8" s="155"/>
      <c r="Q8" s="155"/>
      <c r="R8" s="155"/>
      <c r="S8" s="155"/>
      <c r="T8" s="198"/>
      <c r="U8" s="155"/>
      <c r="V8" s="155"/>
      <c r="W8" s="155"/>
      <c r="X8" s="155"/>
      <c r="Y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Z8" s="156"/>
      <c r="BA8" s="155"/>
      <c r="BB8" s="155"/>
      <c r="BC8" s="155"/>
      <c r="BD8" s="155"/>
      <c r="BE8" s="155"/>
      <c r="BF8" s="155"/>
      <c r="BG8" s="155"/>
      <c r="BH8" s="155"/>
      <c r="BI8" s="155"/>
      <c r="BT8" s="199"/>
      <c r="CC8" s="155"/>
      <c r="CD8" s="155"/>
      <c r="CS8" s="155"/>
      <c r="DH8" s="155"/>
      <c r="DI8" s="155"/>
      <c r="DJ8" s="192"/>
    </row>
    <row r="9" spans="1:115" s="154" customFormat="1" ht="29.4" customHeight="1" x14ac:dyDescent="0.25">
      <c r="A9" s="183"/>
      <c r="B9" s="314" t="s">
        <v>6</v>
      </c>
      <c r="C9" s="314"/>
      <c r="D9" s="314"/>
      <c r="E9" s="314"/>
      <c r="F9" s="314"/>
      <c r="H9" s="184"/>
      <c r="L9" s="155"/>
      <c r="M9" s="155"/>
      <c r="N9" s="155"/>
      <c r="O9" s="155"/>
      <c r="P9" s="155"/>
      <c r="Q9" s="155"/>
      <c r="R9" s="155"/>
      <c r="S9" s="155"/>
      <c r="T9" s="198"/>
      <c r="U9" s="155"/>
      <c r="V9" s="155"/>
      <c r="W9" s="155"/>
      <c r="X9" s="155"/>
      <c r="Y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318">
        <v>1</v>
      </c>
      <c r="AX9" s="326" t="s">
        <v>254</v>
      </c>
      <c r="AY9" s="326"/>
      <c r="AZ9" s="326"/>
      <c r="BA9" s="326"/>
      <c r="BB9" s="326"/>
      <c r="BC9" s="327"/>
      <c r="BD9" s="155"/>
      <c r="BE9" s="155"/>
      <c r="BF9" s="155"/>
      <c r="BG9" s="155"/>
      <c r="BH9" s="155"/>
      <c r="BI9" s="155"/>
      <c r="BT9" s="199"/>
      <c r="CC9" s="155"/>
      <c r="CD9" s="155"/>
      <c r="CS9" s="155"/>
      <c r="DH9" s="155"/>
      <c r="DI9" s="155"/>
      <c r="DJ9" s="192"/>
    </row>
    <row r="10" spans="1:115" s="154" customFormat="1" ht="29.4" customHeight="1" x14ac:dyDescent="0.25">
      <c r="A10" s="156"/>
      <c r="B10" s="153"/>
      <c r="C10" s="153"/>
      <c r="D10" s="153"/>
      <c r="E10" s="153"/>
      <c r="F10" s="153"/>
      <c r="H10" s="184"/>
      <c r="L10" s="155"/>
      <c r="M10" s="155"/>
      <c r="N10" s="155"/>
      <c r="O10" s="155"/>
      <c r="P10" s="155"/>
      <c r="Q10" s="155"/>
      <c r="R10" s="155"/>
      <c r="S10" s="155"/>
      <c r="T10" s="198"/>
      <c r="U10" s="155"/>
      <c r="V10" s="155"/>
      <c r="W10" s="155"/>
      <c r="X10" s="155"/>
      <c r="Y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319"/>
      <c r="AX10" s="320"/>
      <c r="AY10" s="321"/>
      <c r="AZ10" s="321"/>
      <c r="BA10" s="321"/>
      <c r="BB10" s="321"/>
      <c r="BC10" s="322"/>
      <c r="BD10" s="155"/>
      <c r="BE10" s="155"/>
      <c r="BF10" s="155"/>
      <c r="BG10" s="155"/>
      <c r="BH10" s="155"/>
      <c r="BI10" s="155"/>
      <c r="BT10" s="199"/>
      <c r="CC10" s="155"/>
      <c r="CD10" s="155"/>
      <c r="CS10" s="155"/>
      <c r="DH10" s="155"/>
      <c r="DI10" s="155"/>
      <c r="DJ10" s="192"/>
    </row>
    <row r="11" spans="1:115" s="154" customFormat="1" ht="18" customHeight="1" x14ac:dyDescent="0.4">
      <c r="A11" s="183"/>
      <c r="H11" s="184"/>
      <c r="L11" s="155"/>
      <c r="M11" s="155"/>
      <c r="N11" s="155"/>
      <c r="O11" s="155"/>
      <c r="P11" s="155"/>
      <c r="Q11" s="155"/>
      <c r="R11" s="155"/>
      <c r="S11" s="155"/>
      <c r="T11" s="198"/>
      <c r="U11" s="155"/>
      <c r="V11" s="157"/>
      <c r="W11" s="157"/>
      <c r="X11" s="158"/>
      <c r="Y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307">
        <f>AA17+AH17+AP17+AY17+BF17+BL17+BQ17</f>
        <v>9</v>
      </c>
      <c r="AX11" s="458" t="s">
        <v>264</v>
      </c>
      <c r="AY11" s="459"/>
      <c r="AZ11" s="459"/>
      <c r="BA11" s="459"/>
      <c r="BB11" s="460"/>
      <c r="BC11" s="461"/>
      <c r="BD11" s="158"/>
      <c r="BE11" s="158"/>
      <c r="BF11" s="158"/>
      <c r="BG11" s="158"/>
      <c r="BH11" s="155"/>
      <c r="BI11" s="155"/>
      <c r="BT11" s="199"/>
      <c r="CC11" s="155"/>
      <c r="CD11" s="155"/>
      <c r="CS11" s="155"/>
      <c r="DH11" s="155"/>
      <c r="DI11" s="155"/>
      <c r="DJ11" s="192"/>
    </row>
    <row r="12" spans="1:115" s="154" customFormat="1" ht="16.5" customHeight="1" x14ac:dyDescent="0.4">
      <c r="A12" s="183"/>
      <c r="H12" s="184"/>
      <c r="L12" s="155"/>
      <c r="M12" s="155"/>
      <c r="N12" s="155"/>
      <c r="O12" s="155"/>
      <c r="P12" s="155"/>
      <c r="Q12" s="155"/>
      <c r="R12" s="155"/>
      <c r="S12" s="155"/>
      <c r="T12" s="198"/>
      <c r="U12" s="155"/>
      <c r="V12" s="160"/>
      <c r="W12" s="160"/>
      <c r="X12" s="155"/>
      <c r="Y12" s="155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5"/>
      <c r="AY12" s="152"/>
      <c r="AZ12" s="152"/>
      <c r="BA12" s="309"/>
      <c r="BB12" s="158"/>
      <c r="BC12" s="158"/>
      <c r="BD12" s="158"/>
      <c r="BE12" s="158"/>
      <c r="BF12" s="158"/>
      <c r="BG12" s="158"/>
      <c r="BH12" s="155"/>
      <c r="BI12" s="155"/>
      <c r="BT12" s="199"/>
      <c r="CC12" s="155"/>
      <c r="CD12" s="155"/>
      <c r="CS12" s="155"/>
      <c r="DH12" s="155"/>
      <c r="DI12" s="155"/>
      <c r="DJ12" s="192"/>
    </row>
    <row r="13" spans="1:115" s="154" customFormat="1" ht="16.5" customHeight="1" x14ac:dyDescent="0.4">
      <c r="A13" s="156"/>
      <c r="H13" s="184"/>
      <c r="L13" s="155"/>
      <c r="M13" s="155"/>
      <c r="N13" s="155"/>
      <c r="O13" s="155"/>
      <c r="P13" s="155"/>
      <c r="Q13" s="155"/>
      <c r="R13" s="155"/>
      <c r="S13" s="155"/>
      <c r="T13" s="198"/>
      <c r="U13" s="155"/>
      <c r="V13" s="160"/>
      <c r="W13" s="160"/>
      <c r="X13" s="155"/>
      <c r="Y13" s="155"/>
      <c r="AB13" s="162"/>
      <c r="AC13" s="162"/>
      <c r="AD13" s="162"/>
      <c r="AE13" s="162"/>
      <c r="AF13" s="162"/>
      <c r="AG13" s="162"/>
      <c r="AJ13" s="162"/>
      <c r="AK13" s="162"/>
      <c r="AL13" s="163"/>
      <c r="AM13" s="163"/>
      <c r="AN13" s="163"/>
      <c r="AO13" s="163"/>
      <c r="AP13" s="163"/>
      <c r="AQ13" s="158"/>
      <c r="AR13" s="158"/>
      <c r="AS13" s="163"/>
      <c r="AT13" s="163"/>
      <c r="AU13" s="163"/>
      <c r="AV13" s="164"/>
      <c r="AW13" s="162"/>
      <c r="AX13" s="162"/>
      <c r="AY13" s="310"/>
      <c r="AZ13" s="310"/>
      <c r="BA13" s="163"/>
      <c r="BB13" s="158"/>
      <c r="BC13" s="158"/>
      <c r="BD13" s="158"/>
      <c r="BE13" s="158"/>
      <c r="BF13" s="158"/>
      <c r="BG13" s="158"/>
      <c r="BH13" s="155"/>
      <c r="BI13" s="155"/>
      <c r="BT13" s="199"/>
      <c r="CC13" s="155"/>
      <c r="CD13" s="155"/>
      <c r="CS13" s="155"/>
      <c r="DH13" s="155"/>
      <c r="DI13" s="155"/>
      <c r="DJ13" s="192"/>
    </row>
    <row r="14" spans="1:115" s="154" customFormat="1" ht="16.5" customHeight="1" x14ac:dyDescent="0.4">
      <c r="A14" s="156"/>
      <c r="H14" s="184"/>
      <c r="L14" s="155"/>
      <c r="M14" s="155"/>
      <c r="N14" s="155"/>
      <c r="O14" s="155"/>
      <c r="P14" s="155"/>
      <c r="Q14" s="155"/>
      <c r="R14" s="155"/>
      <c r="S14" s="155"/>
      <c r="T14" s="198"/>
      <c r="U14" s="155"/>
      <c r="V14" s="160"/>
      <c r="W14" s="160"/>
      <c r="X14" s="155"/>
      <c r="Y14" s="155"/>
      <c r="AH14" s="181"/>
      <c r="AI14" s="181"/>
      <c r="AL14" s="158"/>
      <c r="AM14" s="158"/>
      <c r="AN14" s="158"/>
      <c r="AO14" s="158"/>
      <c r="AP14" s="158"/>
      <c r="AQ14" s="309"/>
      <c r="AR14" s="309"/>
      <c r="AS14" s="158"/>
      <c r="AT14" s="158"/>
      <c r="AU14" s="158"/>
      <c r="AV14" s="155"/>
      <c r="AY14" s="161"/>
      <c r="AZ14" s="172"/>
      <c r="BA14" s="311"/>
      <c r="BB14" s="167"/>
      <c r="BC14" s="167"/>
      <c r="BD14" s="167"/>
      <c r="BE14" s="167"/>
      <c r="BF14" s="309"/>
      <c r="BG14" s="309"/>
      <c r="BH14" s="168"/>
      <c r="BI14" s="168"/>
      <c r="BJ14" s="169"/>
      <c r="BK14" s="169"/>
      <c r="BL14" s="309"/>
      <c r="BM14" s="309"/>
      <c r="BN14" s="168"/>
      <c r="BO14" s="169"/>
      <c r="BP14" s="169"/>
      <c r="BQ14" s="309"/>
      <c r="BR14" s="309"/>
      <c r="BS14" s="155"/>
      <c r="BT14" s="199"/>
      <c r="CC14" s="155"/>
      <c r="CD14" s="155"/>
      <c r="CS14" s="155"/>
      <c r="DH14" s="155"/>
      <c r="DI14" s="155"/>
      <c r="DJ14" s="192"/>
    </row>
    <row r="15" spans="1:115" s="154" customFormat="1" ht="16.2" customHeight="1" x14ac:dyDescent="0.4">
      <c r="A15" s="156"/>
      <c r="H15" s="184"/>
      <c r="L15" s="155"/>
      <c r="M15" s="155"/>
      <c r="N15" s="155"/>
      <c r="O15" s="155"/>
      <c r="P15" s="155"/>
      <c r="Q15" s="155"/>
      <c r="R15" s="155"/>
      <c r="S15" s="155"/>
      <c r="T15" s="198"/>
      <c r="U15" s="155"/>
      <c r="V15" s="160"/>
      <c r="W15" s="160"/>
      <c r="X15" s="155"/>
      <c r="Y15" s="155"/>
      <c r="AA15" s="162"/>
      <c r="AB15" s="162"/>
      <c r="AC15" s="162"/>
      <c r="AH15" s="162"/>
      <c r="AI15" s="162"/>
      <c r="AL15" s="158"/>
      <c r="AM15" s="158"/>
      <c r="AN15" s="158"/>
      <c r="AO15" s="158"/>
      <c r="AP15" s="158"/>
      <c r="AQ15" s="163"/>
      <c r="AR15" s="163"/>
      <c r="AS15" s="158"/>
      <c r="AT15" s="158"/>
      <c r="AU15" s="158"/>
      <c r="AV15" s="155"/>
      <c r="AY15" s="161"/>
      <c r="AZ15" s="172"/>
      <c r="BA15" s="158"/>
      <c r="BB15" s="158"/>
      <c r="BC15" s="158"/>
      <c r="BD15" s="158"/>
      <c r="BE15" s="158"/>
      <c r="BF15" s="163"/>
      <c r="BG15" s="163"/>
      <c r="BH15" s="155"/>
      <c r="BI15" s="155"/>
      <c r="BL15" s="163"/>
      <c r="BM15" s="163"/>
      <c r="BN15" s="155"/>
      <c r="BQ15" s="163"/>
      <c r="BR15" s="163"/>
      <c r="BS15" s="155"/>
      <c r="BT15" s="199"/>
      <c r="CC15" s="155"/>
      <c r="CD15" s="155"/>
      <c r="CS15" s="155"/>
      <c r="DH15" s="155"/>
      <c r="DI15" s="155"/>
      <c r="DJ15" s="192"/>
    </row>
    <row r="16" spans="1:115" s="154" customFormat="1" ht="22.2" customHeight="1" x14ac:dyDescent="0.4">
      <c r="A16" s="156"/>
      <c r="H16" s="184"/>
      <c r="L16" s="155"/>
      <c r="M16" s="155"/>
      <c r="N16" s="155"/>
      <c r="O16" s="155"/>
      <c r="P16" s="155"/>
      <c r="Q16" s="155"/>
      <c r="R16" s="155"/>
      <c r="S16" s="155"/>
      <c r="T16" s="198"/>
      <c r="U16" s="155"/>
      <c r="V16" s="160"/>
      <c r="W16" s="160"/>
      <c r="X16" s="155"/>
      <c r="Y16" s="155"/>
      <c r="AA16" s="340" t="s">
        <v>259</v>
      </c>
      <c r="AB16" s="341"/>
      <c r="AC16" s="347"/>
      <c r="AH16" s="340" t="s">
        <v>258</v>
      </c>
      <c r="AI16" s="341"/>
      <c r="AJ16" s="342"/>
      <c r="AL16" s="158"/>
      <c r="AM16" s="158"/>
      <c r="AN16" s="158"/>
      <c r="AO16" s="158"/>
      <c r="AP16" s="345" t="s">
        <v>260</v>
      </c>
      <c r="AQ16" s="341"/>
      <c r="AR16" s="347"/>
      <c r="AS16" s="158"/>
      <c r="AT16" s="158"/>
      <c r="AU16" s="158"/>
      <c r="AV16" s="155"/>
      <c r="AY16" s="335" t="s">
        <v>256</v>
      </c>
      <c r="AZ16" s="336"/>
      <c r="BA16" s="337"/>
      <c r="BB16" s="158"/>
      <c r="BC16" s="158"/>
      <c r="BD16" s="158"/>
      <c r="BE16" s="158"/>
      <c r="BF16" s="340" t="s">
        <v>261</v>
      </c>
      <c r="BG16" s="341"/>
      <c r="BH16" s="342"/>
      <c r="BI16" s="155"/>
      <c r="BL16" s="345" t="s">
        <v>262</v>
      </c>
      <c r="BM16" s="346"/>
      <c r="BN16" s="342"/>
      <c r="BQ16" s="345" t="s">
        <v>263</v>
      </c>
      <c r="BR16" s="346"/>
      <c r="BS16" s="342"/>
      <c r="BT16" s="199"/>
      <c r="CC16" s="155"/>
      <c r="CD16" s="155"/>
      <c r="CS16" s="155"/>
      <c r="DH16" s="155"/>
      <c r="DI16" s="155"/>
      <c r="DJ16" s="192"/>
    </row>
    <row r="17" spans="1:114" s="161" customFormat="1" ht="16.5" customHeight="1" x14ac:dyDescent="0.4">
      <c r="A17" s="278"/>
      <c r="H17" s="266"/>
      <c r="L17" s="158"/>
      <c r="M17" s="158"/>
      <c r="N17" s="158"/>
      <c r="O17" s="158"/>
      <c r="P17" s="158"/>
      <c r="Q17" s="158"/>
      <c r="R17" s="158"/>
      <c r="S17" s="158"/>
      <c r="T17" s="279"/>
      <c r="U17" s="158"/>
      <c r="V17" s="280"/>
      <c r="W17" s="280"/>
      <c r="X17" s="158"/>
      <c r="Y17" s="158"/>
      <c r="AA17" s="277">
        <v>1</v>
      </c>
      <c r="AB17" s="343"/>
      <c r="AC17" s="344"/>
      <c r="AH17" s="277">
        <v>1</v>
      </c>
      <c r="AI17" s="343"/>
      <c r="AJ17" s="344"/>
      <c r="AL17" s="158"/>
      <c r="AM17" s="158"/>
      <c r="AN17" s="158"/>
      <c r="AO17" s="158"/>
      <c r="AP17" s="277">
        <v>1</v>
      </c>
      <c r="AQ17" s="343"/>
      <c r="AR17" s="344"/>
      <c r="AS17" s="158"/>
      <c r="AT17" s="158"/>
      <c r="AU17" s="158"/>
      <c r="AV17" s="158"/>
      <c r="AY17" s="281">
        <v>2</v>
      </c>
      <c r="AZ17" s="338" t="s">
        <v>257</v>
      </c>
      <c r="BA17" s="339"/>
      <c r="BB17" s="158"/>
      <c r="BC17" s="158"/>
      <c r="BD17" s="158"/>
      <c r="BE17" s="158"/>
      <c r="BF17" s="277">
        <v>1</v>
      </c>
      <c r="BG17" s="343"/>
      <c r="BH17" s="344"/>
      <c r="BI17" s="158"/>
      <c r="BL17" s="277">
        <v>1</v>
      </c>
      <c r="BM17" s="343"/>
      <c r="BN17" s="344"/>
      <c r="BQ17" s="277">
        <v>2</v>
      </c>
      <c r="BR17" s="343"/>
      <c r="BS17" s="344"/>
      <c r="BT17" s="282"/>
      <c r="CC17" s="158"/>
      <c r="CD17" s="158"/>
      <c r="CS17" s="158"/>
      <c r="DH17" s="158"/>
      <c r="DI17" s="158"/>
      <c r="DJ17" s="267"/>
    </row>
    <row r="18" spans="1:114" s="154" customFormat="1" ht="16.5" customHeight="1" x14ac:dyDescent="0.4">
      <c r="A18" s="156"/>
      <c r="H18" s="184"/>
      <c r="L18" s="155"/>
      <c r="M18" s="155"/>
      <c r="N18" s="155"/>
      <c r="O18" s="155"/>
      <c r="P18" s="155"/>
      <c r="Q18" s="155"/>
      <c r="R18" s="155"/>
      <c r="S18" s="155"/>
      <c r="T18" s="198"/>
      <c r="U18" s="155"/>
      <c r="V18" s="160"/>
      <c r="W18" s="160"/>
      <c r="X18" s="155"/>
      <c r="Y18" s="155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5"/>
      <c r="AY18" s="161"/>
      <c r="AZ18" s="166"/>
      <c r="BA18" s="158"/>
      <c r="BB18" s="158"/>
      <c r="BC18" s="158"/>
      <c r="BD18" s="158"/>
      <c r="BE18" s="158"/>
      <c r="BF18" s="158"/>
      <c r="BG18" s="158"/>
      <c r="BH18" s="155"/>
      <c r="BI18" s="155"/>
      <c r="BT18" s="199"/>
      <c r="CC18" s="155"/>
      <c r="CD18" s="155"/>
      <c r="CS18" s="155"/>
      <c r="DH18" s="155"/>
      <c r="DI18" s="155"/>
      <c r="DJ18" s="192"/>
    </row>
    <row r="19" spans="1:114" s="154" customFormat="1" ht="16.5" customHeight="1" x14ac:dyDescent="0.4">
      <c r="A19" s="156"/>
      <c r="H19" s="184"/>
      <c r="L19" s="155"/>
      <c r="M19" s="155"/>
      <c r="N19" s="155"/>
      <c r="O19" s="155"/>
      <c r="P19" s="155"/>
      <c r="Q19" s="155"/>
      <c r="R19" s="155"/>
      <c r="S19" s="155"/>
      <c r="T19" s="198"/>
      <c r="U19" s="155"/>
      <c r="V19" s="160"/>
      <c r="W19" s="160"/>
      <c r="X19" s="155"/>
      <c r="Y19" s="155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5"/>
      <c r="AY19" s="161"/>
      <c r="AZ19" s="172"/>
      <c r="BA19" s="158"/>
      <c r="BB19" s="158"/>
      <c r="BC19" s="158"/>
      <c r="BD19" s="158"/>
      <c r="BE19" s="158"/>
      <c r="BF19" s="158"/>
      <c r="BG19" s="158"/>
      <c r="BH19" s="155"/>
      <c r="BI19" s="155"/>
      <c r="BT19" s="199"/>
      <c r="CC19" s="155"/>
      <c r="CD19" s="155"/>
      <c r="CS19" s="155"/>
      <c r="DH19" s="155"/>
      <c r="DI19" s="155"/>
      <c r="DJ19" s="192"/>
    </row>
    <row r="20" spans="1:114" s="154" customFormat="1" ht="16.5" customHeight="1" thickBot="1" x14ac:dyDescent="0.45">
      <c r="A20" s="156"/>
      <c r="H20" s="184"/>
      <c r="L20" s="155"/>
      <c r="M20" s="155"/>
      <c r="N20" s="155"/>
      <c r="O20" s="155"/>
      <c r="P20" s="155"/>
      <c r="Q20" s="155"/>
      <c r="R20" s="155"/>
      <c r="S20" s="155"/>
      <c r="T20" s="200"/>
      <c r="U20" s="175"/>
      <c r="V20" s="176"/>
      <c r="W20" s="176"/>
      <c r="X20" s="175"/>
      <c r="Y20" s="175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5"/>
      <c r="AW20" s="177"/>
      <c r="AX20" s="177"/>
      <c r="AY20" s="179"/>
      <c r="AZ20" s="180"/>
      <c r="BA20" s="178"/>
      <c r="BB20" s="178"/>
      <c r="BC20" s="178"/>
      <c r="BD20" s="178"/>
      <c r="BE20" s="178"/>
      <c r="BF20" s="178"/>
      <c r="BG20" s="178"/>
      <c r="BH20" s="175"/>
      <c r="BI20" s="175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201"/>
      <c r="CC20" s="155"/>
      <c r="CD20" s="155"/>
      <c r="CS20" s="155"/>
      <c r="DH20" s="155"/>
      <c r="DI20" s="155"/>
      <c r="DJ20" s="192"/>
    </row>
    <row r="21" spans="1:114" s="154" customFormat="1" ht="16.5" customHeight="1" x14ac:dyDescent="0.4">
      <c r="A21" s="156"/>
      <c r="H21" s="184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60"/>
      <c r="W21" s="160"/>
      <c r="X21" s="155"/>
      <c r="Y21" s="155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5"/>
      <c r="AY21" s="161"/>
      <c r="AZ21" s="172"/>
      <c r="BA21" s="158"/>
      <c r="BB21" s="158"/>
      <c r="BC21" s="158"/>
      <c r="BD21" s="158"/>
      <c r="BE21" s="158"/>
      <c r="BF21" s="158"/>
      <c r="BG21" s="158"/>
      <c r="BH21" s="155"/>
      <c r="BI21" s="155"/>
      <c r="CC21" s="155"/>
      <c r="CD21" s="155"/>
      <c r="CS21" s="155"/>
      <c r="DH21" s="155"/>
      <c r="DI21" s="155"/>
      <c r="DJ21" s="192"/>
    </row>
    <row r="22" spans="1:114" s="154" customFormat="1" ht="16.5" customHeight="1" x14ac:dyDescent="0.25">
      <c r="A22" s="183"/>
      <c r="H22" s="184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64"/>
      <c r="AZ22" s="202"/>
      <c r="BA22" s="164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Q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DH22" s="155"/>
      <c r="DI22" s="155"/>
      <c r="DJ22" s="192"/>
    </row>
    <row r="23" spans="1:114" s="154" customFormat="1" ht="16.5" customHeight="1" thickBot="1" x14ac:dyDescent="0.45">
      <c r="A23" s="203"/>
      <c r="H23" s="184"/>
      <c r="K23" s="204"/>
      <c r="L23" s="204"/>
      <c r="N23" s="155"/>
      <c r="O23" s="155"/>
      <c r="P23" s="155"/>
      <c r="Q23" s="155"/>
      <c r="R23" s="155"/>
      <c r="S23" s="155"/>
      <c r="T23" s="155"/>
      <c r="U23" s="155"/>
      <c r="V23" s="345" t="s">
        <v>29</v>
      </c>
      <c r="W23" s="346"/>
      <c r="X23" s="342"/>
      <c r="Y23" s="205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7"/>
      <c r="AW23" s="207"/>
      <c r="AX23" s="207"/>
      <c r="AY23" s="157"/>
      <c r="AZ23" s="158"/>
      <c r="BA23" s="161"/>
      <c r="BB23" s="206"/>
      <c r="BC23" s="206"/>
      <c r="BD23" s="169"/>
      <c r="BE23" s="169"/>
      <c r="BF23" s="169"/>
      <c r="BG23" s="169"/>
      <c r="BH23" s="168"/>
      <c r="BI23" s="168"/>
      <c r="BJ23" s="168"/>
      <c r="BK23" s="169"/>
      <c r="BL23" s="169"/>
      <c r="BM23" s="170"/>
      <c r="BN23" s="345" t="s">
        <v>29</v>
      </c>
      <c r="BO23" s="346"/>
      <c r="BP23" s="346"/>
      <c r="BQ23" s="346"/>
      <c r="BR23" s="342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DH23" s="155"/>
      <c r="DI23" s="155"/>
      <c r="DJ23" s="192"/>
    </row>
    <row r="24" spans="1:114" s="161" customFormat="1" ht="16.5" customHeight="1" thickTop="1" x14ac:dyDescent="0.4">
      <c r="A24" s="283"/>
      <c r="B24" s="284"/>
      <c r="C24" s="284"/>
      <c r="D24" s="284"/>
      <c r="E24" s="284"/>
      <c r="F24" s="285"/>
      <c r="H24" s="266"/>
      <c r="K24" s="286"/>
      <c r="L24" s="286"/>
      <c r="N24" s="158"/>
      <c r="O24" s="158"/>
      <c r="P24" s="158"/>
      <c r="Q24" s="158"/>
      <c r="R24" s="158"/>
      <c r="S24" s="158"/>
      <c r="T24" s="158"/>
      <c r="U24" s="158"/>
      <c r="V24" s="277">
        <v>1</v>
      </c>
      <c r="W24" s="343"/>
      <c r="X24" s="344"/>
      <c r="Y24" s="287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8"/>
      <c r="BH24" s="158"/>
      <c r="BI24" s="158"/>
      <c r="BJ24" s="158"/>
      <c r="BM24" s="289"/>
      <c r="BN24" s="277">
        <v>1</v>
      </c>
      <c r="BO24" s="343"/>
      <c r="BP24" s="457"/>
      <c r="BQ24" s="457"/>
      <c r="BR24" s="344"/>
      <c r="BS24" s="158"/>
      <c r="BT24" s="158"/>
      <c r="BU24" s="158"/>
      <c r="BV24" s="158"/>
      <c r="BW24" s="158"/>
      <c r="BX24" s="158"/>
      <c r="BY24" s="158"/>
      <c r="BZ24" s="158"/>
      <c r="CA24" s="158"/>
      <c r="CB24" s="158"/>
      <c r="CC24" s="158"/>
      <c r="CD24" s="158"/>
      <c r="DH24" s="158"/>
      <c r="DI24" s="158"/>
      <c r="DJ24" s="267"/>
    </row>
    <row r="25" spans="1:114" s="154" customFormat="1" ht="16.5" customHeight="1" x14ac:dyDescent="0.4">
      <c r="A25" s="211"/>
      <c r="B25" s="434" t="s">
        <v>20</v>
      </c>
      <c r="C25" s="336"/>
      <c r="D25" s="336"/>
      <c r="E25" s="435"/>
      <c r="F25" s="212"/>
      <c r="H25" s="213"/>
      <c r="I25" s="204"/>
      <c r="X25" s="214"/>
      <c r="Y25" s="158"/>
      <c r="Z25" s="155"/>
      <c r="AA25" s="155"/>
      <c r="AB25" s="155"/>
      <c r="AC25" s="155"/>
      <c r="AD25" s="155"/>
      <c r="BQ25" s="214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5"/>
      <c r="CN25" s="155"/>
      <c r="CO25" s="155"/>
      <c r="CP25" s="155"/>
      <c r="CQ25" s="155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5"/>
      <c r="DC25" s="155"/>
      <c r="DD25" s="155"/>
      <c r="DE25" s="155"/>
      <c r="DF25" s="155"/>
      <c r="DG25" s="155"/>
      <c r="DH25" s="155"/>
      <c r="DI25" s="155"/>
      <c r="DJ25" s="192"/>
    </row>
    <row r="26" spans="1:114" s="154" customFormat="1" ht="16.5" customHeight="1" x14ac:dyDescent="0.25">
      <c r="A26" s="211"/>
      <c r="B26" s="215">
        <v>2</v>
      </c>
      <c r="C26" s="359"/>
      <c r="D26" s="360"/>
      <c r="E26" s="361"/>
      <c r="F26" s="212"/>
      <c r="H26" s="213"/>
      <c r="I26" s="204"/>
      <c r="Q26" s="216"/>
      <c r="R26" s="216"/>
      <c r="S26" s="216"/>
      <c r="T26" s="216"/>
      <c r="X26" s="217"/>
      <c r="BQ26" s="217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5"/>
      <c r="CN26" s="155"/>
      <c r="CO26" s="155"/>
      <c r="CP26" s="155"/>
      <c r="CQ26" s="155"/>
      <c r="CR26" s="157"/>
      <c r="CS26" s="157"/>
      <c r="CT26" s="157"/>
      <c r="CU26" s="157"/>
      <c r="CV26" s="157"/>
      <c r="CW26" s="157"/>
      <c r="CX26" s="157"/>
      <c r="CY26" s="157"/>
      <c r="CZ26" s="157"/>
      <c r="DA26" s="157"/>
      <c r="DB26" s="157"/>
      <c r="DC26" s="157"/>
      <c r="DD26" s="157"/>
      <c r="DE26" s="157"/>
      <c r="DF26" s="157"/>
      <c r="DG26" s="157"/>
      <c r="DH26" s="157"/>
      <c r="DI26" s="157"/>
      <c r="DJ26" s="192"/>
    </row>
    <row r="27" spans="1:114" s="154" customFormat="1" ht="16.5" customHeight="1" x14ac:dyDescent="0.25">
      <c r="A27" s="211"/>
      <c r="C27" s="159"/>
      <c r="D27" s="159"/>
      <c r="E27" s="159"/>
      <c r="F27" s="218"/>
      <c r="G27" s="219"/>
      <c r="H27" s="184"/>
      <c r="Q27" s="214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70"/>
      <c r="BQ27" s="220"/>
      <c r="BR27" s="216"/>
      <c r="BS27" s="216"/>
      <c r="BT27" s="216"/>
      <c r="BU27" s="216"/>
      <c r="BV27" s="216"/>
      <c r="BW27" s="216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5"/>
      <c r="CN27" s="155"/>
      <c r="CO27" s="155"/>
      <c r="CP27" s="155"/>
      <c r="CQ27" s="155"/>
      <c r="CR27" s="208"/>
      <c r="CS27" s="160"/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208"/>
      <c r="DH27" s="160"/>
      <c r="DI27" s="160"/>
      <c r="DJ27" s="192"/>
    </row>
    <row r="28" spans="1:114" s="154" customFormat="1" ht="16.5" customHeight="1" x14ac:dyDescent="0.25">
      <c r="A28" s="211"/>
      <c r="B28" s="434" t="s">
        <v>24</v>
      </c>
      <c r="C28" s="336"/>
      <c r="D28" s="336"/>
      <c r="E28" s="435"/>
      <c r="F28" s="212"/>
      <c r="H28" s="221"/>
      <c r="I28" s="222"/>
      <c r="Q28" s="219"/>
      <c r="R28" s="219"/>
      <c r="S28" s="219"/>
      <c r="T28" s="219"/>
      <c r="U28" s="219"/>
      <c r="AK28" s="210"/>
      <c r="BW28" s="170"/>
      <c r="BX28" s="214"/>
      <c r="BY28" s="169"/>
      <c r="BZ28" s="169"/>
      <c r="CA28" s="169"/>
      <c r="CB28" s="169"/>
      <c r="CC28" s="168"/>
      <c r="CD28" s="168"/>
      <c r="CE28" s="168"/>
      <c r="CF28" s="168"/>
      <c r="CG28" s="168"/>
      <c r="CH28" s="168"/>
      <c r="CI28" s="168"/>
      <c r="CJ28" s="168"/>
      <c r="CK28" s="168"/>
      <c r="CL28" s="224"/>
      <c r="CM28" s="224"/>
      <c r="CN28" s="224"/>
      <c r="CO28" s="224"/>
      <c r="CP28" s="224"/>
      <c r="CQ28" s="168"/>
      <c r="CR28" s="225"/>
      <c r="CS28" s="226"/>
      <c r="CT28" s="227"/>
      <c r="CU28" s="155"/>
      <c r="CV28" s="155"/>
      <c r="CW28" s="155"/>
      <c r="CX28" s="155"/>
      <c r="CY28" s="155"/>
      <c r="CZ28" s="155"/>
      <c r="DA28" s="228"/>
      <c r="DB28" s="228"/>
      <c r="DC28" s="228"/>
      <c r="DD28" s="228"/>
      <c r="DE28" s="228"/>
      <c r="DF28" s="155"/>
      <c r="DG28" s="208"/>
      <c r="DH28" s="160"/>
      <c r="DI28" s="160"/>
      <c r="DJ28" s="192"/>
    </row>
    <row r="29" spans="1:114" s="154" customFormat="1" ht="16.5" customHeight="1" x14ac:dyDescent="0.25">
      <c r="A29" s="211"/>
      <c r="B29" s="215">
        <v>1</v>
      </c>
      <c r="C29" s="359"/>
      <c r="D29" s="360"/>
      <c r="E29" s="361"/>
      <c r="F29" s="212"/>
      <c r="H29" s="184"/>
      <c r="P29" s="162"/>
      <c r="Q29" s="162"/>
      <c r="U29" s="219"/>
      <c r="Y29" s="155"/>
      <c r="Z29" s="155"/>
      <c r="AA29" s="155"/>
      <c r="AB29" s="155"/>
      <c r="AK29" s="210"/>
      <c r="BW29" s="173"/>
      <c r="CC29" s="155"/>
      <c r="CD29" s="155"/>
      <c r="CE29" s="155"/>
      <c r="CF29" s="380"/>
      <c r="CG29" s="380"/>
      <c r="CH29" s="380"/>
      <c r="CI29" s="380"/>
      <c r="CJ29" s="155"/>
      <c r="CK29" s="155"/>
      <c r="CL29" s="228"/>
      <c r="CM29" s="228"/>
      <c r="CN29" s="228"/>
      <c r="CO29" s="228"/>
      <c r="CP29" s="228"/>
      <c r="CQ29" s="155"/>
      <c r="CR29" s="155"/>
      <c r="CS29" s="155"/>
      <c r="CT29" s="229"/>
      <c r="CU29" s="208"/>
      <c r="CV29" s="208"/>
      <c r="CW29" s="208"/>
      <c r="CX29" s="208"/>
      <c r="CY29" s="155"/>
      <c r="CZ29" s="155"/>
      <c r="DA29" s="228"/>
      <c r="DB29" s="228"/>
      <c r="DC29" s="228"/>
      <c r="DD29" s="228"/>
      <c r="DE29" s="228"/>
      <c r="DF29" s="155"/>
      <c r="DG29" s="155"/>
      <c r="DH29" s="155"/>
      <c r="DI29" s="155"/>
      <c r="DJ29" s="192"/>
    </row>
    <row r="30" spans="1:114" s="154" customFormat="1" ht="28.2" hidden="1" customHeight="1" x14ac:dyDescent="0.4">
      <c r="A30" s="211"/>
      <c r="C30" s="219"/>
      <c r="F30" s="212"/>
      <c r="H30" s="230"/>
      <c r="I30" s="231"/>
      <c r="O30" s="232" t="s">
        <v>32</v>
      </c>
      <c r="P30" s="310"/>
      <c r="Q30" s="310"/>
      <c r="R30" s="233"/>
      <c r="U30" s="234"/>
      <c r="V30" s="219"/>
      <c r="W30" s="219"/>
      <c r="Y30" s="155"/>
      <c r="Z30" s="155"/>
      <c r="AA30" s="155"/>
      <c r="AB30" s="155"/>
      <c r="AK30" s="210"/>
      <c r="BU30" s="155"/>
      <c r="BV30" s="235"/>
      <c r="BW30" s="236"/>
      <c r="BX30" s="237"/>
      <c r="BY30" s="238"/>
      <c r="BZ30" s="155"/>
      <c r="CC30" s="155"/>
      <c r="CD30" s="155"/>
      <c r="CE30" s="155"/>
      <c r="CF30" s="380"/>
      <c r="CG30" s="379"/>
      <c r="CH30" s="379"/>
      <c r="CI30" s="379"/>
      <c r="CJ30" s="155"/>
      <c r="CK30" s="155"/>
      <c r="CL30" s="228"/>
      <c r="CM30" s="228"/>
      <c r="CN30" s="228"/>
      <c r="CO30" s="228"/>
      <c r="CP30" s="228"/>
      <c r="CQ30" s="228"/>
      <c r="CR30" s="155"/>
      <c r="CS30" s="155"/>
      <c r="CT30" s="229"/>
      <c r="CU30" s="208"/>
      <c r="CV30" s="155"/>
      <c r="CW30" s="155"/>
      <c r="CX30" s="155"/>
      <c r="CY30" s="155"/>
      <c r="CZ30" s="155"/>
      <c r="DA30" s="228"/>
      <c r="DB30" s="228"/>
      <c r="DC30" s="228"/>
      <c r="DD30" s="228"/>
      <c r="DE30" s="228"/>
      <c r="DF30" s="228"/>
      <c r="DG30" s="155"/>
      <c r="DH30" s="155"/>
      <c r="DI30" s="155"/>
      <c r="DJ30" s="192"/>
    </row>
    <row r="31" spans="1:114" s="154" customFormat="1" ht="28.2" hidden="1" customHeight="1" x14ac:dyDescent="0.4">
      <c r="A31" s="211"/>
      <c r="B31" s="239" t="s">
        <v>18</v>
      </c>
      <c r="C31" s="152"/>
      <c r="D31" s="152"/>
      <c r="E31" s="166"/>
      <c r="F31" s="212"/>
      <c r="H31" s="240"/>
      <c r="I31" s="219"/>
      <c r="O31" s="241">
        <v>1</v>
      </c>
      <c r="P31" s="165"/>
      <c r="Q31" s="181"/>
      <c r="R31" s="242"/>
      <c r="U31" s="219"/>
      <c r="Y31" s="155"/>
      <c r="Z31" s="155"/>
      <c r="AA31" s="155"/>
      <c r="AB31" s="155"/>
      <c r="AK31" s="210"/>
      <c r="BV31" s="243"/>
      <c r="BW31" s="158"/>
      <c r="CC31" s="155"/>
      <c r="CD31" s="155"/>
      <c r="CE31" s="155"/>
      <c r="CF31" s="380"/>
      <c r="CG31" s="379"/>
      <c r="CH31" s="379"/>
      <c r="CI31" s="379"/>
      <c r="CJ31" s="155"/>
      <c r="CK31" s="155"/>
      <c r="CL31" s="155"/>
      <c r="CM31" s="228"/>
      <c r="CN31" s="228"/>
      <c r="CO31" s="228"/>
      <c r="CP31" s="228"/>
      <c r="CQ31" s="155"/>
      <c r="CR31" s="155"/>
      <c r="CS31" s="155"/>
      <c r="CT31" s="229"/>
      <c r="CU31" s="208"/>
      <c r="CV31" s="155"/>
      <c r="CW31" s="155"/>
      <c r="CX31" s="155"/>
      <c r="CY31" s="155"/>
      <c r="CZ31" s="155"/>
      <c r="DA31" s="155"/>
      <c r="DB31" s="228"/>
      <c r="DC31" s="228"/>
      <c r="DD31" s="228"/>
      <c r="DE31" s="228"/>
      <c r="DF31" s="155"/>
      <c r="DG31" s="155"/>
      <c r="DH31" s="155"/>
      <c r="DI31" s="155"/>
      <c r="DJ31" s="192"/>
    </row>
    <row r="32" spans="1:114" s="155" customFormat="1" ht="19.2" customHeight="1" x14ac:dyDescent="0.4">
      <c r="B32" s="157"/>
      <c r="C32" s="158"/>
      <c r="D32" s="158"/>
      <c r="E32" s="158"/>
      <c r="F32" s="218"/>
      <c r="G32" s="219"/>
      <c r="H32" s="221"/>
      <c r="I32" s="228"/>
      <c r="O32" s="436" t="s">
        <v>253</v>
      </c>
      <c r="P32" s="437"/>
      <c r="Q32" s="437"/>
      <c r="R32" s="438"/>
      <c r="U32" s="228"/>
      <c r="AK32" s="229"/>
      <c r="BU32" s="219"/>
      <c r="BV32" s="462" t="s">
        <v>253</v>
      </c>
      <c r="BW32" s="463"/>
      <c r="BX32" s="463"/>
      <c r="BY32" s="464"/>
      <c r="BZ32" s="154"/>
      <c r="CF32" s="380"/>
      <c r="CG32" s="379"/>
      <c r="CH32" s="379"/>
      <c r="CI32" s="379"/>
      <c r="CM32" s="228"/>
      <c r="CN32" s="228"/>
      <c r="CO32" s="228"/>
      <c r="CP32" s="228"/>
      <c r="CT32" s="229"/>
      <c r="CU32" s="208"/>
      <c r="DB32" s="228"/>
      <c r="DC32" s="228"/>
      <c r="DD32" s="228"/>
      <c r="DE32" s="228"/>
      <c r="DJ32" s="196"/>
    </row>
    <row r="33" spans="1:114" s="154" customFormat="1" ht="16.5" customHeight="1" x14ac:dyDescent="0.25">
      <c r="B33" s="434" t="s">
        <v>24</v>
      </c>
      <c r="C33" s="336"/>
      <c r="D33" s="336"/>
      <c r="E33" s="435"/>
      <c r="H33" s="184"/>
      <c r="I33" s="219"/>
      <c r="O33" s="244">
        <v>1</v>
      </c>
      <c r="P33" s="443"/>
      <c r="Q33" s="444"/>
      <c r="R33" s="445"/>
      <c r="S33" s="217"/>
      <c r="U33" s="219"/>
      <c r="Y33" s="155"/>
      <c r="Z33" s="155"/>
      <c r="AA33" s="155"/>
      <c r="AB33" s="155"/>
      <c r="AK33" s="210"/>
      <c r="BV33" s="316">
        <v>1</v>
      </c>
      <c r="BW33" s="245"/>
      <c r="BX33" s="169"/>
      <c r="BY33" s="170"/>
      <c r="CC33" s="155"/>
      <c r="CD33" s="155"/>
      <c r="CE33" s="155"/>
      <c r="CF33" s="380"/>
      <c r="CG33" s="379"/>
      <c r="CH33" s="379"/>
      <c r="CI33" s="379"/>
      <c r="CJ33" s="155"/>
      <c r="CK33" s="155"/>
      <c r="CL33" s="155"/>
      <c r="CM33" s="228"/>
      <c r="CN33" s="228"/>
      <c r="CO33" s="228"/>
      <c r="CP33" s="228"/>
      <c r="CQ33" s="155"/>
      <c r="CR33" s="155"/>
      <c r="CS33" s="155"/>
      <c r="CT33" s="229"/>
      <c r="CU33" s="208"/>
      <c r="CV33" s="155"/>
      <c r="CW33" s="155"/>
      <c r="CX33" s="155"/>
      <c r="CY33" s="155"/>
      <c r="CZ33" s="155"/>
      <c r="DA33" s="155"/>
      <c r="DB33" s="228"/>
      <c r="DC33" s="228"/>
      <c r="DD33" s="228"/>
      <c r="DE33" s="228"/>
      <c r="DF33" s="155"/>
      <c r="DG33" s="155"/>
      <c r="DH33" s="155"/>
      <c r="DI33" s="155"/>
      <c r="DJ33" s="192"/>
    </row>
    <row r="34" spans="1:114" s="154" customFormat="1" ht="16.5" customHeight="1" x14ac:dyDescent="0.25">
      <c r="A34" s="211"/>
      <c r="B34" s="215">
        <v>1</v>
      </c>
      <c r="C34" s="359"/>
      <c r="D34" s="360"/>
      <c r="E34" s="361"/>
      <c r="F34" s="212"/>
      <c r="H34" s="230"/>
      <c r="I34" s="231"/>
      <c r="O34" s="225"/>
      <c r="P34" s="313"/>
      <c r="Q34" s="313"/>
      <c r="R34" s="155"/>
      <c r="S34" s="228"/>
      <c r="T34" s="219"/>
      <c r="U34" s="219"/>
      <c r="Y34" s="155"/>
      <c r="Z34" s="155"/>
      <c r="AA34" s="155"/>
      <c r="AB34" s="155"/>
      <c r="AK34" s="210"/>
      <c r="BL34" s="219"/>
      <c r="BM34" s="219"/>
      <c r="BN34" s="219"/>
      <c r="BV34" s="317"/>
      <c r="BW34" s="171"/>
      <c r="BX34" s="216"/>
      <c r="BY34" s="173"/>
      <c r="CC34" s="155"/>
      <c r="CD34" s="155"/>
      <c r="CE34" s="155"/>
      <c r="CF34" s="155"/>
      <c r="CG34" s="155"/>
      <c r="CH34" s="155"/>
      <c r="CI34" s="155"/>
      <c r="CJ34" s="228"/>
      <c r="CK34" s="155"/>
      <c r="CL34" s="155"/>
      <c r="CM34" s="228"/>
      <c r="CN34" s="228"/>
      <c r="CO34" s="228"/>
      <c r="CP34" s="228"/>
      <c r="CQ34" s="155"/>
      <c r="CR34" s="155"/>
      <c r="CS34" s="155"/>
      <c r="CT34" s="229"/>
      <c r="CU34" s="155"/>
      <c r="CV34" s="155"/>
      <c r="CW34" s="155"/>
      <c r="CX34" s="155"/>
      <c r="CY34" s="228"/>
      <c r="CZ34" s="155"/>
      <c r="DA34" s="155"/>
      <c r="DB34" s="228"/>
      <c r="DC34" s="228"/>
      <c r="DD34" s="228"/>
      <c r="DE34" s="228"/>
      <c r="DF34" s="155"/>
      <c r="DG34" s="155"/>
      <c r="DH34" s="155"/>
      <c r="DI34" s="155"/>
      <c r="DJ34" s="192"/>
    </row>
    <row r="35" spans="1:114" s="154" customFormat="1" ht="16.5" customHeight="1" thickBot="1" x14ac:dyDescent="0.3">
      <c r="A35" s="246"/>
      <c r="B35" s="247"/>
      <c r="C35" s="247"/>
      <c r="D35" s="247"/>
      <c r="E35" s="247"/>
      <c r="F35" s="248"/>
      <c r="H35" s="240"/>
      <c r="I35" s="219"/>
      <c r="O35" s="155"/>
      <c r="P35" s="155"/>
      <c r="R35" s="155"/>
      <c r="S35" s="228"/>
      <c r="T35" s="219"/>
      <c r="U35" s="219"/>
      <c r="Y35" s="155"/>
      <c r="Z35" s="155"/>
      <c r="AA35" s="155"/>
      <c r="AB35" s="155"/>
      <c r="BL35" s="219"/>
      <c r="BM35" s="219"/>
      <c r="BN35" s="219"/>
      <c r="BO35" s="219"/>
      <c r="BT35" s="162"/>
      <c r="BU35" s="216"/>
      <c r="BV35" s="216"/>
      <c r="BW35" s="250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228"/>
      <c r="CN35" s="228"/>
      <c r="CO35" s="228"/>
      <c r="CP35" s="228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228"/>
      <c r="DC35" s="228"/>
      <c r="DD35" s="228"/>
      <c r="DE35" s="228"/>
      <c r="DF35" s="155"/>
      <c r="DG35" s="155"/>
      <c r="DH35" s="155"/>
      <c r="DI35" s="155"/>
      <c r="DJ35" s="192"/>
    </row>
    <row r="36" spans="1:114" s="154" customFormat="1" ht="16.5" customHeight="1" thickTop="1" x14ac:dyDescent="0.25">
      <c r="H36" s="184"/>
      <c r="Q36" s="249"/>
      <c r="R36" s="219"/>
      <c r="S36" s="219"/>
      <c r="T36" s="219"/>
      <c r="U36" s="219"/>
      <c r="Y36" s="155"/>
      <c r="Z36" s="155"/>
      <c r="AA36" s="155"/>
      <c r="AB36" s="155"/>
      <c r="BL36" s="219"/>
      <c r="BM36" s="219"/>
      <c r="BN36" s="219"/>
      <c r="BO36" s="219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228"/>
      <c r="CN36" s="228"/>
      <c r="CO36" s="228"/>
      <c r="CP36" s="228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228"/>
      <c r="DC36" s="228"/>
      <c r="DD36" s="228"/>
      <c r="DE36" s="228"/>
      <c r="DF36" s="155"/>
      <c r="DG36" s="155"/>
      <c r="DH36" s="155"/>
      <c r="DI36" s="155"/>
      <c r="DJ36" s="192"/>
    </row>
    <row r="37" spans="1:114" s="154" customFormat="1" ht="16.5" customHeight="1" x14ac:dyDescent="0.25">
      <c r="H37" s="230"/>
      <c r="I37" s="231"/>
      <c r="P37" s="162"/>
      <c r="Q37" s="162"/>
      <c r="Y37" s="155"/>
      <c r="Z37" s="155"/>
      <c r="AA37" s="155"/>
      <c r="AB37" s="155"/>
      <c r="AK37" s="162"/>
      <c r="AL37" s="162"/>
      <c r="BS37" s="162"/>
      <c r="BT37" s="162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64"/>
      <c r="CU37" s="164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92"/>
    </row>
    <row r="38" spans="1:114" s="154" customFormat="1" ht="23.4" customHeight="1" x14ac:dyDescent="0.25">
      <c r="H38" s="230"/>
      <c r="I38" s="231"/>
      <c r="J38" s="308">
        <f>J41+O41+T41+Z41</f>
        <v>78</v>
      </c>
      <c r="K38" s="323" t="s">
        <v>224</v>
      </c>
      <c r="L38" s="387"/>
      <c r="M38" s="323"/>
      <c r="N38" s="323"/>
      <c r="O38" s="323"/>
      <c r="P38" s="324"/>
      <c r="Q38" s="324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5"/>
      <c r="AF38" s="308">
        <f>AF44+AK44+AP44+AU44+AZ44+BE44+BE50+AZ50+AU50+AP50+AK50+AK54+AK58+AP58+AP54+AU54+AU58+AZ58+AZ54+BE54+BE58+AF50+AF54+AF58+AF62+AF66+AF70</f>
        <v>11</v>
      </c>
      <c r="AG38" s="323" t="s">
        <v>267</v>
      </c>
      <c r="AH38" s="323"/>
      <c r="AI38" s="323"/>
      <c r="AJ38" s="323"/>
      <c r="AK38" s="324"/>
      <c r="AL38" s="324"/>
      <c r="AM38" s="323"/>
      <c r="AN38" s="323"/>
      <c r="AO38" s="323"/>
      <c r="AP38" s="323"/>
      <c r="AQ38" s="323"/>
      <c r="AR38" s="323"/>
      <c r="AS38" s="323"/>
      <c r="AT38" s="323"/>
      <c r="AU38" s="323"/>
      <c r="AV38" s="323"/>
      <c r="AW38" s="323"/>
      <c r="AX38" s="323"/>
      <c r="AY38" s="323"/>
      <c r="AZ38" s="323"/>
      <c r="BA38" s="323"/>
      <c r="BB38" s="323"/>
      <c r="BC38" s="323"/>
      <c r="BD38" s="323"/>
      <c r="BE38" s="323"/>
      <c r="BF38" s="323"/>
      <c r="BG38" s="323"/>
      <c r="BH38" s="325"/>
      <c r="BJ38" s="308">
        <f>BJ41+BO41+BT41+BY41</f>
        <v>78</v>
      </c>
      <c r="BK38" s="323" t="s">
        <v>239</v>
      </c>
      <c r="BL38" s="323"/>
      <c r="BM38" s="323"/>
      <c r="BN38" s="323"/>
      <c r="BO38" s="323"/>
      <c r="BP38" s="323"/>
      <c r="BQ38" s="323"/>
      <c r="BR38" s="323"/>
      <c r="BS38" s="324"/>
      <c r="BT38" s="324"/>
      <c r="BU38" s="323"/>
      <c r="BV38" s="323"/>
      <c r="BW38" s="323"/>
      <c r="BX38" s="323"/>
      <c r="BY38" s="323"/>
      <c r="BZ38" s="323"/>
      <c r="CA38" s="323"/>
      <c r="CB38" s="325"/>
      <c r="CC38" s="155"/>
      <c r="CD38" s="155"/>
      <c r="CF38" s="308">
        <f>CF44+CK44+CP44+CU44+CZ44+DE50+CZ50+CU50+CP50+CK50+DE54+CZ54+CU54+CP54+CK54+DE58+CZ58+CU58+CP58+CK58+CF50+CF54+CF58+CF62+CF66+CF70+DE44</f>
        <v>11</v>
      </c>
      <c r="CG38" s="323" t="s">
        <v>240</v>
      </c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3"/>
      <c r="CT38" s="324"/>
      <c r="CU38" s="324"/>
      <c r="CV38" s="323"/>
      <c r="CW38" s="323"/>
      <c r="CX38" s="323"/>
      <c r="CY38" s="323"/>
      <c r="CZ38" s="323"/>
      <c r="DA38" s="323"/>
      <c r="DB38" s="323"/>
      <c r="DC38" s="323"/>
      <c r="DD38" s="323"/>
      <c r="DE38" s="323"/>
      <c r="DF38" s="323"/>
      <c r="DG38" s="323"/>
      <c r="DH38" s="325"/>
      <c r="DI38" s="251"/>
      <c r="DJ38" s="192"/>
    </row>
    <row r="39" spans="1:114" s="154" customFormat="1" ht="16.5" customHeight="1" x14ac:dyDescent="0.25">
      <c r="H39" s="240"/>
      <c r="I39" s="219"/>
      <c r="K39" s="162"/>
      <c r="L39" s="312"/>
      <c r="P39" s="252"/>
      <c r="U39" s="252"/>
      <c r="AA39" s="252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K39" s="252"/>
      <c r="BP39" s="252"/>
      <c r="BU39" s="252"/>
      <c r="CC39" s="155"/>
      <c r="CD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92"/>
    </row>
    <row r="40" spans="1:114" s="154" customFormat="1" ht="16.5" customHeight="1" x14ac:dyDescent="0.4">
      <c r="H40" s="184"/>
      <c r="J40" s="352" t="s">
        <v>249</v>
      </c>
      <c r="K40" s="353"/>
      <c r="L40" s="354"/>
      <c r="M40" s="355"/>
      <c r="O40" s="352" t="s">
        <v>250</v>
      </c>
      <c r="P40" s="353"/>
      <c r="Q40" s="353"/>
      <c r="R40" s="355"/>
      <c r="T40" s="352" t="s">
        <v>251</v>
      </c>
      <c r="U40" s="353"/>
      <c r="V40" s="353"/>
      <c r="W40" s="353"/>
      <c r="X40" s="355"/>
      <c r="Z40" s="352" t="s">
        <v>252</v>
      </c>
      <c r="AA40" s="353"/>
      <c r="AB40" s="353"/>
      <c r="AC40" s="355"/>
      <c r="AF40" s="208"/>
      <c r="AG40" s="208"/>
      <c r="AH40" s="253"/>
      <c r="AI40" s="253"/>
      <c r="AJ40" s="254"/>
      <c r="AK40" s="442"/>
      <c r="AL40" s="442"/>
      <c r="AM40" s="442"/>
      <c r="AN40" s="442"/>
      <c r="AO40" s="155"/>
      <c r="AP40" s="208"/>
      <c r="AQ40" s="208"/>
      <c r="AR40" s="208"/>
      <c r="AS40" s="208"/>
      <c r="AT40" s="160"/>
      <c r="AU40" s="208"/>
      <c r="AV40" s="208"/>
      <c r="AW40" s="253"/>
      <c r="AX40" s="253"/>
      <c r="AY40" s="254"/>
      <c r="AZ40" s="253"/>
      <c r="BA40" s="253"/>
      <c r="BB40" s="253"/>
      <c r="BC40" s="253"/>
      <c r="BD40" s="254"/>
      <c r="BE40" s="253"/>
      <c r="BF40" s="253"/>
      <c r="BG40" s="208"/>
      <c r="BH40" s="208"/>
      <c r="BJ40" s="348" t="s">
        <v>249</v>
      </c>
      <c r="BK40" s="349"/>
      <c r="BL40" s="349"/>
      <c r="BM40" s="350"/>
      <c r="BO40" s="348" t="s">
        <v>250</v>
      </c>
      <c r="BP40" s="349"/>
      <c r="BQ40" s="349"/>
      <c r="BR40" s="350"/>
      <c r="BT40" s="348" t="s">
        <v>251</v>
      </c>
      <c r="BU40" s="349"/>
      <c r="BV40" s="349"/>
      <c r="BW40" s="350"/>
      <c r="BY40" s="348" t="s">
        <v>252</v>
      </c>
      <c r="BZ40" s="349"/>
      <c r="CA40" s="349"/>
      <c r="CB40" s="350"/>
      <c r="CC40" s="155"/>
      <c r="CD40" s="155"/>
      <c r="CF40" s="208"/>
      <c r="CG40" s="208"/>
      <c r="CH40" s="253"/>
      <c r="CI40" s="253"/>
      <c r="CJ40" s="254"/>
      <c r="CK40" s="442"/>
      <c r="CL40" s="442"/>
      <c r="CM40" s="442"/>
      <c r="CN40" s="442"/>
      <c r="CO40" s="155"/>
      <c r="CP40" s="208"/>
      <c r="CQ40" s="208"/>
      <c r="CR40" s="208"/>
      <c r="CS40" s="208"/>
      <c r="CT40" s="160"/>
      <c r="CU40" s="208"/>
      <c r="CV40" s="208"/>
      <c r="CW40" s="253"/>
      <c r="CX40" s="253"/>
      <c r="CY40" s="254"/>
      <c r="CZ40" s="253"/>
      <c r="DA40" s="253"/>
      <c r="DB40" s="253"/>
      <c r="DC40" s="253"/>
      <c r="DD40" s="254"/>
      <c r="DE40" s="253"/>
      <c r="DF40" s="253"/>
      <c r="DG40" s="208"/>
      <c r="DH40" s="208"/>
      <c r="DI40" s="208"/>
      <c r="DJ40" s="192"/>
    </row>
    <row r="41" spans="1:114" s="161" customFormat="1" ht="16.5" customHeight="1" x14ac:dyDescent="0.4">
      <c r="H41" s="266"/>
      <c r="J41" s="281">
        <f>J53+J58+J63+J66+J69+J72+J75+J78+J81+J84+J88+J91+J94+J97+J100</f>
        <v>31</v>
      </c>
      <c r="K41" s="374" t="s">
        <v>45</v>
      </c>
      <c r="L41" s="375"/>
      <c r="M41" s="376"/>
      <c r="O41" s="281">
        <f>O53+O58+O63+O66+O69+O72+O75+O78+O81+O84+O88+O91+O94+O97+O100</f>
        <v>31</v>
      </c>
      <c r="P41" s="374" t="s">
        <v>232</v>
      </c>
      <c r="Q41" s="375"/>
      <c r="R41" s="376"/>
      <c r="T41" s="281">
        <f>T53+T58+T63+T66+T69+T72</f>
        <v>8</v>
      </c>
      <c r="U41" s="374" t="s">
        <v>233</v>
      </c>
      <c r="V41" s="377"/>
      <c r="W41" s="377"/>
      <c r="X41" s="378"/>
      <c r="Z41" s="281">
        <f>Z53+Z58+Z63+Z66+Z69+Z72</f>
        <v>8</v>
      </c>
      <c r="AA41" s="421" t="s">
        <v>234</v>
      </c>
      <c r="AB41" s="422"/>
      <c r="AC41" s="423"/>
      <c r="AF41" s="280"/>
      <c r="AG41" s="290"/>
      <c r="AH41" s="291"/>
      <c r="AI41" s="290"/>
      <c r="AJ41" s="158"/>
      <c r="AK41" s="280"/>
      <c r="AL41" s="290"/>
      <c r="AM41" s="291"/>
      <c r="AN41" s="290"/>
      <c r="AO41" s="167"/>
      <c r="AP41" s="292"/>
      <c r="AQ41" s="293"/>
      <c r="AR41" s="291"/>
      <c r="AS41" s="293"/>
      <c r="AT41" s="294"/>
      <c r="AU41" s="292"/>
      <c r="AV41" s="295"/>
      <c r="AW41" s="291"/>
      <c r="AX41" s="290"/>
      <c r="AY41" s="158"/>
      <c r="AZ41" s="280"/>
      <c r="BA41" s="290"/>
      <c r="BB41" s="291"/>
      <c r="BC41" s="290"/>
      <c r="BD41" s="158"/>
      <c r="BE41" s="280"/>
      <c r="BF41" s="290"/>
      <c r="BG41" s="296"/>
      <c r="BH41" s="290"/>
      <c r="BJ41" s="281">
        <f>BJ53+BJ58+BJ63+BJ66+BJ69+BJ72+BJ75+BJ78+BJ81+BJ84+BJ88+BJ91+BJ94+BJ97+BJ100</f>
        <v>31</v>
      </c>
      <c r="BK41" s="449" t="s">
        <v>45</v>
      </c>
      <c r="BL41" s="450"/>
      <c r="BM41" s="374"/>
      <c r="BO41" s="281">
        <f>BO53+BO58+BO63+BO66+BO69+BO72+BO75+BO78+BO81+BO84+BO88+BO91+BO94+BO97+BO100</f>
        <v>31</v>
      </c>
      <c r="BP41" s="449" t="s">
        <v>232</v>
      </c>
      <c r="BQ41" s="450"/>
      <c r="BR41" s="374"/>
      <c r="BT41" s="281">
        <f>BT53+BT58+BT63+BT66+BT69+BT72</f>
        <v>8</v>
      </c>
      <c r="BU41" s="449" t="s">
        <v>233</v>
      </c>
      <c r="BV41" s="450"/>
      <c r="BW41" s="374"/>
      <c r="BX41" s="297"/>
      <c r="BY41" s="281">
        <f>BY53+BY58+BY63+BY66+BY69+BY72</f>
        <v>8</v>
      </c>
      <c r="BZ41" s="454" t="s">
        <v>234</v>
      </c>
      <c r="CA41" s="455"/>
      <c r="CB41" s="456"/>
      <c r="CC41" s="158"/>
      <c r="CD41" s="158"/>
      <c r="CF41" s="280"/>
      <c r="CG41" s="290"/>
      <c r="CH41" s="291"/>
      <c r="CI41" s="290"/>
      <c r="CJ41" s="158"/>
      <c r="CK41" s="280"/>
      <c r="CL41" s="290"/>
      <c r="CM41" s="291"/>
      <c r="CN41" s="290"/>
      <c r="CO41" s="167"/>
      <c r="CP41" s="292"/>
      <c r="CQ41" s="293"/>
      <c r="CR41" s="291"/>
      <c r="CS41" s="293"/>
      <c r="CT41" s="294"/>
      <c r="CU41" s="292"/>
      <c r="CV41" s="295"/>
      <c r="CW41" s="291"/>
      <c r="CX41" s="290"/>
      <c r="CY41" s="158"/>
      <c r="CZ41" s="280"/>
      <c r="DA41" s="290"/>
      <c r="DB41" s="291"/>
      <c r="DC41" s="290"/>
      <c r="DD41" s="158"/>
      <c r="DE41" s="280"/>
      <c r="DF41" s="290"/>
      <c r="DG41" s="296"/>
      <c r="DH41" s="290"/>
      <c r="DI41" s="290"/>
      <c r="DJ41" s="267"/>
    </row>
    <row r="42" spans="1:114" s="154" customFormat="1" ht="19.5" customHeight="1" x14ac:dyDescent="0.25">
      <c r="A42" s="183"/>
      <c r="H42" s="184"/>
      <c r="L42" s="255"/>
      <c r="P42" s="255"/>
      <c r="V42" s="255"/>
      <c r="Y42" s="155"/>
      <c r="AA42" s="170"/>
      <c r="AF42" s="155"/>
      <c r="AG42" s="155"/>
      <c r="AH42" s="249"/>
      <c r="AI42" s="155"/>
      <c r="AJ42" s="155"/>
      <c r="AK42" s="155"/>
      <c r="AL42" s="155"/>
      <c r="AM42" s="249"/>
      <c r="AN42" s="155"/>
      <c r="AO42" s="155"/>
      <c r="AP42" s="155"/>
      <c r="AQ42" s="155"/>
      <c r="AR42" s="249"/>
      <c r="AS42" s="155"/>
      <c r="AT42" s="155"/>
      <c r="AU42" s="155"/>
      <c r="AV42" s="155"/>
      <c r="AW42" s="249"/>
      <c r="AX42" s="155"/>
      <c r="AY42" s="155"/>
      <c r="AZ42" s="155"/>
      <c r="BA42" s="155"/>
      <c r="BB42" s="249"/>
      <c r="BC42" s="155"/>
      <c r="BD42" s="155"/>
      <c r="BE42" s="155"/>
      <c r="BF42" s="155"/>
      <c r="BG42" s="249"/>
      <c r="BH42" s="155"/>
      <c r="BL42" s="255"/>
      <c r="BQ42" s="255"/>
      <c r="BU42" s="181"/>
      <c r="BV42" s="165"/>
      <c r="CA42" s="214"/>
      <c r="CC42" s="155"/>
      <c r="CD42" s="155"/>
      <c r="CF42" s="155"/>
      <c r="CG42" s="155"/>
      <c r="CH42" s="249"/>
      <c r="CI42" s="155"/>
      <c r="CJ42" s="155"/>
      <c r="CK42" s="155"/>
      <c r="CL42" s="155"/>
      <c r="CM42" s="249"/>
      <c r="CN42" s="155"/>
      <c r="CO42" s="155"/>
      <c r="CP42" s="155"/>
      <c r="CQ42" s="155"/>
      <c r="CR42" s="249"/>
      <c r="CS42" s="155"/>
      <c r="CT42" s="155"/>
      <c r="CU42" s="155"/>
      <c r="CV42" s="155"/>
      <c r="CW42" s="249"/>
      <c r="CX42" s="155"/>
      <c r="CY42" s="155"/>
      <c r="CZ42" s="155"/>
      <c r="DA42" s="155"/>
      <c r="DB42" s="249"/>
      <c r="DC42" s="155"/>
      <c r="DD42" s="155"/>
      <c r="DE42" s="155"/>
      <c r="DF42" s="155"/>
      <c r="DG42" s="249"/>
      <c r="DH42" s="155"/>
      <c r="DI42" s="155"/>
      <c r="DJ42" s="192"/>
    </row>
    <row r="43" spans="1:114" s="154" customFormat="1" ht="19.5" customHeight="1" x14ac:dyDescent="0.25">
      <c r="A43" s="183"/>
      <c r="H43" s="184"/>
      <c r="L43" s="256"/>
      <c r="P43" s="256"/>
      <c r="V43" s="256"/>
      <c r="Y43" s="155"/>
      <c r="AA43" s="210"/>
      <c r="AF43" s="384" t="s">
        <v>241</v>
      </c>
      <c r="AG43" s="385"/>
      <c r="AH43" s="385"/>
      <c r="AI43" s="386"/>
      <c r="AJ43" s="219"/>
      <c r="AK43" s="384" t="s">
        <v>242</v>
      </c>
      <c r="AL43" s="385"/>
      <c r="AM43" s="385"/>
      <c r="AN43" s="386"/>
      <c r="AO43" s="219"/>
      <c r="AP43" s="384" t="s">
        <v>243</v>
      </c>
      <c r="AQ43" s="385"/>
      <c r="AR43" s="385"/>
      <c r="AS43" s="386"/>
      <c r="AT43" s="257"/>
      <c r="AU43" s="384" t="s">
        <v>244</v>
      </c>
      <c r="AV43" s="385"/>
      <c r="AW43" s="385"/>
      <c r="AX43" s="386"/>
      <c r="AY43" s="219"/>
      <c r="AZ43" s="384" t="s">
        <v>245</v>
      </c>
      <c r="BA43" s="385"/>
      <c r="BB43" s="385"/>
      <c r="BC43" s="386"/>
      <c r="BD43" s="219"/>
      <c r="BE43" s="384" t="s">
        <v>246</v>
      </c>
      <c r="BF43" s="385"/>
      <c r="BG43" s="385"/>
      <c r="BH43" s="386"/>
      <c r="BL43" s="256"/>
      <c r="BQ43" s="256"/>
      <c r="BV43" s="156"/>
      <c r="CA43" s="217"/>
      <c r="CC43" s="155"/>
      <c r="CD43" s="155"/>
      <c r="CF43" s="384" t="s">
        <v>241</v>
      </c>
      <c r="CG43" s="385"/>
      <c r="CH43" s="385"/>
      <c r="CI43" s="386"/>
      <c r="CJ43" s="219"/>
      <c r="CK43" s="384" t="s">
        <v>242</v>
      </c>
      <c r="CL43" s="385"/>
      <c r="CM43" s="385"/>
      <c r="CN43" s="386"/>
      <c r="CO43" s="219"/>
      <c r="CP43" s="384" t="s">
        <v>243</v>
      </c>
      <c r="CQ43" s="385"/>
      <c r="CR43" s="385"/>
      <c r="CS43" s="386"/>
      <c r="CT43" s="257"/>
      <c r="CU43" s="384" t="s">
        <v>244</v>
      </c>
      <c r="CV43" s="385"/>
      <c r="CW43" s="385"/>
      <c r="CX43" s="386"/>
      <c r="CY43" s="219"/>
      <c r="CZ43" s="384" t="s">
        <v>245</v>
      </c>
      <c r="DA43" s="385"/>
      <c r="DB43" s="385"/>
      <c r="DC43" s="386"/>
      <c r="DD43" s="219"/>
      <c r="DE43" s="384" t="s">
        <v>246</v>
      </c>
      <c r="DF43" s="385"/>
      <c r="DG43" s="385"/>
      <c r="DH43" s="386"/>
      <c r="DI43" s="257"/>
      <c r="DJ43" s="192"/>
    </row>
    <row r="44" spans="1:114" s="161" customFormat="1" ht="19.5" customHeight="1" x14ac:dyDescent="0.4">
      <c r="A44" s="265"/>
      <c r="H44" s="266"/>
      <c r="L44" s="172"/>
      <c r="P44" s="172"/>
      <c r="V44" s="172"/>
      <c r="Y44" s="158"/>
      <c r="AA44" s="289"/>
      <c r="AF44" s="281">
        <v>1</v>
      </c>
      <c r="AG44" s="356"/>
      <c r="AH44" s="357"/>
      <c r="AI44" s="358"/>
      <c r="AK44" s="299">
        <v>1</v>
      </c>
      <c r="AL44" s="356"/>
      <c r="AM44" s="357"/>
      <c r="AN44" s="358"/>
      <c r="AP44" s="299">
        <v>1</v>
      </c>
      <c r="AQ44" s="356"/>
      <c r="AR44" s="357"/>
      <c r="AS44" s="358"/>
      <c r="AT44" s="300"/>
      <c r="AU44" s="281">
        <v>1</v>
      </c>
      <c r="AV44" s="356"/>
      <c r="AW44" s="357"/>
      <c r="AX44" s="358"/>
      <c r="AZ44" s="299">
        <v>1</v>
      </c>
      <c r="BA44" s="356"/>
      <c r="BB44" s="357"/>
      <c r="BC44" s="358"/>
      <c r="BE44" s="299">
        <v>1</v>
      </c>
      <c r="BF44" s="356"/>
      <c r="BG44" s="357"/>
      <c r="BH44" s="358"/>
      <c r="BL44" s="172"/>
      <c r="BQ44" s="172"/>
      <c r="BV44" s="278"/>
      <c r="CA44" s="301"/>
      <c r="CC44" s="158"/>
      <c r="CD44" s="158"/>
      <c r="CF44" s="298">
        <v>1</v>
      </c>
      <c r="CG44" s="356"/>
      <c r="CH44" s="357"/>
      <c r="CI44" s="358"/>
      <c r="CK44" s="299">
        <v>1</v>
      </c>
      <c r="CL44" s="356"/>
      <c r="CM44" s="357"/>
      <c r="CN44" s="358"/>
      <c r="CP44" s="299">
        <v>1</v>
      </c>
      <c r="CQ44" s="356"/>
      <c r="CR44" s="357"/>
      <c r="CS44" s="358"/>
      <c r="CT44" s="300"/>
      <c r="CU44" s="298">
        <v>1</v>
      </c>
      <c r="CV44" s="356"/>
      <c r="CW44" s="357"/>
      <c r="CX44" s="358"/>
      <c r="CZ44" s="299">
        <v>1</v>
      </c>
      <c r="DA44" s="356"/>
      <c r="DB44" s="357"/>
      <c r="DC44" s="358"/>
      <c r="DE44" s="299">
        <v>1</v>
      </c>
      <c r="DF44" s="356"/>
      <c r="DG44" s="357"/>
      <c r="DH44" s="358"/>
      <c r="DI44" s="300"/>
      <c r="DJ44" s="267"/>
    </row>
    <row r="45" spans="1:114" s="154" customFormat="1" ht="18" customHeight="1" x14ac:dyDescent="0.25">
      <c r="A45" s="183"/>
      <c r="H45" s="184"/>
      <c r="L45" s="256"/>
      <c r="P45" s="256"/>
      <c r="V45" s="256"/>
      <c r="Y45" s="155"/>
      <c r="AA45" s="210"/>
      <c r="AF45" s="219"/>
      <c r="AG45" s="219"/>
      <c r="AH45" s="258"/>
      <c r="AI45" s="219"/>
      <c r="AK45" s="219"/>
      <c r="AL45" s="219"/>
      <c r="AM45" s="258"/>
      <c r="AN45" s="219"/>
      <c r="AP45" s="219"/>
      <c r="AQ45" s="219"/>
      <c r="AR45" s="258"/>
      <c r="AS45" s="219"/>
      <c r="AT45" s="228"/>
      <c r="AU45" s="219"/>
      <c r="AV45" s="219"/>
      <c r="AW45" s="258"/>
      <c r="AX45" s="219"/>
      <c r="AZ45" s="219"/>
      <c r="BA45" s="219"/>
      <c r="BB45" s="258"/>
      <c r="BC45" s="219"/>
      <c r="BE45" s="219"/>
      <c r="BF45" s="219"/>
      <c r="BG45" s="258"/>
      <c r="BH45" s="219"/>
      <c r="BL45" s="256"/>
      <c r="BQ45" s="256"/>
      <c r="BV45" s="156"/>
      <c r="CA45" s="217"/>
      <c r="CC45" s="155"/>
      <c r="CD45" s="155"/>
      <c r="CF45" s="219"/>
      <c r="CG45" s="219"/>
      <c r="CH45" s="258"/>
      <c r="CI45" s="219"/>
      <c r="CK45" s="219"/>
      <c r="CL45" s="219"/>
      <c r="CM45" s="258"/>
      <c r="CN45" s="219"/>
      <c r="CP45" s="219"/>
      <c r="CQ45" s="219"/>
      <c r="CR45" s="258"/>
      <c r="CS45" s="219"/>
      <c r="CT45" s="228"/>
      <c r="CU45" s="219"/>
      <c r="CV45" s="219"/>
      <c r="CW45" s="258"/>
      <c r="CX45" s="219"/>
      <c r="CZ45" s="219"/>
      <c r="DA45" s="219"/>
      <c r="DB45" s="258"/>
      <c r="DC45" s="219"/>
      <c r="DE45" s="219"/>
      <c r="DF45" s="219"/>
      <c r="DG45" s="258"/>
      <c r="DH45" s="219"/>
      <c r="DI45" s="228"/>
      <c r="DJ45" s="192"/>
    </row>
    <row r="46" spans="1:114" s="154" customFormat="1" ht="18" customHeight="1" x14ac:dyDescent="0.25">
      <c r="A46" s="183"/>
      <c r="H46" s="184"/>
      <c r="L46" s="256"/>
      <c r="P46" s="256"/>
      <c r="V46" s="256"/>
      <c r="Y46" s="155"/>
      <c r="AA46" s="210"/>
      <c r="AF46" s="219"/>
      <c r="AG46" s="219"/>
      <c r="AH46" s="223"/>
      <c r="AI46" s="219"/>
      <c r="AK46" s="219"/>
      <c r="AL46" s="219"/>
      <c r="AM46" s="223"/>
      <c r="AN46" s="219"/>
      <c r="AP46" s="219"/>
      <c r="AQ46" s="219"/>
      <c r="AR46" s="223"/>
      <c r="AS46" s="219"/>
      <c r="AT46" s="228"/>
      <c r="AU46" s="219"/>
      <c r="AV46" s="219"/>
      <c r="AW46" s="223"/>
      <c r="AX46" s="219"/>
      <c r="AZ46" s="219"/>
      <c r="BA46" s="219"/>
      <c r="BB46" s="223"/>
      <c r="BC46" s="219"/>
      <c r="BE46" s="219"/>
      <c r="BF46" s="219"/>
      <c r="BG46" s="223"/>
      <c r="BH46" s="219"/>
      <c r="BL46" s="256"/>
      <c r="BQ46" s="256"/>
      <c r="BV46" s="156"/>
      <c r="CA46" s="217"/>
      <c r="CC46" s="155"/>
      <c r="CD46" s="155"/>
      <c r="CF46" s="219"/>
      <c r="CG46" s="219"/>
      <c r="CH46" s="223"/>
      <c r="CI46" s="219"/>
      <c r="CK46" s="219"/>
      <c r="CL46" s="219"/>
      <c r="CM46" s="223"/>
      <c r="CN46" s="219"/>
      <c r="CP46" s="219"/>
      <c r="CQ46" s="219"/>
      <c r="CR46" s="223"/>
      <c r="CS46" s="219"/>
      <c r="CT46" s="228"/>
      <c r="CU46" s="219"/>
      <c r="CV46" s="219"/>
      <c r="CW46" s="223"/>
      <c r="CX46" s="219"/>
      <c r="CZ46" s="219"/>
      <c r="DA46" s="219"/>
      <c r="DB46" s="223"/>
      <c r="DC46" s="219"/>
      <c r="DE46" s="219"/>
      <c r="DF46" s="219"/>
      <c r="DG46" s="223"/>
      <c r="DH46" s="219"/>
      <c r="DI46" s="228"/>
      <c r="DJ46" s="192"/>
    </row>
    <row r="47" spans="1:114" s="154" customFormat="1" ht="19.5" customHeight="1" x14ac:dyDescent="0.25">
      <c r="A47" s="183"/>
      <c r="H47" s="184"/>
      <c r="L47" s="256"/>
      <c r="P47" s="256"/>
      <c r="V47" s="256"/>
      <c r="Y47" s="155"/>
      <c r="AA47" s="210"/>
      <c r="AH47" s="217"/>
      <c r="AM47" s="217"/>
      <c r="AR47" s="217"/>
      <c r="AT47" s="155"/>
      <c r="AW47" s="217"/>
      <c r="BB47" s="217"/>
      <c r="BG47" s="217"/>
      <c r="BL47" s="256"/>
      <c r="BQ47" s="256"/>
      <c r="BV47" s="156"/>
      <c r="CA47" s="217"/>
      <c r="CC47" s="155"/>
      <c r="CD47" s="155"/>
      <c r="CH47" s="217"/>
      <c r="CM47" s="217"/>
      <c r="CR47" s="217"/>
      <c r="CT47" s="155"/>
      <c r="CW47" s="217"/>
      <c r="DB47" s="217"/>
      <c r="DG47" s="217"/>
      <c r="DI47" s="155"/>
      <c r="DJ47" s="192"/>
    </row>
    <row r="48" spans="1:114" s="154" customFormat="1" ht="17.25" customHeight="1" x14ac:dyDescent="0.25">
      <c r="A48" s="183"/>
      <c r="H48" s="184"/>
      <c r="L48" s="256"/>
      <c r="P48" s="256"/>
      <c r="V48" s="256"/>
      <c r="Y48" s="155"/>
      <c r="AA48" s="210"/>
      <c r="AH48" s="217"/>
      <c r="AM48" s="259"/>
      <c r="AR48" s="259"/>
      <c r="AT48" s="155"/>
      <c r="AW48" s="259"/>
      <c r="BB48" s="259"/>
      <c r="BG48" s="259"/>
      <c r="BL48" s="256"/>
      <c r="BQ48" s="256"/>
      <c r="BV48" s="156"/>
      <c r="CA48" s="217"/>
      <c r="CC48" s="155"/>
      <c r="CD48" s="155"/>
      <c r="CH48" s="217"/>
      <c r="CM48" s="259"/>
      <c r="CR48" s="259"/>
      <c r="CT48" s="155"/>
      <c r="CW48" s="259"/>
      <c r="DB48" s="259"/>
      <c r="DG48" s="259"/>
      <c r="DI48" s="155"/>
      <c r="DJ48" s="192"/>
    </row>
    <row r="49" spans="1:114" s="154" customFormat="1" ht="19.5" customHeight="1" x14ac:dyDescent="0.25">
      <c r="A49" s="183"/>
      <c r="H49" s="184"/>
      <c r="L49" s="256"/>
      <c r="P49" s="256"/>
      <c r="V49" s="256"/>
      <c r="Y49" s="155"/>
      <c r="AA49" s="210"/>
      <c r="AF49" s="381" t="s">
        <v>247</v>
      </c>
      <c r="AG49" s="382"/>
      <c r="AH49" s="382"/>
      <c r="AI49" s="383"/>
      <c r="AK49" s="362"/>
      <c r="AL49" s="363"/>
      <c r="AM49" s="363"/>
      <c r="AN49" s="364"/>
      <c r="AP49" s="362"/>
      <c r="AQ49" s="363"/>
      <c r="AR49" s="363"/>
      <c r="AS49" s="364"/>
      <c r="AT49" s="160"/>
      <c r="AU49" s="362"/>
      <c r="AV49" s="363"/>
      <c r="AW49" s="363"/>
      <c r="AX49" s="364"/>
      <c r="AZ49" s="362"/>
      <c r="BA49" s="363"/>
      <c r="BB49" s="363"/>
      <c r="BC49" s="364"/>
      <c r="BE49" s="362"/>
      <c r="BF49" s="363"/>
      <c r="BG49" s="363"/>
      <c r="BH49" s="364"/>
      <c r="BL49" s="256"/>
      <c r="BQ49" s="256"/>
      <c r="BV49" s="156"/>
      <c r="CA49" s="217"/>
      <c r="CC49" s="155"/>
      <c r="CD49" s="155"/>
      <c r="CF49" s="381" t="s">
        <v>247</v>
      </c>
      <c r="CG49" s="382"/>
      <c r="CH49" s="382"/>
      <c r="CI49" s="383"/>
      <c r="CK49" s="362"/>
      <c r="CL49" s="363"/>
      <c r="CM49" s="363"/>
      <c r="CN49" s="364"/>
      <c r="CP49" s="362"/>
      <c r="CQ49" s="363"/>
      <c r="CR49" s="363"/>
      <c r="CS49" s="364"/>
      <c r="CT49" s="160"/>
      <c r="CU49" s="362"/>
      <c r="CV49" s="363"/>
      <c r="CW49" s="363"/>
      <c r="CX49" s="364"/>
      <c r="CZ49" s="362"/>
      <c r="DA49" s="363"/>
      <c r="DB49" s="363"/>
      <c r="DC49" s="364"/>
      <c r="DE49" s="362"/>
      <c r="DF49" s="363"/>
      <c r="DG49" s="363"/>
      <c r="DH49" s="364"/>
      <c r="DI49" s="160"/>
      <c r="DJ49" s="192"/>
    </row>
    <row r="50" spans="1:114" s="161" customFormat="1" ht="21" customHeight="1" x14ac:dyDescent="0.4">
      <c r="A50" s="265"/>
      <c r="H50" s="266"/>
      <c r="L50" s="172"/>
      <c r="P50" s="172"/>
      <c r="V50" s="172"/>
      <c r="W50" s="302"/>
      <c r="Y50" s="158"/>
      <c r="AA50" s="289"/>
      <c r="AF50" s="303">
        <v>1</v>
      </c>
      <c r="AG50" s="439"/>
      <c r="AH50" s="440"/>
      <c r="AI50" s="441"/>
      <c r="AK50" s="281"/>
      <c r="AL50" s="408"/>
      <c r="AM50" s="409"/>
      <c r="AN50" s="410"/>
      <c r="AP50" s="281"/>
      <c r="AQ50" s="408"/>
      <c r="AR50" s="409"/>
      <c r="AS50" s="410"/>
      <c r="AT50" s="300"/>
      <c r="AU50" s="304"/>
      <c r="AV50" s="408"/>
      <c r="AW50" s="409"/>
      <c r="AX50" s="410"/>
      <c r="AZ50" s="281"/>
      <c r="BA50" s="408"/>
      <c r="BB50" s="409"/>
      <c r="BC50" s="410"/>
      <c r="BE50" s="281"/>
      <c r="BF50" s="408"/>
      <c r="BG50" s="409"/>
      <c r="BH50" s="410"/>
      <c r="BL50" s="172"/>
      <c r="BQ50" s="172"/>
      <c r="BV50" s="278"/>
      <c r="CA50" s="301"/>
      <c r="CC50" s="158"/>
      <c r="CD50" s="158"/>
      <c r="CF50" s="303">
        <v>1</v>
      </c>
      <c r="CG50" s="439"/>
      <c r="CH50" s="440"/>
      <c r="CI50" s="441"/>
      <c r="CK50" s="281"/>
      <c r="CL50" s="408"/>
      <c r="CM50" s="409"/>
      <c r="CN50" s="410"/>
      <c r="CP50" s="281"/>
      <c r="CQ50" s="408"/>
      <c r="CR50" s="409"/>
      <c r="CS50" s="410"/>
      <c r="CT50" s="300"/>
      <c r="CU50" s="304"/>
      <c r="CV50" s="408"/>
      <c r="CW50" s="409"/>
      <c r="CX50" s="410"/>
      <c r="CZ50" s="281"/>
      <c r="DA50" s="408"/>
      <c r="DB50" s="409"/>
      <c r="DC50" s="410"/>
      <c r="DE50" s="281"/>
      <c r="DF50" s="408"/>
      <c r="DG50" s="409"/>
      <c r="DH50" s="410"/>
      <c r="DI50" s="300"/>
      <c r="DJ50" s="267"/>
    </row>
    <row r="51" spans="1:114" s="154" customFormat="1" ht="21" x14ac:dyDescent="0.25">
      <c r="A51" s="183"/>
      <c r="H51" s="184"/>
      <c r="L51" s="162"/>
      <c r="M51" s="262"/>
      <c r="P51" s="252"/>
      <c r="Q51" s="162"/>
      <c r="X51" s="262"/>
      <c r="Y51" s="155"/>
      <c r="AA51" s="173"/>
      <c r="AF51" s="219"/>
      <c r="AG51" s="219"/>
      <c r="AH51" s="223"/>
      <c r="AI51" s="219"/>
      <c r="AK51" s="219"/>
      <c r="AL51" s="219"/>
      <c r="AM51" s="258"/>
      <c r="AN51" s="219"/>
      <c r="AP51" s="219"/>
      <c r="AQ51" s="219"/>
      <c r="AR51" s="258"/>
      <c r="AS51" s="219"/>
      <c r="AT51" s="228"/>
      <c r="AU51" s="219"/>
      <c r="AV51" s="219"/>
      <c r="AW51" s="258"/>
      <c r="AX51" s="219"/>
      <c r="AZ51" s="219"/>
      <c r="BA51" s="219"/>
      <c r="BB51" s="258"/>
      <c r="BC51" s="219"/>
      <c r="BE51" s="219"/>
      <c r="BF51" s="219"/>
      <c r="BG51" s="258"/>
      <c r="BH51" s="219"/>
      <c r="BL51" s="256"/>
      <c r="BQ51" s="256"/>
      <c r="BV51" s="156"/>
      <c r="CA51" s="220"/>
      <c r="CC51" s="155"/>
      <c r="CD51" s="155"/>
      <c r="CF51" s="219"/>
      <c r="CG51" s="219"/>
      <c r="CH51" s="223"/>
      <c r="CI51" s="219"/>
      <c r="CK51" s="219"/>
      <c r="CL51" s="219"/>
      <c r="CM51" s="258"/>
      <c r="CN51" s="219"/>
      <c r="CP51" s="219"/>
      <c r="CQ51" s="219"/>
      <c r="CR51" s="258"/>
      <c r="CS51" s="219"/>
      <c r="CT51" s="228"/>
      <c r="CU51" s="219"/>
      <c r="CV51" s="219"/>
      <c r="CW51" s="258"/>
      <c r="CX51" s="219"/>
      <c r="CZ51" s="219"/>
      <c r="DA51" s="219"/>
      <c r="DB51" s="258"/>
      <c r="DC51" s="219"/>
      <c r="DE51" s="219"/>
      <c r="DF51" s="219"/>
      <c r="DG51" s="258"/>
      <c r="DH51" s="219"/>
      <c r="DI51" s="228"/>
      <c r="DJ51" s="192"/>
    </row>
    <row r="52" spans="1:114" s="154" customFormat="1" ht="16.5" customHeight="1" x14ac:dyDescent="0.4">
      <c r="A52" s="183"/>
      <c r="H52" s="184"/>
      <c r="J52" s="371" t="s">
        <v>225</v>
      </c>
      <c r="K52" s="372"/>
      <c r="L52" s="372"/>
      <c r="M52" s="373"/>
      <c r="O52" s="371" t="s">
        <v>68</v>
      </c>
      <c r="P52" s="372"/>
      <c r="Q52" s="372"/>
      <c r="R52" s="373"/>
      <c r="T52" s="371" t="s">
        <v>235</v>
      </c>
      <c r="U52" s="372"/>
      <c r="V52" s="372"/>
      <c r="W52" s="372"/>
      <c r="X52" s="373"/>
      <c r="Y52" s="158"/>
      <c r="Z52" s="328" t="s">
        <v>235</v>
      </c>
      <c r="AA52" s="329"/>
      <c r="AB52" s="329"/>
      <c r="AC52" s="330"/>
      <c r="AH52" s="259"/>
      <c r="AM52" s="259"/>
      <c r="AR52" s="259"/>
      <c r="AT52" s="155"/>
      <c r="AW52" s="259"/>
      <c r="BB52" s="259"/>
      <c r="BG52" s="259"/>
      <c r="BJ52" s="451" t="s">
        <v>225</v>
      </c>
      <c r="BK52" s="452"/>
      <c r="BL52" s="452"/>
      <c r="BM52" s="453"/>
      <c r="BO52" s="451" t="s">
        <v>68</v>
      </c>
      <c r="BP52" s="452"/>
      <c r="BQ52" s="452"/>
      <c r="BR52" s="453"/>
      <c r="BT52" s="451" t="s">
        <v>235</v>
      </c>
      <c r="BU52" s="452"/>
      <c r="BV52" s="452"/>
      <c r="BW52" s="453"/>
      <c r="BX52" s="158"/>
      <c r="BY52" s="446" t="s">
        <v>235</v>
      </c>
      <c r="BZ52" s="447"/>
      <c r="CA52" s="447"/>
      <c r="CB52" s="448"/>
      <c r="CC52" s="155"/>
      <c r="CD52" s="155"/>
      <c r="CH52" s="259"/>
      <c r="CM52" s="259"/>
      <c r="CR52" s="259"/>
      <c r="CT52" s="155"/>
      <c r="CW52" s="259"/>
      <c r="DB52" s="259"/>
      <c r="DG52" s="259"/>
      <c r="DI52" s="155"/>
      <c r="DJ52" s="192"/>
    </row>
    <row r="53" spans="1:114" s="154" customFormat="1" ht="16.5" customHeight="1" x14ac:dyDescent="0.4">
      <c r="A53" s="183"/>
      <c r="H53" s="184"/>
      <c r="J53" s="174">
        <v>1</v>
      </c>
      <c r="K53" s="331"/>
      <c r="L53" s="332"/>
      <c r="M53" s="333"/>
      <c r="O53" s="174">
        <v>1</v>
      </c>
      <c r="P53" s="331"/>
      <c r="Q53" s="332"/>
      <c r="R53" s="333"/>
      <c r="T53" s="174">
        <v>1</v>
      </c>
      <c r="U53" s="331"/>
      <c r="V53" s="332"/>
      <c r="W53" s="332"/>
      <c r="X53" s="333"/>
      <c r="Y53" s="158"/>
      <c r="Z53" s="174">
        <v>1</v>
      </c>
      <c r="AA53" s="331"/>
      <c r="AB53" s="332"/>
      <c r="AC53" s="333"/>
      <c r="AF53" s="381" t="s">
        <v>248</v>
      </c>
      <c r="AG53" s="382"/>
      <c r="AH53" s="382"/>
      <c r="AI53" s="383"/>
      <c r="AK53" s="362"/>
      <c r="AL53" s="363"/>
      <c r="AM53" s="363"/>
      <c r="AN53" s="364"/>
      <c r="AP53" s="362"/>
      <c r="AQ53" s="363"/>
      <c r="AR53" s="363"/>
      <c r="AS53" s="364"/>
      <c r="AT53" s="160"/>
      <c r="AU53" s="362"/>
      <c r="AV53" s="363"/>
      <c r="AW53" s="363"/>
      <c r="AX53" s="364"/>
      <c r="AZ53" s="362"/>
      <c r="BA53" s="363"/>
      <c r="BB53" s="363"/>
      <c r="BC53" s="364"/>
      <c r="BE53" s="362"/>
      <c r="BF53" s="363"/>
      <c r="BG53" s="363"/>
      <c r="BH53" s="364"/>
      <c r="BJ53" s="174">
        <v>1</v>
      </c>
      <c r="BK53" s="359"/>
      <c r="BL53" s="360"/>
      <c r="BM53" s="361"/>
      <c r="BO53" s="174">
        <v>1</v>
      </c>
      <c r="BP53" s="359"/>
      <c r="BQ53" s="360"/>
      <c r="BR53" s="361"/>
      <c r="BT53" s="174">
        <v>1</v>
      </c>
      <c r="BU53" s="359"/>
      <c r="BV53" s="360"/>
      <c r="BW53" s="361"/>
      <c r="BX53" s="158"/>
      <c r="BY53" s="174">
        <v>1</v>
      </c>
      <c r="BZ53" s="359"/>
      <c r="CA53" s="360"/>
      <c r="CB53" s="361"/>
      <c r="CC53" s="155"/>
      <c r="CD53" s="155"/>
      <c r="CF53" s="381" t="s">
        <v>248</v>
      </c>
      <c r="CG53" s="382"/>
      <c r="CH53" s="382"/>
      <c r="CI53" s="383"/>
      <c r="CK53" s="362"/>
      <c r="CL53" s="363"/>
      <c r="CM53" s="363"/>
      <c r="CN53" s="364"/>
      <c r="CP53" s="362"/>
      <c r="CQ53" s="363"/>
      <c r="CR53" s="363"/>
      <c r="CS53" s="364"/>
      <c r="CT53" s="160"/>
      <c r="CU53" s="362"/>
      <c r="CV53" s="363"/>
      <c r="CW53" s="363"/>
      <c r="CX53" s="364"/>
      <c r="CZ53" s="362"/>
      <c r="DA53" s="363"/>
      <c r="DB53" s="363"/>
      <c r="DC53" s="364"/>
      <c r="DE53" s="362"/>
      <c r="DF53" s="363"/>
      <c r="DG53" s="363"/>
      <c r="DH53" s="364"/>
      <c r="DI53" s="160"/>
      <c r="DJ53" s="192"/>
    </row>
    <row r="54" spans="1:114" s="154" customFormat="1" ht="16.5" customHeight="1" x14ac:dyDescent="0.25">
      <c r="A54" s="183"/>
      <c r="H54" s="184"/>
      <c r="J54" s="219"/>
      <c r="K54" s="219"/>
      <c r="L54" s="219"/>
      <c r="M54" s="219"/>
      <c r="O54" s="219"/>
      <c r="P54" s="219"/>
      <c r="Q54" s="219"/>
      <c r="R54" s="219"/>
      <c r="T54" s="219"/>
      <c r="U54" s="219"/>
      <c r="V54" s="219"/>
      <c r="W54" s="219"/>
      <c r="X54" s="258"/>
      <c r="Y54" s="228"/>
      <c r="Z54" s="219"/>
      <c r="AA54" s="219"/>
      <c r="AB54" s="258"/>
      <c r="AC54" s="219"/>
      <c r="AF54" s="260">
        <v>1</v>
      </c>
      <c r="AG54" s="428"/>
      <c r="AH54" s="429"/>
      <c r="AI54" s="430"/>
      <c r="AK54" s="174"/>
      <c r="AL54" s="359"/>
      <c r="AM54" s="360"/>
      <c r="AN54" s="361"/>
      <c r="AP54" s="174"/>
      <c r="AQ54" s="359"/>
      <c r="AR54" s="360"/>
      <c r="AS54" s="361"/>
      <c r="AT54" s="228"/>
      <c r="AU54" s="261"/>
      <c r="AV54" s="359"/>
      <c r="AW54" s="360"/>
      <c r="AX54" s="361"/>
      <c r="AZ54" s="174"/>
      <c r="BA54" s="359"/>
      <c r="BB54" s="360"/>
      <c r="BC54" s="361"/>
      <c r="BE54" s="174"/>
      <c r="BF54" s="359"/>
      <c r="BG54" s="360"/>
      <c r="BH54" s="361"/>
      <c r="BJ54" s="219"/>
      <c r="BK54" s="219"/>
      <c r="BL54" s="219"/>
      <c r="BM54" s="219"/>
      <c r="BO54" s="219"/>
      <c r="BP54" s="219"/>
      <c r="BQ54" s="219"/>
      <c r="BR54" s="219"/>
      <c r="BT54" s="219"/>
      <c r="BU54" s="219"/>
      <c r="BV54" s="219"/>
      <c r="BW54" s="258"/>
      <c r="BX54" s="228"/>
      <c r="BY54" s="219"/>
      <c r="BZ54" s="219"/>
      <c r="CA54" s="258"/>
      <c r="CB54" s="219"/>
      <c r="CC54" s="155"/>
      <c r="CD54" s="155"/>
      <c r="CF54" s="260">
        <v>1</v>
      </c>
      <c r="CG54" s="428"/>
      <c r="CH54" s="429"/>
      <c r="CI54" s="430"/>
      <c r="CK54" s="174"/>
      <c r="CL54" s="359"/>
      <c r="CM54" s="360"/>
      <c r="CN54" s="361"/>
      <c r="CP54" s="174"/>
      <c r="CQ54" s="359"/>
      <c r="CR54" s="360"/>
      <c r="CS54" s="361"/>
      <c r="CT54" s="228"/>
      <c r="CU54" s="261"/>
      <c r="CV54" s="359"/>
      <c r="CW54" s="360"/>
      <c r="CX54" s="361"/>
      <c r="CZ54" s="174"/>
      <c r="DA54" s="359"/>
      <c r="DB54" s="360"/>
      <c r="DC54" s="361"/>
      <c r="DE54" s="174"/>
      <c r="DF54" s="359"/>
      <c r="DG54" s="360"/>
      <c r="DH54" s="361"/>
      <c r="DI54" s="228"/>
      <c r="DJ54" s="192"/>
    </row>
    <row r="55" spans="1:114" s="154" customFormat="1" ht="16.5" customHeight="1" x14ac:dyDescent="0.25">
      <c r="A55" s="183"/>
      <c r="H55" s="184"/>
      <c r="J55" s="219"/>
      <c r="K55" s="219"/>
      <c r="L55" s="219"/>
      <c r="M55" s="219"/>
      <c r="O55" s="219"/>
      <c r="P55" s="219"/>
      <c r="Q55" s="219"/>
      <c r="R55" s="219"/>
      <c r="T55" s="219"/>
      <c r="U55" s="219"/>
      <c r="V55" s="219"/>
      <c r="W55" s="219"/>
      <c r="X55" s="223"/>
      <c r="Y55" s="228"/>
      <c r="Z55" s="219"/>
      <c r="AA55" s="219"/>
      <c r="AB55" s="223"/>
      <c r="AC55" s="219"/>
      <c r="AF55" s="219"/>
      <c r="AG55" s="219"/>
      <c r="AH55" s="258"/>
      <c r="AI55" s="219"/>
      <c r="AK55" s="219"/>
      <c r="AL55" s="219"/>
      <c r="AM55" s="258"/>
      <c r="AN55" s="219"/>
      <c r="AP55" s="219"/>
      <c r="AQ55" s="219"/>
      <c r="AR55" s="258"/>
      <c r="AS55" s="219"/>
      <c r="AT55" s="228"/>
      <c r="AU55" s="219"/>
      <c r="AV55" s="219"/>
      <c r="AW55" s="258"/>
      <c r="AX55" s="219"/>
      <c r="AZ55" s="219"/>
      <c r="BA55" s="219"/>
      <c r="BB55" s="258"/>
      <c r="BC55" s="219"/>
      <c r="BE55" s="219"/>
      <c r="BF55" s="219"/>
      <c r="BG55" s="219"/>
      <c r="BH55" s="219"/>
      <c r="BJ55" s="219"/>
      <c r="BK55" s="219"/>
      <c r="BL55" s="219"/>
      <c r="BM55" s="219"/>
      <c r="BO55" s="219"/>
      <c r="BP55" s="219"/>
      <c r="BQ55" s="219"/>
      <c r="BR55" s="219"/>
      <c r="BT55" s="219"/>
      <c r="BU55" s="219"/>
      <c r="BV55" s="219"/>
      <c r="BW55" s="223"/>
      <c r="BX55" s="228"/>
      <c r="BY55" s="219"/>
      <c r="BZ55" s="219"/>
      <c r="CA55" s="223"/>
      <c r="CB55" s="219"/>
      <c r="CC55" s="155"/>
      <c r="CD55" s="155"/>
      <c r="CF55" s="219"/>
      <c r="CG55" s="219"/>
      <c r="CH55" s="258"/>
      <c r="CI55" s="219"/>
      <c r="CK55" s="219"/>
      <c r="CL55" s="219"/>
      <c r="CM55" s="258"/>
      <c r="CN55" s="219"/>
      <c r="CP55" s="219"/>
      <c r="CQ55" s="219"/>
      <c r="CR55" s="258"/>
      <c r="CS55" s="219"/>
      <c r="CT55" s="228"/>
      <c r="CU55" s="219"/>
      <c r="CV55" s="219"/>
      <c r="CW55" s="258"/>
      <c r="CX55" s="219"/>
      <c r="CZ55" s="219"/>
      <c r="DA55" s="219"/>
      <c r="DB55" s="258"/>
      <c r="DC55" s="219"/>
      <c r="DE55" s="219"/>
      <c r="DF55" s="219"/>
      <c r="DG55" s="258"/>
      <c r="DH55" s="219"/>
      <c r="DI55" s="228"/>
      <c r="DJ55" s="192"/>
    </row>
    <row r="56" spans="1:114" s="154" customFormat="1" ht="16.5" customHeight="1" x14ac:dyDescent="0.25">
      <c r="A56" s="183"/>
      <c r="H56" s="184"/>
      <c r="X56" s="259"/>
      <c r="Y56" s="155"/>
      <c r="AB56" s="259"/>
      <c r="AH56" s="259"/>
      <c r="AM56" s="259"/>
      <c r="AR56" s="259"/>
      <c r="AW56" s="259"/>
      <c r="BB56" s="259"/>
      <c r="BW56" s="259"/>
      <c r="BX56" s="155"/>
      <c r="CA56" s="259"/>
      <c r="CC56" s="155"/>
      <c r="CD56" s="155"/>
      <c r="CH56" s="259"/>
      <c r="CM56" s="259"/>
      <c r="CR56" s="259"/>
      <c r="CW56" s="259"/>
      <c r="DB56" s="259"/>
      <c r="DG56" s="259"/>
      <c r="DI56" s="155"/>
      <c r="DJ56" s="192"/>
    </row>
    <row r="57" spans="1:114" s="154" customFormat="1" ht="16.5" customHeight="1" x14ac:dyDescent="0.4">
      <c r="A57" s="183"/>
      <c r="H57" s="184"/>
      <c r="J57" s="351" t="s">
        <v>76</v>
      </c>
      <c r="K57" s="332"/>
      <c r="L57" s="332"/>
      <c r="M57" s="333"/>
      <c r="O57" s="351" t="s">
        <v>76</v>
      </c>
      <c r="P57" s="332"/>
      <c r="Q57" s="332"/>
      <c r="R57" s="333"/>
      <c r="T57" s="351" t="s">
        <v>236</v>
      </c>
      <c r="U57" s="332"/>
      <c r="V57" s="332"/>
      <c r="W57" s="332"/>
      <c r="X57" s="333"/>
      <c r="Y57" s="263"/>
      <c r="Z57" s="351" t="s">
        <v>236</v>
      </c>
      <c r="AA57" s="332"/>
      <c r="AB57" s="332"/>
      <c r="AC57" s="333"/>
      <c r="AF57" s="381" t="s">
        <v>133</v>
      </c>
      <c r="AG57" s="382"/>
      <c r="AH57" s="382"/>
      <c r="AI57" s="383"/>
      <c r="AK57" s="362"/>
      <c r="AL57" s="363"/>
      <c r="AM57" s="363"/>
      <c r="AN57" s="364"/>
      <c r="AP57" s="362"/>
      <c r="AQ57" s="363"/>
      <c r="AR57" s="363"/>
      <c r="AS57" s="364"/>
      <c r="AT57" s="160"/>
      <c r="AU57" s="362"/>
      <c r="AV57" s="363"/>
      <c r="AW57" s="363"/>
      <c r="AX57" s="364"/>
      <c r="AZ57" s="362"/>
      <c r="BA57" s="363"/>
      <c r="BB57" s="363"/>
      <c r="BC57" s="364"/>
      <c r="BE57" s="362"/>
      <c r="BF57" s="363"/>
      <c r="BG57" s="363"/>
      <c r="BH57" s="364"/>
      <c r="BJ57" s="399" t="s">
        <v>76</v>
      </c>
      <c r="BK57" s="400"/>
      <c r="BL57" s="400"/>
      <c r="BM57" s="401"/>
      <c r="BO57" s="399" t="s">
        <v>76</v>
      </c>
      <c r="BP57" s="400"/>
      <c r="BQ57" s="400"/>
      <c r="BR57" s="401"/>
      <c r="BT57" s="399" t="s">
        <v>236</v>
      </c>
      <c r="BU57" s="400"/>
      <c r="BV57" s="400"/>
      <c r="BW57" s="401"/>
      <c r="BX57" s="263"/>
      <c r="BY57" s="399" t="s">
        <v>236</v>
      </c>
      <c r="BZ57" s="400"/>
      <c r="CA57" s="400"/>
      <c r="CB57" s="401"/>
      <c r="CC57" s="155"/>
      <c r="CD57" s="155"/>
      <c r="CF57" s="381" t="s">
        <v>133</v>
      </c>
      <c r="CG57" s="382"/>
      <c r="CH57" s="382"/>
      <c r="CI57" s="383"/>
      <c r="CK57" s="362"/>
      <c r="CL57" s="363"/>
      <c r="CM57" s="363"/>
      <c r="CN57" s="364"/>
      <c r="CP57" s="362"/>
      <c r="CQ57" s="363"/>
      <c r="CR57" s="363"/>
      <c r="CS57" s="364"/>
      <c r="CT57" s="160"/>
      <c r="CU57" s="362"/>
      <c r="CV57" s="363"/>
      <c r="CW57" s="363"/>
      <c r="CX57" s="364"/>
      <c r="CZ57" s="362"/>
      <c r="DA57" s="363"/>
      <c r="DB57" s="363"/>
      <c r="DC57" s="364"/>
      <c r="DE57" s="362"/>
      <c r="DF57" s="363"/>
      <c r="DG57" s="363"/>
      <c r="DH57" s="364"/>
      <c r="DI57" s="160"/>
      <c r="DJ57" s="192"/>
    </row>
    <row r="58" spans="1:114" s="154" customFormat="1" ht="16.5" customHeight="1" x14ac:dyDescent="0.4">
      <c r="A58" s="183"/>
      <c r="H58" s="184"/>
      <c r="J58" s="174">
        <v>1</v>
      </c>
      <c r="K58" s="331"/>
      <c r="L58" s="332"/>
      <c r="M58" s="333"/>
      <c r="O58" s="174">
        <v>1</v>
      </c>
      <c r="P58" s="331"/>
      <c r="Q58" s="332"/>
      <c r="R58" s="333"/>
      <c r="T58" s="174">
        <v>1</v>
      </c>
      <c r="U58" s="331"/>
      <c r="V58" s="332"/>
      <c r="W58" s="332"/>
      <c r="X58" s="333"/>
      <c r="Y58" s="158"/>
      <c r="Z58" s="174">
        <v>1</v>
      </c>
      <c r="AA58" s="331"/>
      <c r="AB58" s="332"/>
      <c r="AC58" s="333"/>
      <c r="AF58" s="260">
        <v>1</v>
      </c>
      <c r="AG58" s="417" t="s">
        <v>97</v>
      </c>
      <c r="AH58" s="418"/>
      <c r="AI58" s="419"/>
      <c r="AK58" s="174"/>
      <c r="AL58" s="359"/>
      <c r="AM58" s="360"/>
      <c r="AN58" s="361"/>
      <c r="AP58" s="174"/>
      <c r="AQ58" s="359"/>
      <c r="AR58" s="360"/>
      <c r="AS58" s="361"/>
      <c r="AT58" s="160"/>
      <c r="AU58" s="174"/>
      <c r="AV58" s="359"/>
      <c r="AW58" s="360"/>
      <c r="AX58" s="361"/>
      <c r="AZ58" s="174"/>
      <c r="BA58" s="359"/>
      <c r="BB58" s="360"/>
      <c r="BC58" s="361"/>
      <c r="BE58" s="174"/>
      <c r="BF58" s="359"/>
      <c r="BG58" s="360"/>
      <c r="BH58" s="361"/>
      <c r="BJ58" s="174">
        <v>1</v>
      </c>
      <c r="BK58" s="359"/>
      <c r="BL58" s="360"/>
      <c r="BM58" s="361"/>
      <c r="BO58" s="174">
        <v>1</v>
      </c>
      <c r="BP58" s="359"/>
      <c r="BQ58" s="360"/>
      <c r="BR58" s="361"/>
      <c r="BT58" s="174">
        <v>1</v>
      </c>
      <c r="BU58" s="359"/>
      <c r="BV58" s="360"/>
      <c r="BW58" s="361"/>
      <c r="BX58" s="158"/>
      <c r="BY58" s="174">
        <v>1</v>
      </c>
      <c r="BZ58" s="359"/>
      <c r="CA58" s="360"/>
      <c r="CB58" s="361"/>
      <c r="CC58" s="155"/>
      <c r="CD58" s="155"/>
      <c r="CF58" s="260">
        <v>1</v>
      </c>
      <c r="CG58" s="428" t="s">
        <v>97</v>
      </c>
      <c r="CH58" s="429"/>
      <c r="CI58" s="430"/>
      <c r="CK58" s="174"/>
      <c r="CL58" s="359"/>
      <c r="CM58" s="360"/>
      <c r="CN58" s="361"/>
      <c r="CP58" s="174"/>
      <c r="CQ58" s="359"/>
      <c r="CR58" s="360"/>
      <c r="CS58" s="361"/>
      <c r="CT58" s="160"/>
      <c r="CU58" s="174"/>
      <c r="CV58" s="359"/>
      <c r="CW58" s="360"/>
      <c r="CX58" s="361"/>
      <c r="CZ58" s="174"/>
      <c r="DA58" s="359"/>
      <c r="DB58" s="360"/>
      <c r="DC58" s="361"/>
      <c r="DE58" s="174"/>
      <c r="DF58" s="359"/>
      <c r="DG58" s="360"/>
      <c r="DH58" s="361"/>
      <c r="DI58" s="228"/>
      <c r="DJ58" s="192"/>
    </row>
    <row r="59" spans="1:114" s="154" customFormat="1" ht="16.5" customHeight="1" x14ac:dyDescent="0.25">
      <c r="A59" s="183"/>
      <c r="H59" s="184"/>
      <c r="J59" s="219"/>
      <c r="K59" s="219"/>
      <c r="L59" s="219"/>
      <c r="M59" s="219"/>
      <c r="O59" s="219"/>
      <c r="P59" s="219"/>
      <c r="Q59" s="219"/>
      <c r="R59" s="219"/>
      <c r="T59" s="219"/>
      <c r="U59" s="219"/>
      <c r="V59" s="219"/>
      <c r="W59" s="219"/>
      <c r="X59" s="258"/>
      <c r="Y59" s="228"/>
      <c r="Z59" s="219"/>
      <c r="AA59" s="219"/>
      <c r="AB59" s="258"/>
      <c r="AC59" s="219"/>
      <c r="AH59" s="258"/>
      <c r="AT59" s="155"/>
      <c r="BJ59" s="219"/>
      <c r="BK59" s="219"/>
      <c r="BL59" s="219"/>
      <c r="BM59" s="219"/>
      <c r="BO59" s="219"/>
      <c r="BP59" s="219"/>
      <c r="BQ59" s="219"/>
      <c r="BR59" s="219"/>
      <c r="BT59" s="219"/>
      <c r="BU59" s="219"/>
      <c r="BV59" s="219"/>
      <c r="BW59" s="258"/>
      <c r="BX59" s="228"/>
      <c r="BY59" s="219"/>
      <c r="BZ59" s="219"/>
      <c r="CA59" s="258"/>
      <c r="CB59" s="219"/>
      <c r="CC59" s="155"/>
      <c r="CD59" s="155"/>
      <c r="CH59" s="258"/>
      <c r="CT59" s="155"/>
      <c r="DI59" s="155"/>
      <c r="DJ59" s="192"/>
    </row>
    <row r="60" spans="1:114" s="154" customFormat="1" ht="16.5" customHeight="1" x14ac:dyDescent="0.25">
      <c r="A60" s="183"/>
      <c r="H60" s="184"/>
      <c r="J60" s="219"/>
      <c r="K60" s="219"/>
      <c r="L60" s="219"/>
      <c r="M60" s="219"/>
      <c r="O60" s="219"/>
      <c r="P60" s="219"/>
      <c r="Q60" s="219"/>
      <c r="R60" s="219"/>
      <c r="T60" s="219"/>
      <c r="U60" s="219"/>
      <c r="V60" s="219"/>
      <c r="W60" s="219"/>
      <c r="X60" s="223"/>
      <c r="Y60" s="228"/>
      <c r="Z60" s="219"/>
      <c r="AA60" s="219"/>
      <c r="AB60" s="223"/>
      <c r="AC60" s="219"/>
      <c r="AH60" s="259"/>
      <c r="AT60" s="155"/>
      <c r="BJ60" s="219"/>
      <c r="BK60" s="219"/>
      <c r="BL60" s="219"/>
      <c r="BM60" s="219"/>
      <c r="BO60" s="219"/>
      <c r="BP60" s="219"/>
      <c r="BQ60" s="219"/>
      <c r="BR60" s="219"/>
      <c r="BT60" s="219"/>
      <c r="BU60" s="219"/>
      <c r="BV60" s="219"/>
      <c r="BW60" s="223"/>
      <c r="BX60" s="228"/>
      <c r="BY60" s="219"/>
      <c r="BZ60" s="219"/>
      <c r="CA60" s="223"/>
      <c r="CB60" s="219"/>
      <c r="CC60" s="155"/>
      <c r="CD60" s="155"/>
      <c r="CH60" s="259"/>
      <c r="CT60" s="155"/>
      <c r="DI60" s="155"/>
      <c r="DJ60" s="192"/>
    </row>
    <row r="61" spans="1:114" s="154" customFormat="1" ht="16.5" customHeight="1" x14ac:dyDescent="0.25">
      <c r="A61" s="183"/>
      <c r="H61" s="184"/>
      <c r="X61" s="259"/>
      <c r="Y61" s="155"/>
      <c r="AB61" s="259"/>
      <c r="AF61" s="381" t="s">
        <v>142</v>
      </c>
      <c r="AG61" s="382"/>
      <c r="AH61" s="382"/>
      <c r="AI61" s="383"/>
      <c r="AT61" s="155"/>
      <c r="BW61" s="259"/>
      <c r="BX61" s="155"/>
      <c r="CA61" s="259"/>
      <c r="CC61" s="155"/>
      <c r="CD61" s="155"/>
      <c r="CF61" s="381" t="s">
        <v>142</v>
      </c>
      <c r="CG61" s="382"/>
      <c r="CH61" s="382"/>
      <c r="CI61" s="383"/>
      <c r="CT61" s="155"/>
      <c r="DI61" s="155"/>
      <c r="DJ61" s="192"/>
    </row>
    <row r="62" spans="1:114" s="154" customFormat="1" ht="16.2" customHeight="1" x14ac:dyDescent="0.4">
      <c r="A62" s="183"/>
      <c r="H62" s="184"/>
      <c r="J62" s="351" t="s">
        <v>226</v>
      </c>
      <c r="K62" s="332"/>
      <c r="L62" s="332"/>
      <c r="M62" s="333"/>
      <c r="O62" s="351" t="s">
        <v>82</v>
      </c>
      <c r="P62" s="332"/>
      <c r="Q62" s="332"/>
      <c r="R62" s="333"/>
      <c r="T62" s="351" t="s">
        <v>77</v>
      </c>
      <c r="U62" s="332"/>
      <c r="V62" s="332"/>
      <c r="W62" s="332"/>
      <c r="X62" s="333"/>
      <c r="Y62" s="158"/>
      <c r="Z62" s="351" t="s">
        <v>77</v>
      </c>
      <c r="AA62" s="332"/>
      <c r="AB62" s="332"/>
      <c r="AC62" s="333"/>
      <c r="AF62" s="260">
        <v>1</v>
      </c>
      <c r="AG62" s="417" t="s">
        <v>97</v>
      </c>
      <c r="AH62" s="418"/>
      <c r="AI62" s="419"/>
      <c r="AT62" s="155"/>
      <c r="BJ62" s="399" t="s">
        <v>226</v>
      </c>
      <c r="BK62" s="400"/>
      <c r="BL62" s="400"/>
      <c r="BM62" s="401"/>
      <c r="BO62" s="399" t="s">
        <v>82</v>
      </c>
      <c r="BP62" s="400"/>
      <c r="BQ62" s="400"/>
      <c r="BR62" s="401"/>
      <c r="BT62" s="399" t="s">
        <v>77</v>
      </c>
      <c r="BU62" s="400"/>
      <c r="BV62" s="400"/>
      <c r="BW62" s="401"/>
      <c r="BX62" s="158"/>
      <c r="BY62" s="399" t="s">
        <v>77</v>
      </c>
      <c r="BZ62" s="400"/>
      <c r="CA62" s="400"/>
      <c r="CB62" s="401"/>
      <c r="CC62" s="155"/>
      <c r="CD62" s="155"/>
      <c r="CF62" s="260">
        <v>1</v>
      </c>
      <c r="CG62" s="428" t="s">
        <v>97</v>
      </c>
      <c r="CH62" s="429"/>
      <c r="CI62" s="430"/>
      <c r="CT62" s="155"/>
      <c r="DI62" s="155"/>
      <c r="DJ62" s="192"/>
    </row>
    <row r="63" spans="1:114" s="161" customFormat="1" ht="16.5" customHeight="1" x14ac:dyDescent="0.4">
      <c r="A63" s="265"/>
      <c r="H63" s="266"/>
      <c r="J63" s="281">
        <v>1</v>
      </c>
      <c r="K63" s="388"/>
      <c r="L63" s="332"/>
      <c r="M63" s="333"/>
      <c r="O63" s="281">
        <v>1</v>
      </c>
      <c r="P63" s="388"/>
      <c r="Q63" s="332"/>
      <c r="R63" s="333"/>
      <c r="T63" s="281">
        <v>1</v>
      </c>
      <c r="U63" s="388"/>
      <c r="V63" s="332"/>
      <c r="W63" s="332"/>
      <c r="X63" s="333"/>
      <c r="Y63" s="158"/>
      <c r="Z63" s="281">
        <v>1</v>
      </c>
      <c r="AA63" s="388"/>
      <c r="AB63" s="332"/>
      <c r="AC63" s="333"/>
      <c r="AH63" s="305"/>
      <c r="AK63" s="154"/>
      <c r="AT63" s="158"/>
      <c r="BJ63" s="281">
        <v>1</v>
      </c>
      <c r="BK63" s="408"/>
      <c r="BL63" s="409"/>
      <c r="BM63" s="410"/>
      <c r="BO63" s="281">
        <v>1</v>
      </c>
      <c r="BP63" s="408"/>
      <c r="BQ63" s="409"/>
      <c r="BR63" s="410"/>
      <c r="BT63" s="281">
        <v>1</v>
      </c>
      <c r="BU63" s="408"/>
      <c r="BV63" s="409"/>
      <c r="BW63" s="410"/>
      <c r="BX63" s="158"/>
      <c r="BY63" s="281">
        <v>1</v>
      </c>
      <c r="BZ63" s="408"/>
      <c r="CA63" s="409"/>
      <c r="CB63" s="410"/>
      <c r="CC63" s="158"/>
      <c r="CD63" s="158"/>
      <c r="CH63" s="305"/>
      <c r="CT63" s="158"/>
      <c r="DI63" s="158"/>
      <c r="DJ63" s="267"/>
    </row>
    <row r="64" spans="1:114" s="154" customFormat="1" ht="16.5" customHeight="1" x14ac:dyDescent="0.25">
      <c r="A64" s="183"/>
      <c r="H64" s="184"/>
      <c r="J64" s="219"/>
      <c r="K64" s="219"/>
      <c r="L64" s="219"/>
      <c r="M64" s="219"/>
      <c r="O64" s="219"/>
      <c r="P64" s="219"/>
      <c r="Q64" s="219"/>
      <c r="R64" s="219"/>
      <c r="T64" s="219"/>
      <c r="U64" s="219"/>
      <c r="V64" s="219"/>
      <c r="W64" s="219"/>
      <c r="X64" s="264"/>
      <c r="Y64" s="228"/>
      <c r="Z64" s="219"/>
      <c r="AA64" s="219"/>
      <c r="AB64" s="264"/>
      <c r="AC64" s="219"/>
      <c r="AH64" s="259"/>
      <c r="AT64" s="155"/>
      <c r="BJ64" s="219"/>
      <c r="BK64" s="219"/>
      <c r="BL64" s="219"/>
      <c r="BM64" s="219"/>
      <c r="BO64" s="219"/>
      <c r="BP64" s="219"/>
      <c r="BQ64" s="219"/>
      <c r="BR64" s="219"/>
      <c r="BT64" s="219"/>
      <c r="BU64" s="219"/>
      <c r="BV64" s="219"/>
      <c r="BW64" s="264"/>
      <c r="BX64" s="228"/>
      <c r="BY64" s="219"/>
      <c r="BZ64" s="219"/>
      <c r="CA64" s="264"/>
      <c r="CB64" s="219"/>
      <c r="CC64" s="155"/>
      <c r="CD64" s="155"/>
      <c r="CH64" s="259"/>
      <c r="CT64" s="155"/>
      <c r="DI64" s="155"/>
      <c r="DJ64" s="192"/>
    </row>
    <row r="65" spans="1:114" s="154" customFormat="1" ht="16.5" customHeight="1" x14ac:dyDescent="0.4">
      <c r="A65" s="183"/>
      <c r="H65" s="184"/>
      <c r="J65" s="351" t="s">
        <v>95</v>
      </c>
      <c r="K65" s="332"/>
      <c r="L65" s="332"/>
      <c r="M65" s="333"/>
      <c r="O65" s="351" t="s">
        <v>95</v>
      </c>
      <c r="P65" s="332"/>
      <c r="Q65" s="332"/>
      <c r="R65" s="333"/>
      <c r="T65" s="351" t="s">
        <v>89</v>
      </c>
      <c r="U65" s="332"/>
      <c r="V65" s="332"/>
      <c r="W65" s="332"/>
      <c r="X65" s="333"/>
      <c r="Y65" s="158"/>
      <c r="Z65" s="351" t="s">
        <v>89</v>
      </c>
      <c r="AA65" s="332"/>
      <c r="AB65" s="332"/>
      <c r="AC65" s="333"/>
      <c r="AF65" s="362" t="s">
        <v>70</v>
      </c>
      <c r="AG65" s="363"/>
      <c r="AH65" s="363"/>
      <c r="AI65" s="364"/>
      <c r="AT65" s="155"/>
      <c r="BJ65" s="399" t="s">
        <v>95</v>
      </c>
      <c r="BK65" s="400"/>
      <c r="BL65" s="400"/>
      <c r="BM65" s="401"/>
      <c r="BO65" s="399" t="s">
        <v>95</v>
      </c>
      <c r="BP65" s="400"/>
      <c r="BQ65" s="400"/>
      <c r="BR65" s="401"/>
      <c r="BT65" s="399" t="s">
        <v>89</v>
      </c>
      <c r="BU65" s="400"/>
      <c r="BV65" s="400"/>
      <c r="BW65" s="401"/>
      <c r="BX65" s="158"/>
      <c r="BY65" s="399" t="s">
        <v>89</v>
      </c>
      <c r="BZ65" s="400"/>
      <c r="CA65" s="400"/>
      <c r="CB65" s="401"/>
      <c r="CC65" s="155"/>
      <c r="CD65" s="155"/>
      <c r="CF65" s="362" t="s">
        <v>70</v>
      </c>
      <c r="CG65" s="363"/>
      <c r="CH65" s="363"/>
      <c r="CI65" s="364"/>
      <c r="CT65" s="155"/>
      <c r="DI65" s="155"/>
      <c r="DJ65" s="192"/>
    </row>
    <row r="66" spans="1:114" s="161" customFormat="1" ht="16.5" customHeight="1" x14ac:dyDescent="0.4">
      <c r="A66" s="265"/>
      <c r="H66" s="266"/>
      <c r="J66" s="281">
        <v>1</v>
      </c>
      <c r="K66" s="389" t="s">
        <v>98</v>
      </c>
      <c r="L66" s="390"/>
      <c r="M66" s="391"/>
      <c r="O66" s="281">
        <v>1</v>
      </c>
      <c r="P66" s="389" t="s">
        <v>98</v>
      </c>
      <c r="Q66" s="390"/>
      <c r="R66" s="391"/>
      <c r="T66" s="281">
        <v>1</v>
      </c>
      <c r="U66" s="389" t="s">
        <v>99</v>
      </c>
      <c r="V66" s="390"/>
      <c r="W66" s="390"/>
      <c r="X66" s="391"/>
      <c r="Y66" s="158"/>
      <c r="Z66" s="281">
        <v>1</v>
      </c>
      <c r="AA66" s="389" t="s">
        <v>99</v>
      </c>
      <c r="AB66" s="390"/>
      <c r="AC66" s="391"/>
      <c r="AF66" s="261">
        <v>1</v>
      </c>
      <c r="AG66" s="411" t="s">
        <v>97</v>
      </c>
      <c r="AH66" s="412"/>
      <c r="AI66" s="413"/>
      <c r="AT66" s="158"/>
      <c r="BJ66" s="281">
        <v>1</v>
      </c>
      <c r="BK66" s="431" t="s">
        <v>98</v>
      </c>
      <c r="BL66" s="432"/>
      <c r="BM66" s="433"/>
      <c r="BO66" s="281">
        <v>1</v>
      </c>
      <c r="BP66" s="431" t="s">
        <v>98</v>
      </c>
      <c r="BQ66" s="432"/>
      <c r="BR66" s="433"/>
      <c r="BT66" s="281">
        <v>1</v>
      </c>
      <c r="BU66" s="414" t="s">
        <v>99</v>
      </c>
      <c r="BV66" s="415"/>
      <c r="BW66" s="416"/>
      <c r="BX66" s="158"/>
      <c r="BY66" s="281">
        <v>1</v>
      </c>
      <c r="BZ66" s="414" t="s">
        <v>99</v>
      </c>
      <c r="CA66" s="415"/>
      <c r="CB66" s="416"/>
      <c r="CC66" s="158"/>
      <c r="CD66" s="158"/>
      <c r="CF66" s="304">
        <v>1</v>
      </c>
      <c r="CG66" s="408" t="s">
        <v>97</v>
      </c>
      <c r="CH66" s="409"/>
      <c r="CI66" s="410"/>
      <c r="CT66" s="158"/>
      <c r="DI66" s="158"/>
      <c r="DJ66" s="267"/>
    </row>
    <row r="67" spans="1:114" s="154" customFormat="1" ht="16.5" customHeight="1" x14ac:dyDescent="0.25">
      <c r="A67" s="183"/>
      <c r="H67" s="184"/>
      <c r="X67" s="264"/>
      <c r="Y67" s="155"/>
      <c r="AB67" s="264"/>
      <c r="AF67" s="155"/>
      <c r="AG67" s="155"/>
      <c r="AH67" s="258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W67" s="264"/>
      <c r="BX67" s="155"/>
      <c r="CA67" s="264"/>
      <c r="CC67" s="155"/>
      <c r="CD67" s="155"/>
      <c r="CF67" s="155"/>
      <c r="CG67" s="155"/>
      <c r="CH67" s="258"/>
      <c r="CI67" s="155"/>
      <c r="CJ67" s="155"/>
      <c r="CK67" s="155"/>
      <c r="CL67" s="155"/>
      <c r="CM67" s="155"/>
      <c r="CN67" s="155"/>
      <c r="CO67" s="155"/>
      <c r="CP67" s="155"/>
      <c r="CQ67" s="155"/>
      <c r="CR67" s="155"/>
      <c r="CS67" s="155"/>
      <c r="CT67" s="155"/>
      <c r="CU67" s="155"/>
      <c r="CV67" s="155"/>
      <c r="CW67" s="155"/>
      <c r="CX67" s="155"/>
      <c r="CY67" s="155"/>
      <c r="CZ67" s="155"/>
      <c r="DA67" s="155"/>
      <c r="DB67" s="155"/>
      <c r="DC67" s="155"/>
      <c r="DD67" s="155"/>
      <c r="DE67" s="155"/>
      <c r="DF67" s="155"/>
      <c r="DG67" s="155"/>
      <c r="DH67" s="155"/>
      <c r="DI67" s="155"/>
      <c r="DJ67" s="192"/>
    </row>
    <row r="68" spans="1:114" s="154" customFormat="1" ht="16.5" customHeight="1" x14ac:dyDescent="0.4">
      <c r="A68" s="183"/>
      <c r="H68" s="184"/>
      <c r="J68" s="351" t="s">
        <v>106</v>
      </c>
      <c r="K68" s="332"/>
      <c r="L68" s="332"/>
      <c r="M68" s="333"/>
      <c r="O68" s="351" t="s">
        <v>106</v>
      </c>
      <c r="P68" s="332"/>
      <c r="Q68" s="332"/>
      <c r="R68" s="333"/>
      <c r="T68" s="351" t="s">
        <v>237</v>
      </c>
      <c r="U68" s="332"/>
      <c r="V68" s="332"/>
      <c r="W68" s="332"/>
      <c r="X68" s="333"/>
      <c r="Y68" s="158"/>
      <c r="Z68" s="351" t="s">
        <v>237</v>
      </c>
      <c r="AA68" s="332"/>
      <c r="AB68" s="332"/>
      <c r="AC68" s="333"/>
      <c r="AF68" s="208"/>
      <c r="AG68" s="208"/>
      <c r="AH68" s="259"/>
      <c r="AI68" s="208"/>
      <c r="AJ68" s="155"/>
      <c r="AK68" s="380"/>
      <c r="AL68" s="380"/>
      <c r="AM68" s="380"/>
      <c r="AN68" s="380"/>
      <c r="AO68" s="155"/>
      <c r="AP68" s="380"/>
      <c r="AQ68" s="380"/>
      <c r="AR68" s="380"/>
      <c r="AS68" s="380"/>
      <c r="AT68" s="160"/>
      <c r="AU68" s="380"/>
      <c r="AV68" s="380"/>
      <c r="AW68" s="380"/>
      <c r="AX68" s="380"/>
      <c r="AY68" s="155"/>
      <c r="AZ68" s="380"/>
      <c r="BA68" s="380"/>
      <c r="BB68" s="380"/>
      <c r="BC68" s="380"/>
      <c r="BD68" s="155"/>
      <c r="BE68" s="380"/>
      <c r="BF68" s="380"/>
      <c r="BG68" s="380"/>
      <c r="BH68" s="380"/>
      <c r="BJ68" s="465" t="s">
        <v>106</v>
      </c>
      <c r="BK68" s="466"/>
      <c r="BL68" s="466"/>
      <c r="BM68" s="467"/>
      <c r="BO68" s="399" t="s">
        <v>106</v>
      </c>
      <c r="BP68" s="400"/>
      <c r="BQ68" s="400"/>
      <c r="BR68" s="401"/>
      <c r="BT68" s="399" t="s">
        <v>237</v>
      </c>
      <c r="BU68" s="400"/>
      <c r="BV68" s="400"/>
      <c r="BW68" s="401"/>
      <c r="BX68" s="158"/>
      <c r="BY68" s="399" t="s">
        <v>237</v>
      </c>
      <c r="BZ68" s="400"/>
      <c r="CA68" s="400"/>
      <c r="CB68" s="401"/>
      <c r="CC68" s="155"/>
      <c r="CD68" s="155"/>
      <c r="CF68" s="208"/>
      <c r="CG68" s="208"/>
      <c r="CH68" s="259"/>
      <c r="CI68" s="208"/>
      <c r="CJ68" s="155"/>
      <c r="CK68" s="380"/>
      <c r="CL68" s="380"/>
      <c r="CM68" s="380"/>
      <c r="CN68" s="380"/>
      <c r="CO68" s="155"/>
      <c r="CP68" s="380"/>
      <c r="CQ68" s="380"/>
      <c r="CR68" s="380"/>
      <c r="CS68" s="380"/>
      <c r="CT68" s="160"/>
      <c r="CU68" s="380"/>
      <c r="CV68" s="380"/>
      <c r="CW68" s="380"/>
      <c r="CX68" s="380"/>
      <c r="CY68" s="155"/>
      <c r="CZ68" s="380"/>
      <c r="DA68" s="380"/>
      <c r="DB68" s="380"/>
      <c r="DC68" s="380"/>
      <c r="DD68" s="155"/>
      <c r="DE68" s="380"/>
      <c r="DF68" s="380"/>
      <c r="DG68" s="380"/>
      <c r="DH68" s="380"/>
      <c r="DI68" s="160"/>
      <c r="DJ68" s="192"/>
    </row>
    <row r="69" spans="1:114" s="161" customFormat="1" ht="16.5" customHeight="1" x14ac:dyDescent="0.4">
      <c r="A69" s="265"/>
      <c r="H69" s="266"/>
      <c r="J69" s="281">
        <v>1</v>
      </c>
      <c r="K69" s="389" t="s">
        <v>110</v>
      </c>
      <c r="L69" s="390"/>
      <c r="M69" s="391"/>
      <c r="O69" s="281">
        <v>1</v>
      </c>
      <c r="P69" s="389" t="s">
        <v>110</v>
      </c>
      <c r="Q69" s="390"/>
      <c r="R69" s="391"/>
      <c r="T69" s="281">
        <v>1</v>
      </c>
      <c r="U69" s="389" t="s">
        <v>67</v>
      </c>
      <c r="V69" s="390"/>
      <c r="W69" s="390"/>
      <c r="X69" s="391"/>
      <c r="Y69" s="158"/>
      <c r="Z69" s="281">
        <v>1</v>
      </c>
      <c r="AA69" s="389" t="s">
        <v>67</v>
      </c>
      <c r="AB69" s="390"/>
      <c r="AC69" s="391"/>
      <c r="AF69" s="425"/>
      <c r="AG69" s="426"/>
      <c r="AH69" s="426"/>
      <c r="AI69" s="427"/>
      <c r="AJ69" s="158"/>
      <c r="AK69" s="280"/>
      <c r="AL69" s="420"/>
      <c r="AM69" s="420"/>
      <c r="AN69" s="420"/>
      <c r="AO69" s="158"/>
      <c r="AP69" s="280"/>
      <c r="AQ69" s="420"/>
      <c r="AR69" s="420"/>
      <c r="AS69" s="420"/>
      <c r="AT69" s="280"/>
      <c r="AU69" s="280"/>
      <c r="AV69" s="420"/>
      <c r="AW69" s="420"/>
      <c r="AX69" s="420"/>
      <c r="AY69" s="158"/>
      <c r="AZ69" s="280"/>
      <c r="BA69" s="420"/>
      <c r="BB69" s="420"/>
      <c r="BC69" s="420"/>
      <c r="BD69" s="158"/>
      <c r="BE69" s="280"/>
      <c r="BF69" s="420"/>
      <c r="BG69" s="420"/>
      <c r="BH69" s="420"/>
      <c r="BJ69" s="281">
        <v>1</v>
      </c>
      <c r="BK69" s="431" t="s">
        <v>110</v>
      </c>
      <c r="BL69" s="432"/>
      <c r="BM69" s="433"/>
      <c r="BO69" s="281">
        <v>1</v>
      </c>
      <c r="BP69" s="431" t="s">
        <v>110</v>
      </c>
      <c r="BQ69" s="432"/>
      <c r="BR69" s="433"/>
      <c r="BT69" s="281">
        <v>1</v>
      </c>
      <c r="BU69" s="414" t="s">
        <v>67</v>
      </c>
      <c r="BV69" s="415"/>
      <c r="BW69" s="416"/>
      <c r="BX69" s="158"/>
      <c r="BY69" s="281">
        <v>1</v>
      </c>
      <c r="BZ69" s="414" t="s">
        <v>67</v>
      </c>
      <c r="CA69" s="415"/>
      <c r="CB69" s="416"/>
      <c r="CC69" s="158"/>
      <c r="CD69" s="158"/>
      <c r="CF69" s="425"/>
      <c r="CG69" s="426"/>
      <c r="CH69" s="426"/>
      <c r="CI69" s="427"/>
      <c r="CJ69" s="158"/>
      <c r="CK69" s="280"/>
      <c r="CL69" s="420"/>
      <c r="CM69" s="420"/>
      <c r="CN69" s="420"/>
      <c r="CO69" s="158"/>
      <c r="CP69" s="280"/>
      <c r="CQ69" s="420"/>
      <c r="CR69" s="420"/>
      <c r="CS69" s="420"/>
      <c r="CT69" s="280"/>
      <c r="CU69" s="280"/>
      <c r="CV69" s="420"/>
      <c r="CW69" s="420"/>
      <c r="CX69" s="420"/>
      <c r="CY69" s="158"/>
      <c r="CZ69" s="280"/>
      <c r="DA69" s="420"/>
      <c r="DB69" s="420"/>
      <c r="DC69" s="420"/>
      <c r="DD69" s="158"/>
      <c r="DE69" s="280"/>
      <c r="DF69" s="420"/>
      <c r="DG69" s="420"/>
      <c r="DH69" s="420"/>
      <c r="DI69" s="280"/>
      <c r="DJ69" s="267"/>
    </row>
    <row r="70" spans="1:114" s="154" customFormat="1" ht="16.5" customHeight="1" x14ac:dyDescent="0.25">
      <c r="A70" s="183"/>
      <c r="H70" s="184"/>
      <c r="X70" s="264"/>
      <c r="Y70" s="155"/>
      <c r="AB70" s="264"/>
      <c r="AF70" s="260"/>
      <c r="AG70" s="428"/>
      <c r="AH70" s="429"/>
      <c r="AI70" s="430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Q70" s="306"/>
      <c r="BW70" s="264"/>
      <c r="BX70" s="155"/>
      <c r="CA70" s="264"/>
      <c r="CC70" s="155"/>
      <c r="CD70" s="155"/>
      <c r="CF70" s="260"/>
      <c r="CG70" s="428"/>
      <c r="CH70" s="429"/>
      <c r="CI70" s="430"/>
      <c r="CJ70" s="155"/>
      <c r="CK70" s="155"/>
      <c r="CL70" s="155"/>
      <c r="CM70" s="155"/>
      <c r="CN70" s="155"/>
      <c r="CO70" s="155"/>
      <c r="CP70" s="155"/>
      <c r="CQ70" s="155"/>
      <c r="CR70" s="155"/>
      <c r="CS70" s="155"/>
      <c r="CT70" s="155"/>
      <c r="CU70" s="155"/>
      <c r="CV70" s="155"/>
      <c r="CW70" s="155"/>
      <c r="CX70" s="155"/>
      <c r="CY70" s="155"/>
      <c r="CZ70" s="155"/>
      <c r="DA70" s="155"/>
      <c r="DB70" s="155"/>
      <c r="DC70" s="155"/>
      <c r="DD70" s="155"/>
      <c r="DE70" s="155"/>
      <c r="DF70" s="155"/>
      <c r="DG70" s="155"/>
      <c r="DH70" s="155"/>
      <c r="DI70" s="155"/>
      <c r="DJ70" s="192"/>
    </row>
    <row r="71" spans="1:114" s="154" customFormat="1" ht="16.5" customHeight="1" x14ac:dyDescent="0.4">
      <c r="A71" s="183"/>
      <c r="H71" s="184"/>
      <c r="J71" s="351" t="s">
        <v>117</v>
      </c>
      <c r="K71" s="332"/>
      <c r="L71" s="332"/>
      <c r="M71" s="333"/>
      <c r="O71" s="351" t="s">
        <v>117</v>
      </c>
      <c r="P71" s="332"/>
      <c r="Q71" s="332"/>
      <c r="R71" s="333"/>
      <c r="T71" s="399" t="s">
        <v>238</v>
      </c>
      <c r="U71" s="400"/>
      <c r="V71" s="400"/>
      <c r="W71" s="400"/>
      <c r="X71" s="401"/>
      <c r="Y71" s="158"/>
      <c r="Z71" s="351" t="s">
        <v>238</v>
      </c>
      <c r="AA71" s="332"/>
      <c r="AB71" s="332"/>
      <c r="AC71" s="333"/>
      <c r="BJ71" s="351" t="s">
        <v>117</v>
      </c>
      <c r="BK71" s="332"/>
      <c r="BL71" s="332"/>
      <c r="BM71" s="333"/>
      <c r="BO71" s="351" t="s">
        <v>117</v>
      </c>
      <c r="BP71" s="332"/>
      <c r="BQ71" s="332"/>
      <c r="BR71" s="333"/>
      <c r="BT71" s="399" t="s">
        <v>238</v>
      </c>
      <c r="BU71" s="400"/>
      <c r="BV71" s="400"/>
      <c r="BW71" s="401"/>
      <c r="BX71" s="158"/>
      <c r="BY71" s="351" t="s">
        <v>238</v>
      </c>
      <c r="BZ71" s="332"/>
      <c r="CA71" s="332"/>
      <c r="CB71" s="333"/>
      <c r="CC71" s="155"/>
      <c r="CD71" s="155"/>
      <c r="CE71" s="380"/>
      <c r="CF71" s="380"/>
      <c r="CG71" s="380"/>
      <c r="CH71" s="380"/>
      <c r="CI71" s="155"/>
      <c r="CJ71" s="380"/>
      <c r="CK71" s="380"/>
      <c r="CL71" s="380"/>
      <c r="CM71" s="380"/>
      <c r="CN71" s="155"/>
      <c r="CO71" s="380"/>
      <c r="CP71" s="380"/>
      <c r="CQ71" s="380"/>
      <c r="CR71" s="380"/>
      <c r="CS71" s="160"/>
      <c r="CT71" s="380"/>
      <c r="CU71" s="380"/>
      <c r="CV71" s="380"/>
      <c r="CW71" s="380"/>
      <c r="CX71" s="155"/>
      <c r="CY71" s="380"/>
      <c r="CZ71" s="380"/>
      <c r="DA71" s="380"/>
      <c r="DB71" s="380"/>
      <c r="DC71" s="155"/>
      <c r="DD71" s="380"/>
      <c r="DE71" s="380"/>
      <c r="DF71" s="380"/>
      <c r="DG71" s="380"/>
      <c r="DH71" s="160"/>
      <c r="DI71" s="160"/>
      <c r="DJ71" s="192"/>
    </row>
    <row r="72" spans="1:114" s="161" customFormat="1" ht="16.5" customHeight="1" x14ac:dyDescent="0.4">
      <c r="A72" s="265"/>
      <c r="H72" s="266"/>
      <c r="J72" s="281">
        <v>3</v>
      </c>
      <c r="K72" s="392"/>
      <c r="L72" s="393"/>
      <c r="M72" s="394"/>
      <c r="O72" s="281">
        <v>3</v>
      </c>
      <c r="P72" s="392"/>
      <c r="Q72" s="393"/>
      <c r="R72" s="394"/>
      <c r="T72" s="281">
        <v>3</v>
      </c>
      <c r="U72" s="395"/>
      <c r="V72" s="396"/>
      <c r="W72" s="396"/>
      <c r="X72" s="397"/>
      <c r="Y72" s="158"/>
      <c r="Z72" s="281">
        <v>3</v>
      </c>
      <c r="AA72" s="398"/>
      <c r="AB72" s="332"/>
      <c r="AC72" s="333"/>
      <c r="BJ72" s="281">
        <v>3</v>
      </c>
      <c r="BK72" s="392"/>
      <c r="BL72" s="393"/>
      <c r="BM72" s="394"/>
      <c r="BO72" s="281">
        <v>3</v>
      </c>
      <c r="BP72" s="392"/>
      <c r="BQ72" s="393"/>
      <c r="BR72" s="394"/>
      <c r="BT72" s="281">
        <v>3</v>
      </c>
      <c r="BU72" s="395"/>
      <c r="BV72" s="396"/>
      <c r="BW72" s="397"/>
      <c r="BX72" s="158"/>
      <c r="BY72" s="281">
        <v>3</v>
      </c>
      <c r="BZ72" s="398"/>
      <c r="CA72" s="332"/>
      <c r="CB72" s="333"/>
      <c r="CC72" s="158"/>
      <c r="CD72" s="158"/>
      <c r="CE72" s="280"/>
      <c r="CF72" s="424"/>
      <c r="CG72" s="424"/>
      <c r="CH72" s="424"/>
      <c r="CI72" s="158"/>
      <c r="CJ72" s="280"/>
      <c r="CK72" s="424"/>
      <c r="CL72" s="424"/>
      <c r="CM72" s="424"/>
      <c r="CN72" s="158"/>
      <c r="CO72" s="280"/>
      <c r="CP72" s="424"/>
      <c r="CQ72" s="424"/>
      <c r="CR72" s="424"/>
      <c r="CS72" s="300"/>
      <c r="CT72" s="280"/>
      <c r="CU72" s="424"/>
      <c r="CV72" s="424"/>
      <c r="CW72" s="424"/>
      <c r="CX72" s="158"/>
      <c r="CY72" s="280"/>
      <c r="CZ72" s="424"/>
      <c r="DA72" s="424"/>
      <c r="DB72" s="424"/>
      <c r="DC72" s="158"/>
      <c r="DD72" s="280"/>
      <c r="DE72" s="424"/>
      <c r="DF72" s="424"/>
      <c r="DG72" s="424"/>
      <c r="DH72" s="300"/>
      <c r="DI72" s="300"/>
      <c r="DJ72" s="267"/>
    </row>
    <row r="73" spans="1:114" s="154" customFormat="1" ht="16.5" customHeight="1" x14ac:dyDescent="0.25">
      <c r="A73" s="183"/>
      <c r="H73" s="184"/>
      <c r="Y73" s="155"/>
      <c r="Z73" s="155"/>
      <c r="AA73" s="155"/>
      <c r="AB73" s="155"/>
      <c r="BX73" s="155"/>
      <c r="BY73" s="155"/>
      <c r="BZ73" s="155"/>
      <c r="CA73" s="155"/>
      <c r="CC73" s="155"/>
      <c r="CD73" s="155"/>
      <c r="CE73" s="155"/>
      <c r="CF73" s="155"/>
      <c r="CG73" s="155"/>
      <c r="CH73" s="155"/>
      <c r="CI73" s="155"/>
      <c r="CJ73" s="155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5"/>
      <c r="CY73" s="155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92"/>
    </row>
    <row r="74" spans="1:114" s="154" customFormat="1" ht="16.5" customHeight="1" x14ac:dyDescent="0.4">
      <c r="A74" s="183"/>
      <c r="H74" s="184"/>
      <c r="J74" s="351" t="s">
        <v>255</v>
      </c>
      <c r="K74" s="332"/>
      <c r="L74" s="332"/>
      <c r="M74" s="333"/>
      <c r="O74" s="351" t="s">
        <v>255</v>
      </c>
      <c r="P74" s="332"/>
      <c r="Q74" s="332"/>
      <c r="R74" s="333"/>
      <c r="T74" s="380"/>
      <c r="U74" s="380"/>
      <c r="V74" s="380"/>
      <c r="W74" s="380"/>
      <c r="X74" s="380"/>
      <c r="Y74" s="158"/>
      <c r="Z74" s="158"/>
      <c r="AA74" s="158"/>
      <c r="AB74" s="158"/>
      <c r="BJ74" s="351" t="s">
        <v>255</v>
      </c>
      <c r="BK74" s="332"/>
      <c r="BL74" s="332"/>
      <c r="BM74" s="333"/>
      <c r="BO74" s="351" t="s">
        <v>255</v>
      </c>
      <c r="BP74" s="332"/>
      <c r="BQ74" s="332"/>
      <c r="BR74" s="333"/>
      <c r="BT74" s="380"/>
      <c r="BU74" s="380"/>
      <c r="BV74" s="380"/>
      <c r="BW74" s="380"/>
      <c r="BX74" s="158"/>
      <c r="BY74" s="158"/>
      <c r="BZ74" s="158"/>
      <c r="CA74" s="158"/>
      <c r="CC74" s="155"/>
      <c r="CD74" s="155"/>
      <c r="CE74" s="380"/>
      <c r="CF74" s="380"/>
      <c r="CG74" s="380"/>
      <c r="CH74" s="380"/>
      <c r="CI74" s="155"/>
      <c r="CJ74" s="380"/>
      <c r="CK74" s="380"/>
      <c r="CL74" s="380"/>
      <c r="CM74" s="380"/>
      <c r="CN74" s="155"/>
      <c r="CO74" s="380"/>
      <c r="CP74" s="380"/>
      <c r="CQ74" s="380"/>
      <c r="CR74" s="380"/>
      <c r="CS74" s="160"/>
      <c r="CT74" s="380"/>
      <c r="CU74" s="380"/>
      <c r="CV74" s="380"/>
      <c r="CW74" s="380"/>
      <c r="CX74" s="155"/>
      <c r="CY74" s="380"/>
      <c r="CZ74" s="380"/>
      <c r="DA74" s="380"/>
      <c r="DB74" s="380"/>
      <c r="DC74" s="155"/>
      <c r="DD74" s="380"/>
      <c r="DE74" s="380"/>
      <c r="DF74" s="380"/>
      <c r="DG74" s="380"/>
      <c r="DH74" s="160"/>
      <c r="DI74" s="160"/>
      <c r="DJ74" s="192"/>
    </row>
    <row r="75" spans="1:114" s="154" customFormat="1" ht="16.5" customHeight="1" x14ac:dyDescent="0.4">
      <c r="A75" s="183"/>
      <c r="H75" s="184"/>
      <c r="J75" s="174">
        <v>3</v>
      </c>
      <c r="K75" s="402"/>
      <c r="L75" s="393"/>
      <c r="M75" s="394"/>
      <c r="O75" s="174">
        <v>3</v>
      </c>
      <c r="P75" s="402"/>
      <c r="Q75" s="393"/>
      <c r="R75" s="394"/>
      <c r="T75" s="160"/>
      <c r="U75" s="379"/>
      <c r="V75" s="379"/>
      <c r="W75" s="379"/>
      <c r="X75" s="379"/>
      <c r="Y75" s="158"/>
      <c r="Z75" s="158"/>
      <c r="AA75" s="158"/>
      <c r="AB75" s="158"/>
      <c r="BJ75" s="174">
        <v>3</v>
      </c>
      <c r="BK75" s="402"/>
      <c r="BL75" s="393"/>
      <c r="BM75" s="394"/>
      <c r="BO75" s="174">
        <v>3</v>
      </c>
      <c r="BP75" s="402"/>
      <c r="BQ75" s="393"/>
      <c r="BR75" s="394"/>
      <c r="BT75" s="160"/>
      <c r="BU75" s="379"/>
      <c r="BV75" s="379"/>
      <c r="BW75" s="379"/>
      <c r="BX75" s="158"/>
      <c r="BY75" s="158"/>
      <c r="BZ75" s="158"/>
      <c r="CA75" s="158"/>
      <c r="CC75" s="155"/>
      <c r="CD75" s="155"/>
      <c r="CE75" s="160"/>
      <c r="CF75" s="380"/>
      <c r="CG75" s="380"/>
      <c r="CH75" s="380"/>
      <c r="CI75" s="155"/>
      <c r="CJ75" s="160"/>
      <c r="CK75" s="379"/>
      <c r="CL75" s="379"/>
      <c r="CM75" s="379"/>
      <c r="CN75" s="155"/>
      <c r="CO75" s="160"/>
      <c r="CP75" s="379"/>
      <c r="CQ75" s="379"/>
      <c r="CR75" s="379"/>
      <c r="CS75" s="228"/>
      <c r="CT75" s="160"/>
      <c r="CU75" s="380"/>
      <c r="CV75" s="380"/>
      <c r="CW75" s="380"/>
      <c r="CX75" s="155"/>
      <c r="CY75" s="160"/>
      <c r="CZ75" s="379"/>
      <c r="DA75" s="379"/>
      <c r="DB75" s="379"/>
      <c r="DC75" s="155"/>
      <c r="DD75" s="160"/>
      <c r="DE75" s="379"/>
      <c r="DF75" s="379"/>
      <c r="DG75" s="379"/>
      <c r="DH75" s="228"/>
      <c r="DI75" s="228"/>
      <c r="DJ75" s="192"/>
    </row>
    <row r="76" spans="1:114" s="154" customFormat="1" ht="16.5" customHeight="1" x14ac:dyDescent="0.25">
      <c r="A76" s="183"/>
      <c r="H76" s="184"/>
      <c r="T76" s="155"/>
      <c r="U76" s="155"/>
      <c r="V76" s="155"/>
      <c r="W76" s="155"/>
      <c r="X76" s="155"/>
      <c r="Y76" s="155"/>
      <c r="Z76" s="155"/>
      <c r="AA76" s="155"/>
      <c r="AB76" s="155"/>
      <c r="BT76" s="155"/>
      <c r="BU76" s="155"/>
      <c r="BV76" s="155"/>
      <c r="BW76" s="155"/>
      <c r="BX76" s="155"/>
      <c r="BY76" s="155"/>
      <c r="BZ76" s="155"/>
      <c r="CA76" s="155"/>
      <c r="CC76" s="155"/>
      <c r="CD76" s="155"/>
      <c r="CE76" s="155"/>
      <c r="CF76" s="155"/>
      <c r="CG76" s="155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5"/>
      <c r="CS76" s="155"/>
      <c r="CT76" s="155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5"/>
      <c r="DF76" s="155"/>
      <c r="DG76" s="155"/>
      <c r="DH76" s="155"/>
      <c r="DI76" s="155"/>
      <c r="DJ76" s="192"/>
    </row>
    <row r="77" spans="1:114" s="154" customFormat="1" ht="16.5" customHeight="1" x14ac:dyDescent="0.4">
      <c r="A77" s="183"/>
      <c r="H77" s="184"/>
      <c r="J77" s="351" t="s">
        <v>135</v>
      </c>
      <c r="K77" s="332"/>
      <c r="L77" s="332"/>
      <c r="M77" s="333"/>
      <c r="O77" s="351" t="s">
        <v>135</v>
      </c>
      <c r="P77" s="332"/>
      <c r="Q77" s="332"/>
      <c r="R77" s="333"/>
      <c r="T77" s="380"/>
      <c r="U77" s="380"/>
      <c r="V77" s="380"/>
      <c r="W77" s="380"/>
      <c r="X77" s="380"/>
      <c r="Y77" s="158"/>
      <c r="Z77" s="158"/>
      <c r="AA77" s="158"/>
      <c r="AB77" s="158"/>
      <c r="BJ77" s="351" t="s">
        <v>135</v>
      </c>
      <c r="BK77" s="332"/>
      <c r="BL77" s="332"/>
      <c r="BM77" s="333"/>
      <c r="BO77" s="351" t="s">
        <v>135</v>
      </c>
      <c r="BP77" s="332"/>
      <c r="BQ77" s="332"/>
      <c r="BR77" s="333"/>
      <c r="BT77" s="380"/>
      <c r="BU77" s="380"/>
      <c r="BV77" s="380"/>
      <c r="BW77" s="380"/>
      <c r="BX77" s="158"/>
      <c r="BY77" s="158"/>
      <c r="BZ77" s="158"/>
      <c r="CA77" s="158"/>
      <c r="CC77" s="155"/>
      <c r="CD77" s="155"/>
      <c r="CE77" s="380"/>
      <c r="CF77" s="380"/>
      <c r="CG77" s="380"/>
      <c r="CH77" s="380"/>
      <c r="CI77" s="155"/>
      <c r="CJ77" s="380"/>
      <c r="CK77" s="380"/>
      <c r="CL77" s="380"/>
      <c r="CM77" s="380"/>
      <c r="CN77" s="155"/>
      <c r="CO77" s="380"/>
      <c r="CP77" s="380"/>
      <c r="CQ77" s="380"/>
      <c r="CR77" s="380"/>
      <c r="CS77" s="160"/>
      <c r="CT77" s="380"/>
      <c r="CU77" s="380"/>
      <c r="CV77" s="380"/>
      <c r="CW77" s="380"/>
      <c r="CX77" s="155"/>
      <c r="CY77" s="380"/>
      <c r="CZ77" s="380"/>
      <c r="DA77" s="380"/>
      <c r="DB77" s="380"/>
      <c r="DC77" s="155"/>
      <c r="DD77" s="380"/>
      <c r="DE77" s="380"/>
      <c r="DF77" s="380"/>
      <c r="DG77" s="380"/>
      <c r="DH77" s="160"/>
      <c r="DI77" s="160"/>
      <c r="DJ77" s="192"/>
    </row>
    <row r="78" spans="1:114" s="154" customFormat="1" ht="16.5" customHeight="1" x14ac:dyDescent="0.4">
      <c r="A78" s="183"/>
      <c r="H78" s="184"/>
      <c r="J78" s="174">
        <v>1</v>
      </c>
      <c r="K78" s="402"/>
      <c r="L78" s="393"/>
      <c r="M78" s="394"/>
      <c r="O78" s="174">
        <v>1</v>
      </c>
      <c r="P78" s="402"/>
      <c r="Q78" s="393"/>
      <c r="R78" s="394"/>
      <c r="T78" s="160"/>
      <c r="U78" s="379"/>
      <c r="V78" s="379"/>
      <c r="W78" s="379"/>
      <c r="X78" s="379"/>
      <c r="Y78" s="158"/>
      <c r="Z78" s="158"/>
      <c r="AA78" s="158"/>
      <c r="AB78" s="158"/>
      <c r="BJ78" s="174">
        <v>1</v>
      </c>
      <c r="BK78" s="402"/>
      <c r="BL78" s="393"/>
      <c r="BM78" s="394"/>
      <c r="BO78" s="174">
        <v>1</v>
      </c>
      <c r="BP78" s="402"/>
      <c r="BQ78" s="393"/>
      <c r="BR78" s="394"/>
      <c r="BT78" s="160"/>
      <c r="BU78" s="379"/>
      <c r="BV78" s="379"/>
      <c r="BW78" s="379"/>
      <c r="BX78" s="158"/>
      <c r="BY78" s="158"/>
      <c r="BZ78" s="158"/>
      <c r="CA78" s="158"/>
      <c r="CC78" s="155"/>
      <c r="CD78" s="155"/>
      <c r="CE78" s="160"/>
      <c r="CF78" s="380"/>
      <c r="CG78" s="380"/>
      <c r="CH78" s="380"/>
      <c r="CI78" s="155"/>
      <c r="CJ78" s="160"/>
      <c r="CK78" s="379"/>
      <c r="CL78" s="379"/>
      <c r="CM78" s="379"/>
      <c r="CN78" s="155"/>
      <c r="CO78" s="160"/>
      <c r="CP78" s="379"/>
      <c r="CQ78" s="379"/>
      <c r="CR78" s="379"/>
      <c r="CS78" s="228"/>
      <c r="CT78" s="160"/>
      <c r="CU78" s="380"/>
      <c r="CV78" s="380"/>
      <c r="CW78" s="380"/>
      <c r="CX78" s="155"/>
      <c r="CY78" s="160"/>
      <c r="CZ78" s="379"/>
      <c r="DA78" s="379"/>
      <c r="DB78" s="379"/>
      <c r="DC78" s="155"/>
      <c r="DD78" s="160"/>
      <c r="DE78" s="379"/>
      <c r="DF78" s="379"/>
      <c r="DG78" s="379"/>
      <c r="DH78" s="228"/>
      <c r="DI78" s="228"/>
      <c r="DJ78" s="192"/>
    </row>
    <row r="79" spans="1:114" s="161" customFormat="1" ht="21.6" customHeight="1" x14ac:dyDescent="0.4">
      <c r="A79" s="265"/>
      <c r="H79" s="266"/>
      <c r="T79" s="158"/>
      <c r="U79" s="158"/>
      <c r="V79" s="158"/>
      <c r="W79" s="158"/>
      <c r="X79" s="158"/>
      <c r="Y79" s="158"/>
      <c r="Z79" s="158"/>
      <c r="AA79" s="158"/>
      <c r="AB79" s="158"/>
      <c r="BT79" s="158"/>
      <c r="BU79" s="158"/>
      <c r="BV79" s="158"/>
      <c r="BW79" s="158"/>
      <c r="BX79" s="158"/>
      <c r="BY79" s="158"/>
      <c r="BZ79" s="158"/>
      <c r="CA79" s="158"/>
      <c r="CC79" s="158"/>
      <c r="CD79" s="158"/>
      <c r="CE79" s="158"/>
      <c r="CF79" s="158"/>
      <c r="CG79" s="158"/>
      <c r="CH79" s="158"/>
      <c r="CI79" s="158"/>
      <c r="CJ79" s="158"/>
      <c r="CK79" s="158"/>
      <c r="CL79" s="158"/>
      <c r="CM79" s="158"/>
      <c r="CN79" s="158"/>
      <c r="CO79" s="158"/>
      <c r="CP79" s="158"/>
      <c r="CQ79" s="158"/>
      <c r="CR79" s="158"/>
      <c r="CS79" s="158"/>
      <c r="CT79" s="158"/>
      <c r="CU79" s="158"/>
      <c r="CV79" s="158"/>
      <c r="CW79" s="158"/>
      <c r="CX79" s="158"/>
      <c r="CY79" s="158"/>
      <c r="CZ79" s="158"/>
      <c r="DA79" s="158"/>
      <c r="DB79" s="158"/>
      <c r="DC79" s="158"/>
      <c r="DD79" s="158"/>
      <c r="DE79" s="158"/>
      <c r="DF79" s="158"/>
      <c r="DG79" s="158"/>
      <c r="DH79" s="158"/>
      <c r="DI79" s="158"/>
      <c r="DJ79" s="267"/>
    </row>
    <row r="80" spans="1:114" s="154" customFormat="1" ht="16.5" customHeight="1" x14ac:dyDescent="0.4">
      <c r="A80" s="183"/>
      <c r="H80" s="184"/>
      <c r="J80" s="351" t="s">
        <v>145</v>
      </c>
      <c r="K80" s="332"/>
      <c r="L80" s="332"/>
      <c r="M80" s="333"/>
      <c r="O80" s="351" t="s">
        <v>145</v>
      </c>
      <c r="P80" s="332"/>
      <c r="Q80" s="332"/>
      <c r="R80" s="333"/>
      <c r="T80" s="380"/>
      <c r="U80" s="380"/>
      <c r="V80" s="380"/>
      <c r="W80" s="380"/>
      <c r="X80" s="380"/>
      <c r="Y80" s="158"/>
      <c r="Z80" s="158"/>
      <c r="AA80" s="158"/>
      <c r="AB80" s="158"/>
      <c r="BJ80" s="351" t="s">
        <v>145</v>
      </c>
      <c r="BK80" s="332"/>
      <c r="BL80" s="332"/>
      <c r="BM80" s="333"/>
      <c r="BO80" s="351" t="s">
        <v>145</v>
      </c>
      <c r="BP80" s="332"/>
      <c r="BQ80" s="332"/>
      <c r="BR80" s="333"/>
      <c r="BT80" s="380"/>
      <c r="BU80" s="380"/>
      <c r="BV80" s="380"/>
      <c r="BW80" s="380"/>
      <c r="BX80" s="158"/>
      <c r="BY80" s="158"/>
      <c r="BZ80" s="158"/>
      <c r="CA80" s="158"/>
      <c r="CC80" s="155"/>
      <c r="CD80" s="155"/>
      <c r="CE80" s="380"/>
      <c r="CF80" s="380"/>
      <c r="CG80" s="380"/>
      <c r="CH80" s="380"/>
      <c r="CI80" s="155"/>
      <c r="CJ80" s="380"/>
      <c r="CK80" s="380"/>
      <c r="CL80" s="380"/>
      <c r="CM80" s="380"/>
      <c r="CN80" s="155"/>
      <c r="CO80" s="380"/>
      <c r="CP80" s="380"/>
      <c r="CQ80" s="380"/>
      <c r="CR80" s="380"/>
      <c r="CS80" s="160"/>
      <c r="CT80" s="380"/>
      <c r="CU80" s="380"/>
      <c r="CV80" s="380"/>
      <c r="CW80" s="380"/>
      <c r="CX80" s="155"/>
      <c r="CY80" s="380"/>
      <c r="CZ80" s="380"/>
      <c r="DA80" s="380"/>
      <c r="DB80" s="380"/>
      <c r="DC80" s="155"/>
      <c r="DD80" s="380"/>
      <c r="DE80" s="380"/>
      <c r="DF80" s="380"/>
      <c r="DG80" s="380"/>
      <c r="DH80" s="160"/>
      <c r="DI80" s="160"/>
      <c r="DJ80" s="192"/>
    </row>
    <row r="81" spans="1:114" s="154" customFormat="1" ht="16.5" customHeight="1" x14ac:dyDescent="0.4">
      <c r="A81" s="183"/>
      <c r="H81" s="184"/>
      <c r="J81" s="174">
        <v>1</v>
      </c>
      <c r="K81" s="402"/>
      <c r="L81" s="393"/>
      <c r="M81" s="394"/>
      <c r="O81" s="174">
        <v>1</v>
      </c>
      <c r="P81" s="402"/>
      <c r="Q81" s="393"/>
      <c r="R81" s="394"/>
      <c r="T81" s="160"/>
      <c r="U81" s="379"/>
      <c r="V81" s="379"/>
      <c r="W81" s="379"/>
      <c r="X81" s="379"/>
      <c r="Y81" s="158"/>
      <c r="Z81" s="158"/>
      <c r="AA81" s="158"/>
      <c r="AB81" s="158"/>
      <c r="BJ81" s="174">
        <v>1</v>
      </c>
      <c r="BK81" s="402"/>
      <c r="BL81" s="393"/>
      <c r="BM81" s="394"/>
      <c r="BO81" s="174">
        <v>1</v>
      </c>
      <c r="BP81" s="402"/>
      <c r="BQ81" s="393"/>
      <c r="BR81" s="394"/>
      <c r="BT81" s="160"/>
      <c r="BU81" s="379"/>
      <c r="BV81" s="379"/>
      <c r="BW81" s="379"/>
      <c r="BX81" s="158"/>
      <c r="BY81" s="158"/>
      <c r="BZ81" s="158"/>
      <c r="CA81" s="158"/>
      <c r="CC81" s="155"/>
      <c r="CD81" s="155"/>
      <c r="CE81" s="160"/>
      <c r="CF81" s="379"/>
      <c r="CG81" s="379"/>
      <c r="CH81" s="379"/>
      <c r="CI81" s="155"/>
      <c r="CJ81" s="160"/>
      <c r="CK81" s="379"/>
      <c r="CL81" s="379"/>
      <c r="CM81" s="379"/>
      <c r="CN81" s="155"/>
      <c r="CO81" s="160"/>
      <c r="CP81" s="379"/>
      <c r="CQ81" s="379"/>
      <c r="CR81" s="379"/>
      <c r="CS81" s="228"/>
      <c r="CT81" s="160"/>
      <c r="CU81" s="379"/>
      <c r="CV81" s="379"/>
      <c r="CW81" s="379"/>
      <c r="CX81" s="155"/>
      <c r="CY81" s="160"/>
      <c r="CZ81" s="379"/>
      <c r="DA81" s="379"/>
      <c r="DB81" s="379"/>
      <c r="DC81" s="155"/>
      <c r="DD81" s="160"/>
      <c r="DE81" s="379"/>
      <c r="DF81" s="379"/>
      <c r="DG81" s="379"/>
      <c r="DH81" s="228"/>
      <c r="DI81" s="228"/>
      <c r="DJ81" s="192"/>
    </row>
    <row r="82" spans="1:114" s="154" customFormat="1" ht="16.5" customHeight="1" x14ac:dyDescent="0.25">
      <c r="A82" s="183"/>
      <c r="H82" s="184"/>
      <c r="T82" s="155"/>
      <c r="U82" s="155"/>
      <c r="V82" s="155"/>
      <c r="W82" s="155"/>
      <c r="X82" s="155"/>
      <c r="Y82" s="155"/>
      <c r="Z82" s="155"/>
      <c r="AA82" s="155"/>
      <c r="AB82" s="155"/>
      <c r="BT82" s="155"/>
      <c r="BU82" s="155"/>
      <c r="BV82" s="155"/>
      <c r="BW82" s="155"/>
      <c r="BX82" s="155"/>
      <c r="BY82" s="155"/>
      <c r="BZ82" s="155"/>
      <c r="CA82" s="155"/>
      <c r="CC82" s="155"/>
      <c r="CD82" s="155"/>
      <c r="CE82" s="155"/>
      <c r="CF82" s="155"/>
      <c r="CG82" s="155"/>
      <c r="CH82" s="155"/>
      <c r="CI82" s="155"/>
      <c r="CJ82" s="155"/>
      <c r="CK82" s="155"/>
      <c r="CL82" s="155"/>
      <c r="CM82" s="155"/>
      <c r="CN82" s="155"/>
      <c r="CO82" s="155"/>
      <c r="CP82" s="155"/>
      <c r="CQ82" s="155"/>
      <c r="CR82" s="155"/>
      <c r="CS82" s="155"/>
      <c r="CT82" s="155"/>
      <c r="CU82" s="155"/>
      <c r="CV82" s="155"/>
      <c r="CW82" s="155"/>
      <c r="CX82" s="155"/>
      <c r="CY82" s="155"/>
      <c r="CZ82" s="155"/>
      <c r="DA82" s="155"/>
      <c r="DB82" s="155"/>
      <c r="DC82" s="155"/>
      <c r="DD82" s="155"/>
      <c r="DE82" s="155"/>
      <c r="DF82" s="155"/>
      <c r="DG82" s="155"/>
      <c r="DH82" s="155"/>
      <c r="DI82" s="155"/>
      <c r="DJ82" s="192"/>
    </row>
    <row r="83" spans="1:114" s="154" customFormat="1" ht="16.5" customHeight="1" x14ac:dyDescent="0.4">
      <c r="A83" s="183"/>
      <c r="H83" s="184"/>
      <c r="J83" s="351" t="s">
        <v>227</v>
      </c>
      <c r="K83" s="332"/>
      <c r="L83" s="332"/>
      <c r="M83" s="333"/>
      <c r="O83" s="351" t="s">
        <v>227</v>
      </c>
      <c r="P83" s="332"/>
      <c r="Q83" s="332"/>
      <c r="R83" s="333"/>
      <c r="T83" s="155"/>
      <c r="U83" s="155"/>
      <c r="V83" s="155"/>
      <c r="W83" s="155"/>
      <c r="X83" s="155"/>
      <c r="Y83" s="155"/>
      <c r="Z83" s="155"/>
      <c r="AA83" s="155"/>
      <c r="AB83" s="155"/>
      <c r="BJ83" s="351" t="s">
        <v>227</v>
      </c>
      <c r="BK83" s="332"/>
      <c r="BL83" s="332"/>
      <c r="BM83" s="333"/>
      <c r="BO83" s="351" t="s">
        <v>227</v>
      </c>
      <c r="BP83" s="332"/>
      <c r="BQ83" s="332"/>
      <c r="BR83" s="333"/>
      <c r="BT83" s="155"/>
      <c r="BU83" s="155"/>
      <c r="BV83" s="155"/>
      <c r="BW83" s="155"/>
      <c r="BX83" s="155"/>
      <c r="BY83" s="155"/>
      <c r="BZ83" s="155"/>
      <c r="CA83" s="155"/>
      <c r="CC83" s="155"/>
      <c r="CD83" s="155"/>
      <c r="CE83" s="155"/>
      <c r="CF83" s="155"/>
      <c r="CG83" s="155"/>
      <c r="CH83" s="155"/>
      <c r="CI83" s="155"/>
      <c r="CJ83" s="155"/>
      <c r="CK83" s="155"/>
      <c r="CL83" s="155"/>
      <c r="CM83" s="155"/>
      <c r="CN83" s="155"/>
      <c r="CO83" s="155"/>
      <c r="CP83" s="155"/>
      <c r="CQ83" s="155"/>
      <c r="CR83" s="155"/>
      <c r="CS83" s="155"/>
      <c r="CT83" s="155"/>
      <c r="CU83" s="155"/>
      <c r="CV83" s="155"/>
      <c r="CW83" s="155"/>
      <c r="CX83" s="155"/>
      <c r="CY83" s="155"/>
      <c r="CZ83" s="155"/>
      <c r="DA83" s="155"/>
      <c r="DB83" s="155"/>
      <c r="DC83" s="155"/>
      <c r="DD83" s="155"/>
      <c r="DE83" s="155"/>
      <c r="DF83" s="155"/>
      <c r="DG83" s="155"/>
      <c r="DH83" s="155"/>
      <c r="DI83" s="155"/>
      <c r="DJ83" s="192"/>
    </row>
    <row r="84" spans="1:114" s="154" customFormat="1" ht="16.5" customHeight="1" x14ac:dyDescent="0.4">
      <c r="A84" s="183"/>
      <c r="H84" s="184"/>
      <c r="J84" s="174">
        <v>3</v>
      </c>
      <c r="K84" s="402"/>
      <c r="L84" s="393"/>
      <c r="M84" s="394"/>
      <c r="O84" s="174">
        <v>3</v>
      </c>
      <c r="P84" s="402"/>
      <c r="Q84" s="393"/>
      <c r="R84" s="394"/>
      <c r="Y84" s="155"/>
      <c r="Z84" s="155"/>
      <c r="AA84" s="155"/>
      <c r="AB84" s="155"/>
      <c r="BJ84" s="174">
        <v>3</v>
      </c>
      <c r="BK84" s="402"/>
      <c r="BL84" s="393"/>
      <c r="BM84" s="394"/>
      <c r="BO84" s="174">
        <v>3</v>
      </c>
      <c r="BP84" s="402"/>
      <c r="BQ84" s="393"/>
      <c r="BR84" s="394"/>
      <c r="BX84" s="155"/>
      <c r="BY84" s="155"/>
      <c r="BZ84" s="155"/>
      <c r="CA84" s="155"/>
      <c r="CC84" s="155"/>
      <c r="CD84" s="155"/>
      <c r="CE84" s="155"/>
      <c r="CF84" s="155"/>
      <c r="CG84" s="155"/>
      <c r="CH84" s="155"/>
      <c r="CI84" s="155"/>
      <c r="CJ84" s="155"/>
      <c r="CK84" s="155"/>
      <c r="CL84" s="155"/>
      <c r="CM84" s="155"/>
      <c r="CN84" s="155"/>
      <c r="CO84" s="155"/>
      <c r="CP84" s="155"/>
      <c r="CQ84" s="155"/>
      <c r="CR84" s="155"/>
      <c r="CS84" s="155"/>
      <c r="CT84" s="155"/>
      <c r="CU84" s="155"/>
      <c r="CV84" s="155"/>
      <c r="CW84" s="155"/>
      <c r="CX84" s="155"/>
      <c r="CY84" s="155"/>
      <c r="CZ84" s="155"/>
      <c r="DA84" s="155"/>
      <c r="DB84" s="155"/>
      <c r="DC84" s="155"/>
      <c r="DD84" s="155"/>
      <c r="DE84" s="155"/>
      <c r="DF84" s="155"/>
      <c r="DG84" s="155"/>
      <c r="DH84" s="155"/>
      <c r="DI84" s="155"/>
      <c r="DJ84" s="192"/>
    </row>
    <row r="85" spans="1:114" s="154" customFormat="1" ht="7.8" customHeight="1" x14ac:dyDescent="0.25">
      <c r="A85" s="183"/>
      <c r="H85" s="184"/>
      <c r="Y85" s="155"/>
      <c r="Z85" s="155"/>
      <c r="AA85" s="155"/>
      <c r="AB85" s="155"/>
      <c r="BX85" s="155"/>
      <c r="BY85" s="155"/>
      <c r="BZ85" s="155"/>
      <c r="CA85" s="155"/>
      <c r="CC85" s="155"/>
      <c r="CD85" s="155"/>
      <c r="CE85" s="155"/>
      <c r="CF85" s="155"/>
      <c r="CG85" s="155"/>
      <c r="CH85" s="155"/>
      <c r="CI85" s="155"/>
      <c r="CJ85" s="155"/>
      <c r="CK85" s="155"/>
      <c r="CL85" s="155"/>
      <c r="CM85" s="155"/>
      <c r="CN85" s="155"/>
      <c r="CO85" s="155"/>
      <c r="CP85" s="155"/>
      <c r="CQ85" s="155"/>
      <c r="CR85" s="155"/>
      <c r="CS85" s="155"/>
      <c r="CT85" s="155"/>
      <c r="CU85" s="155"/>
      <c r="CV85" s="155"/>
      <c r="CW85" s="155"/>
      <c r="CX85" s="155"/>
      <c r="CY85" s="155"/>
      <c r="CZ85" s="155"/>
      <c r="DA85" s="155"/>
      <c r="DB85" s="155"/>
      <c r="DC85" s="155"/>
      <c r="DD85" s="155"/>
      <c r="DE85" s="155"/>
      <c r="DF85" s="155"/>
      <c r="DG85" s="155"/>
      <c r="DH85" s="155"/>
      <c r="DI85" s="155"/>
      <c r="DJ85" s="192"/>
    </row>
    <row r="86" spans="1:114" s="154" customFormat="1" ht="16.5" customHeight="1" x14ac:dyDescent="0.25">
      <c r="A86" s="183"/>
      <c r="H86" s="184"/>
      <c r="Y86" s="155"/>
      <c r="Z86" s="155"/>
      <c r="AA86" s="155"/>
      <c r="AB86" s="155"/>
      <c r="BX86" s="155"/>
      <c r="BY86" s="155"/>
      <c r="BZ86" s="155"/>
      <c r="CA86" s="155"/>
      <c r="CC86" s="155"/>
      <c r="CD86" s="155"/>
      <c r="CE86" s="155"/>
      <c r="CF86" s="155"/>
      <c r="CG86" s="155"/>
      <c r="CH86" s="155"/>
      <c r="CI86" s="155"/>
      <c r="CJ86" s="155"/>
      <c r="CK86" s="155"/>
      <c r="CL86" s="155"/>
      <c r="CM86" s="155"/>
      <c r="CN86" s="155"/>
      <c r="CO86" s="155"/>
      <c r="CP86" s="155"/>
      <c r="CQ86" s="155"/>
      <c r="CR86" s="155"/>
      <c r="CS86" s="155"/>
      <c r="CT86" s="155"/>
      <c r="CU86" s="155"/>
      <c r="CV86" s="155"/>
      <c r="CW86" s="155"/>
      <c r="CX86" s="155"/>
      <c r="CY86" s="155"/>
      <c r="CZ86" s="155"/>
      <c r="DA86" s="155"/>
      <c r="DB86" s="155"/>
      <c r="DC86" s="155"/>
      <c r="DD86" s="155"/>
      <c r="DE86" s="155"/>
      <c r="DF86" s="155"/>
      <c r="DG86" s="155"/>
      <c r="DH86" s="155"/>
      <c r="DI86" s="155"/>
      <c r="DJ86" s="192"/>
    </row>
    <row r="87" spans="1:114" s="154" customFormat="1" ht="16.5" customHeight="1" x14ac:dyDescent="0.4">
      <c r="A87" s="183"/>
      <c r="H87" s="184"/>
      <c r="J87" s="351" t="s">
        <v>228</v>
      </c>
      <c r="K87" s="332"/>
      <c r="L87" s="332"/>
      <c r="M87" s="333"/>
      <c r="O87" s="351" t="s">
        <v>228</v>
      </c>
      <c r="P87" s="332"/>
      <c r="Q87" s="332"/>
      <c r="R87" s="333"/>
      <c r="Y87" s="155"/>
      <c r="Z87" s="155"/>
      <c r="AA87" s="155"/>
      <c r="AB87" s="155"/>
      <c r="BJ87" s="351" t="s">
        <v>228</v>
      </c>
      <c r="BK87" s="332"/>
      <c r="BL87" s="332"/>
      <c r="BM87" s="333"/>
      <c r="BO87" s="351" t="s">
        <v>228</v>
      </c>
      <c r="BP87" s="332"/>
      <c r="BQ87" s="332"/>
      <c r="BR87" s="333"/>
      <c r="BX87" s="155"/>
      <c r="BY87" s="155"/>
      <c r="BZ87" s="155"/>
      <c r="CA87" s="155"/>
      <c r="CC87" s="155"/>
      <c r="CD87" s="155"/>
      <c r="CS87" s="155"/>
      <c r="DH87" s="155"/>
      <c r="DI87" s="155"/>
      <c r="DJ87" s="192"/>
    </row>
    <row r="88" spans="1:114" s="154" customFormat="1" ht="16.5" customHeight="1" x14ac:dyDescent="0.4">
      <c r="A88" s="183"/>
      <c r="H88" s="184"/>
      <c r="J88" s="174">
        <v>3</v>
      </c>
      <c r="K88" s="402"/>
      <c r="L88" s="393"/>
      <c r="M88" s="394"/>
      <c r="O88" s="174">
        <v>3</v>
      </c>
      <c r="P88" s="402"/>
      <c r="Q88" s="393"/>
      <c r="R88" s="394"/>
      <c r="Y88" s="155"/>
      <c r="Z88" s="155"/>
      <c r="AA88" s="155"/>
      <c r="AB88" s="155"/>
      <c r="BJ88" s="174">
        <v>3</v>
      </c>
      <c r="BK88" s="402"/>
      <c r="BL88" s="393"/>
      <c r="BM88" s="394"/>
      <c r="BO88" s="174">
        <v>3</v>
      </c>
      <c r="BP88" s="402"/>
      <c r="BQ88" s="393"/>
      <c r="BR88" s="394"/>
      <c r="BX88" s="155"/>
      <c r="BY88" s="155"/>
      <c r="BZ88" s="155"/>
      <c r="CA88" s="155"/>
      <c r="CC88" s="155"/>
      <c r="CD88" s="155"/>
      <c r="CS88" s="155"/>
      <c r="DH88" s="155"/>
      <c r="DI88" s="155"/>
      <c r="DJ88" s="192"/>
    </row>
    <row r="89" spans="1:114" s="154" customFormat="1" ht="16.5" customHeight="1" x14ac:dyDescent="0.4">
      <c r="A89" s="156"/>
      <c r="H89" s="184"/>
      <c r="J89" s="160"/>
      <c r="K89" s="228"/>
      <c r="L89" s="158"/>
      <c r="M89" s="158"/>
      <c r="N89" s="155"/>
      <c r="O89" s="160"/>
      <c r="P89" s="228"/>
      <c r="Q89" s="158"/>
      <c r="R89" s="158"/>
      <c r="Y89" s="155"/>
      <c r="Z89" s="155"/>
      <c r="AA89" s="155"/>
      <c r="AB89" s="155"/>
      <c r="BJ89" s="160"/>
      <c r="BK89" s="228"/>
      <c r="BL89" s="158"/>
      <c r="BM89" s="158"/>
      <c r="BN89" s="155"/>
      <c r="BO89" s="160"/>
      <c r="BP89" s="228"/>
      <c r="BQ89" s="158"/>
      <c r="BR89" s="158"/>
      <c r="BX89" s="155"/>
      <c r="BY89" s="155"/>
      <c r="BZ89" s="155"/>
      <c r="CA89" s="155"/>
      <c r="CC89" s="155"/>
      <c r="CD89" s="155"/>
      <c r="CS89" s="155"/>
      <c r="DH89" s="155"/>
      <c r="DI89" s="155"/>
      <c r="DJ89" s="192"/>
    </row>
    <row r="90" spans="1:114" s="154" customFormat="1" ht="16.5" customHeight="1" x14ac:dyDescent="0.4">
      <c r="A90" s="156"/>
      <c r="H90" s="184"/>
      <c r="J90" s="351" t="s">
        <v>229</v>
      </c>
      <c r="K90" s="332"/>
      <c r="L90" s="332"/>
      <c r="M90" s="333"/>
      <c r="O90" s="351" t="s">
        <v>229</v>
      </c>
      <c r="P90" s="332"/>
      <c r="Q90" s="332"/>
      <c r="R90" s="333"/>
      <c r="Y90" s="155"/>
      <c r="Z90" s="155"/>
      <c r="AA90" s="155"/>
      <c r="AB90" s="155"/>
      <c r="BJ90" s="351" t="s">
        <v>229</v>
      </c>
      <c r="BK90" s="332"/>
      <c r="BL90" s="332"/>
      <c r="BM90" s="333"/>
      <c r="BO90" s="351" t="s">
        <v>229</v>
      </c>
      <c r="BP90" s="332"/>
      <c r="BQ90" s="332"/>
      <c r="BR90" s="333"/>
      <c r="BX90" s="155"/>
      <c r="BY90" s="155"/>
      <c r="BZ90" s="155"/>
      <c r="CA90" s="155"/>
      <c r="CC90" s="155"/>
      <c r="CD90" s="155"/>
      <c r="CS90" s="155"/>
      <c r="DH90" s="155"/>
      <c r="DI90" s="155"/>
      <c r="DJ90" s="192"/>
    </row>
    <row r="91" spans="1:114" s="154" customFormat="1" ht="16.5" customHeight="1" x14ac:dyDescent="0.4">
      <c r="A91" s="156"/>
      <c r="H91" s="184"/>
      <c r="J91" s="174">
        <v>3</v>
      </c>
      <c r="K91" s="402"/>
      <c r="L91" s="393"/>
      <c r="M91" s="394"/>
      <c r="O91" s="174">
        <v>3</v>
      </c>
      <c r="P91" s="402"/>
      <c r="Q91" s="393"/>
      <c r="R91" s="394"/>
      <c r="Y91" s="155"/>
      <c r="Z91" s="155"/>
      <c r="AA91" s="155"/>
      <c r="AB91" s="155"/>
      <c r="BJ91" s="174">
        <v>3</v>
      </c>
      <c r="BK91" s="402"/>
      <c r="BL91" s="393"/>
      <c r="BM91" s="394"/>
      <c r="BO91" s="174">
        <v>3</v>
      </c>
      <c r="BP91" s="402"/>
      <c r="BQ91" s="393"/>
      <c r="BR91" s="394"/>
      <c r="BX91" s="155"/>
      <c r="BY91" s="155"/>
      <c r="BZ91" s="155"/>
      <c r="CA91" s="155"/>
      <c r="CC91" s="155"/>
      <c r="CD91" s="155"/>
      <c r="CS91" s="155"/>
      <c r="DH91" s="155"/>
      <c r="DI91" s="155"/>
      <c r="DJ91" s="192"/>
    </row>
    <row r="92" spans="1:114" s="154" customFormat="1" ht="16.5" customHeight="1" x14ac:dyDescent="0.25">
      <c r="A92" s="156"/>
      <c r="H92" s="184"/>
      <c r="Y92" s="155"/>
      <c r="Z92" s="155"/>
      <c r="AA92" s="155"/>
      <c r="AB92" s="155"/>
      <c r="BX92" s="155"/>
      <c r="BY92" s="155"/>
      <c r="BZ92" s="155"/>
      <c r="CA92" s="155"/>
      <c r="CC92" s="155"/>
      <c r="CD92" s="155"/>
      <c r="CS92" s="155"/>
      <c r="DH92" s="155"/>
      <c r="DI92" s="155"/>
      <c r="DJ92" s="192"/>
    </row>
    <row r="93" spans="1:114" s="154" customFormat="1" ht="16.5" customHeight="1" x14ac:dyDescent="0.4">
      <c r="A93" s="156"/>
      <c r="H93" s="184"/>
      <c r="J93" s="351" t="s">
        <v>230</v>
      </c>
      <c r="K93" s="332"/>
      <c r="L93" s="332"/>
      <c r="M93" s="333"/>
      <c r="O93" s="351" t="s">
        <v>230</v>
      </c>
      <c r="P93" s="332"/>
      <c r="Q93" s="332"/>
      <c r="R93" s="333"/>
      <c r="Y93" s="155"/>
      <c r="Z93" s="155"/>
      <c r="AA93" s="155"/>
      <c r="AB93" s="155"/>
      <c r="BJ93" s="351" t="s">
        <v>230</v>
      </c>
      <c r="BK93" s="332"/>
      <c r="BL93" s="332"/>
      <c r="BM93" s="333"/>
      <c r="BO93" s="351" t="s">
        <v>230</v>
      </c>
      <c r="BP93" s="332"/>
      <c r="BQ93" s="332"/>
      <c r="BR93" s="333"/>
      <c r="BX93" s="155"/>
      <c r="BY93" s="155"/>
      <c r="BZ93" s="155"/>
      <c r="CA93" s="155"/>
      <c r="CC93" s="155"/>
      <c r="CD93" s="155"/>
      <c r="CS93" s="155"/>
      <c r="DH93" s="155"/>
      <c r="DI93" s="155"/>
      <c r="DJ93" s="192"/>
    </row>
    <row r="94" spans="1:114" s="154" customFormat="1" ht="16.5" customHeight="1" x14ac:dyDescent="0.4">
      <c r="A94" s="156"/>
      <c r="H94" s="184"/>
      <c r="J94" s="174">
        <v>3</v>
      </c>
      <c r="K94" s="402"/>
      <c r="L94" s="393"/>
      <c r="M94" s="394"/>
      <c r="O94" s="174">
        <v>3</v>
      </c>
      <c r="P94" s="402"/>
      <c r="Q94" s="393"/>
      <c r="R94" s="394"/>
      <c r="Y94" s="155"/>
      <c r="Z94" s="155"/>
      <c r="AA94" s="155"/>
      <c r="AB94" s="155"/>
      <c r="BJ94" s="174">
        <v>3</v>
      </c>
      <c r="BK94" s="402"/>
      <c r="BL94" s="393"/>
      <c r="BM94" s="394"/>
      <c r="BO94" s="174">
        <v>3</v>
      </c>
      <c r="BP94" s="402"/>
      <c r="BQ94" s="393"/>
      <c r="BR94" s="394"/>
      <c r="BX94" s="155"/>
      <c r="BY94" s="155"/>
      <c r="BZ94" s="155"/>
      <c r="CA94" s="155"/>
      <c r="CC94" s="155"/>
      <c r="CD94" s="155"/>
      <c r="CS94" s="155"/>
      <c r="DH94" s="155"/>
      <c r="DI94" s="155"/>
      <c r="DJ94" s="192"/>
    </row>
    <row r="95" spans="1:114" s="154" customFormat="1" ht="16.5" customHeight="1" x14ac:dyDescent="0.4">
      <c r="A95" s="156"/>
      <c r="H95" s="184"/>
      <c r="J95" s="160"/>
      <c r="K95" s="228"/>
      <c r="L95" s="158"/>
      <c r="M95" s="158"/>
      <c r="N95" s="155"/>
      <c r="O95" s="160"/>
      <c r="P95" s="228"/>
      <c r="Q95" s="158"/>
      <c r="R95" s="158"/>
      <c r="Y95" s="155"/>
      <c r="Z95" s="155"/>
      <c r="AA95" s="155"/>
      <c r="AB95" s="155"/>
      <c r="BJ95" s="160"/>
      <c r="BK95" s="228"/>
      <c r="BL95" s="158"/>
      <c r="BM95" s="158"/>
      <c r="BN95" s="155"/>
      <c r="BO95" s="160"/>
      <c r="BP95" s="228"/>
      <c r="BQ95" s="158"/>
      <c r="BR95" s="158"/>
      <c r="BX95" s="155"/>
      <c r="BY95" s="155"/>
      <c r="BZ95" s="155"/>
      <c r="CA95" s="155"/>
      <c r="CC95" s="155"/>
      <c r="CD95" s="155"/>
      <c r="CS95" s="155"/>
      <c r="DH95" s="155"/>
      <c r="DI95" s="155"/>
      <c r="DJ95" s="192"/>
    </row>
    <row r="96" spans="1:114" s="154" customFormat="1" ht="16.5" customHeight="1" x14ac:dyDescent="0.4">
      <c r="A96" s="156"/>
      <c r="H96" s="184"/>
      <c r="J96" s="351" t="s">
        <v>231</v>
      </c>
      <c r="K96" s="332"/>
      <c r="L96" s="332"/>
      <c r="M96" s="333"/>
      <c r="O96" s="351" t="s">
        <v>231</v>
      </c>
      <c r="P96" s="332"/>
      <c r="Q96" s="332"/>
      <c r="R96" s="333"/>
      <c r="Y96" s="155"/>
      <c r="Z96" s="155"/>
      <c r="AA96" s="155"/>
      <c r="AB96" s="155"/>
      <c r="BJ96" s="351" t="s">
        <v>231</v>
      </c>
      <c r="BK96" s="332"/>
      <c r="BL96" s="332"/>
      <c r="BM96" s="333"/>
      <c r="BO96" s="351" t="s">
        <v>231</v>
      </c>
      <c r="BP96" s="332"/>
      <c r="BQ96" s="332"/>
      <c r="BR96" s="333"/>
      <c r="BX96" s="155"/>
      <c r="BY96" s="155"/>
      <c r="BZ96" s="155"/>
      <c r="CA96" s="155"/>
      <c r="CC96" s="155"/>
      <c r="CD96" s="155"/>
      <c r="CS96" s="155"/>
      <c r="DH96" s="155"/>
      <c r="DI96" s="155"/>
      <c r="DJ96" s="192"/>
    </row>
    <row r="97" spans="1:114" s="154" customFormat="1" ht="16.5" customHeight="1" x14ac:dyDescent="0.4">
      <c r="A97" s="156"/>
      <c r="H97" s="184"/>
      <c r="J97" s="174">
        <v>3</v>
      </c>
      <c r="K97" s="402"/>
      <c r="L97" s="393"/>
      <c r="M97" s="394"/>
      <c r="O97" s="174">
        <v>3</v>
      </c>
      <c r="P97" s="402"/>
      <c r="Q97" s="393"/>
      <c r="R97" s="394"/>
      <c r="Y97" s="155"/>
      <c r="Z97" s="155"/>
      <c r="AA97" s="155"/>
      <c r="AB97" s="155"/>
      <c r="BJ97" s="174">
        <v>3</v>
      </c>
      <c r="BK97" s="402"/>
      <c r="BL97" s="393"/>
      <c r="BM97" s="394"/>
      <c r="BO97" s="174">
        <v>3</v>
      </c>
      <c r="BP97" s="402"/>
      <c r="BQ97" s="393"/>
      <c r="BR97" s="394"/>
      <c r="BX97" s="155"/>
      <c r="BY97" s="155"/>
      <c r="BZ97" s="155"/>
      <c r="CA97" s="155"/>
      <c r="CC97" s="155"/>
      <c r="CD97" s="155"/>
      <c r="CS97" s="155"/>
      <c r="DH97" s="155"/>
      <c r="DI97" s="155"/>
      <c r="DJ97" s="192"/>
    </row>
    <row r="98" spans="1:114" s="154" customFormat="1" ht="16.5" customHeight="1" x14ac:dyDescent="0.25">
      <c r="A98" s="156"/>
      <c r="H98" s="184"/>
      <c r="Y98" s="155"/>
      <c r="Z98" s="155"/>
      <c r="AA98" s="155"/>
      <c r="AB98" s="155"/>
      <c r="BX98" s="155"/>
      <c r="BY98" s="155"/>
      <c r="BZ98" s="155"/>
      <c r="CA98" s="155"/>
      <c r="CC98" s="155"/>
      <c r="CD98" s="155"/>
      <c r="CS98" s="155"/>
      <c r="DH98" s="155"/>
      <c r="DI98" s="155"/>
      <c r="DJ98" s="192"/>
    </row>
    <row r="99" spans="1:114" s="154" customFormat="1" ht="16.5" customHeight="1" x14ac:dyDescent="0.4">
      <c r="A99" s="156"/>
      <c r="H99" s="184"/>
      <c r="J99" s="351" t="s">
        <v>126</v>
      </c>
      <c r="K99" s="332"/>
      <c r="L99" s="332"/>
      <c r="M99" s="333"/>
      <c r="O99" s="351" t="s">
        <v>126</v>
      </c>
      <c r="P99" s="332"/>
      <c r="Q99" s="332"/>
      <c r="R99" s="333"/>
      <c r="Y99" s="155"/>
      <c r="Z99" s="155"/>
      <c r="AA99" s="155"/>
      <c r="AB99" s="155"/>
      <c r="BJ99" s="351" t="s">
        <v>126</v>
      </c>
      <c r="BK99" s="332"/>
      <c r="BL99" s="332"/>
      <c r="BM99" s="333"/>
      <c r="BO99" s="351" t="s">
        <v>126</v>
      </c>
      <c r="BP99" s="332"/>
      <c r="BQ99" s="332"/>
      <c r="BR99" s="333"/>
      <c r="BX99" s="155"/>
      <c r="BY99" s="155"/>
      <c r="BZ99" s="155"/>
      <c r="CA99" s="155"/>
      <c r="CC99" s="155"/>
      <c r="CD99" s="155"/>
      <c r="CS99" s="155"/>
      <c r="DH99" s="155"/>
      <c r="DI99" s="155"/>
      <c r="DJ99" s="192"/>
    </row>
    <row r="100" spans="1:114" s="154" customFormat="1" ht="15.75" customHeight="1" x14ac:dyDescent="0.4">
      <c r="A100" s="183"/>
      <c r="H100" s="184"/>
      <c r="J100" s="174">
        <v>3</v>
      </c>
      <c r="K100" s="402"/>
      <c r="L100" s="393"/>
      <c r="M100" s="394"/>
      <c r="O100" s="174">
        <v>3</v>
      </c>
      <c r="P100" s="402"/>
      <c r="Q100" s="393"/>
      <c r="R100" s="394"/>
      <c r="V100" s="268"/>
      <c r="W100" s="268"/>
      <c r="BJ100" s="174">
        <v>3</v>
      </c>
      <c r="BK100" s="402"/>
      <c r="BL100" s="393"/>
      <c r="BM100" s="394"/>
      <c r="BO100" s="174">
        <v>3</v>
      </c>
      <c r="BP100" s="402"/>
      <c r="BQ100" s="393"/>
      <c r="BR100" s="394"/>
      <c r="BV100" s="268"/>
      <c r="CC100" s="155"/>
      <c r="CD100" s="155"/>
      <c r="CQ100" s="406"/>
      <c r="CR100" s="406"/>
      <c r="CS100" s="406"/>
      <c r="CT100" s="406"/>
      <c r="CU100" s="406"/>
      <c r="CV100" s="406"/>
      <c r="CW100" s="406"/>
      <c r="CX100" s="406"/>
      <c r="CY100" s="406"/>
      <c r="CZ100" s="406"/>
      <c r="DA100" s="406"/>
      <c r="DB100" s="406"/>
      <c r="DC100" s="406"/>
      <c r="DD100" s="406"/>
      <c r="DE100" s="406"/>
      <c r="DF100" s="406"/>
      <c r="DG100" s="406"/>
      <c r="DH100" s="406"/>
      <c r="DI100" s="269"/>
      <c r="DJ100" s="192"/>
    </row>
    <row r="101" spans="1:114" s="154" customFormat="1" ht="21" x14ac:dyDescent="0.25">
      <c r="A101" s="183"/>
      <c r="H101" s="184"/>
      <c r="T101" s="268"/>
      <c r="Y101" s="155"/>
      <c r="Z101" s="155"/>
      <c r="AA101" s="155"/>
      <c r="AB101" s="155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209"/>
      <c r="AY101" s="209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CC101" s="155"/>
      <c r="CD101" s="155"/>
      <c r="CO101" s="406"/>
      <c r="CP101" s="406"/>
      <c r="CQ101" s="406"/>
      <c r="CR101" s="406"/>
      <c r="CS101" s="269"/>
      <c r="DD101" s="406"/>
      <c r="DE101" s="406"/>
      <c r="DF101" s="406"/>
      <c r="DG101" s="406"/>
      <c r="DH101" s="269"/>
      <c r="DI101" s="269"/>
      <c r="DJ101" s="192"/>
    </row>
    <row r="102" spans="1:114" s="154" customFormat="1" ht="21" x14ac:dyDescent="0.25">
      <c r="A102" s="183"/>
      <c r="H102" s="184"/>
      <c r="T102" s="219"/>
      <c r="U102" s="219"/>
      <c r="V102" s="219"/>
      <c r="W102" s="219"/>
      <c r="X102" s="219"/>
      <c r="Y102" s="228"/>
      <c r="Z102" s="228"/>
      <c r="AA102" s="228"/>
      <c r="AB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  <c r="AX102" s="228"/>
      <c r="AY102" s="228"/>
      <c r="AZ102" s="228"/>
      <c r="BA102" s="228"/>
      <c r="BB102" s="228"/>
      <c r="BC102" s="155"/>
      <c r="BD102" s="155"/>
      <c r="BE102" s="155"/>
      <c r="BF102" s="155"/>
      <c r="BG102" s="155"/>
      <c r="BH102" s="155"/>
      <c r="BI102" s="155"/>
      <c r="CC102" s="155"/>
      <c r="CD102" s="155"/>
      <c r="CO102" s="219"/>
      <c r="CP102" s="219"/>
      <c r="CQ102" s="219"/>
      <c r="CR102" s="219"/>
      <c r="CS102" s="228"/>
      <c r="DD102" s="219"/>
      <c r="DE102" s="219"/>
      <c r="DF102" s="219"/>
      <c r="DG102" s="219"/>
      <c r="DH102" s="228"/>
      <c r="DI102" s="228"/>
      <c r="DJ102" s="192"/>
    </row>
    <row r="103" spans="1:114" s="154" customFormat="1" ht="16.2" customHeight="1" thickBot="1" x14ac:dyDescent="0.3">
      <c r="A103" s="183"/>
      <c r="H103" s="270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2"/>
      <c r="Z103" s="272"/>
      <c r="AA103" s="272"/>
      <c r="AB103" s="272"/>
      <c r="AC103" s="271"/>
      <c r="AD103" s="271"/>
      <c r="AE103" s="272"/>
      <c r="AF103" s="272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272"/>
      <c r="AS103" s="272"/>
      <c r="AT103" s="272"/>
      <c r="AU103" s="272"/>
      <c r="AV103" s="272"/>
      <c r="AW103" s="272"/>
      <c r="AX103" s="272"/>
      <c r="AY103" s="272"/>
      <c r="AZ103" s="272"/>
      <c r="BA103" s="272"/>
      <c r="BB103" s="272"/>
      <c r="BC103" s="272"/>
      <c r="BD103" s="272"/>
      <c r="BE103" s="272"/>
      <c r="BF103" s="272"/>
      <c r="BG103" s="272"/>
      <c r="BH103" s="272"/>
      <c r="BI103" s="272"/>
      <c r="BJ103" s="271"/>
      <c r="BK103" s="271"/>
      <c r="BL103" s="271"/>
      <c r="BM103" s="271"/>
      <c r="BN103" s="271"/>
      <c r="BO103" s="271"/>
      <c r="BP103" s="271"/>
      <c r="BQ103" s="271"/>
      <c r="BR103" s="271"/>
      <c r="BS103" s="271"/>
      <c r="BT103" s="271"/>
      <c r="BU103" s="271"/>
      <c r="BV103" s="271"/>
      <c r="BW103" s="271"/>
      <c r="BX103" s="271"/>
      <c r="BY103" s="271"/>
      <c r="BZ103" s="271"/>
      <c r="CA103" s="271"/>
      <c r="CB103" s="271"/>
      <c r="CC103" s="272"/>
      <c r="CD103" s="272"/>
      <c r="CE103" s="271"/>
      <c r="CF103" s="271"/>
      <c r="CG103" s="271"/>
      <c r="CH103" s="271"/>
      <c r="CI103" s="271"/>
      <c r="CJ103" s="271"/>
      <c r="CK103" s="271"/>
      <c r="CL103" s="271"/>
      <c r="CM103" s="271"/>
      <c r="CN103" s="271"/>
      <c r="CO103" s="271"/>
      <c r="CP103" s="271"/>
      <c r="CQ103" s="271"/>
      <c r="CR103" s="271"/>
      <c r="CS103" s="272"/>
      <c r="CT103" s="271"/>
      <c r="CU103" s="271"/>
      <c r="CV103" s="271"/>
      <c r="CW103" s="271"/>
      <c r="CX103" s="271"/>
      <c r="CY103" s="271"/>
      <c r="CZ103" s="271"/>
      <c r="DA103" s="271"/>
      <c r="DB103" s="271"/>
      <c r="DC103" s="271"/>
      <c r="DD103" s="271"/>
      <c r="DE103" s="271"/>
      <c r="DF103" s="271"/>
      <c r="DG103" s="271"/>
      <c r="DH103" s="272"/>
      <c r="DI103" s="272"/>
      <c r="DJ103" s="273"/>
    </row>
    <row r="104" spans="1:114" s="154" customFormat="1" ht="21" x14ac:dyDescent="0.25">
      <c r="Y104" s="155"/>
      <c r="Z104" s="155"/>
      <c r="AA104" s="155"/>
      <c r="AB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  <c r="BE104" s="155"/>
      <c r="BF104" s="155"/>
      <c r="BG104" s="155"/>
      <c r="BH104" s="155"/>
      <c r="BI104" s="155"/>
      <c r="CC104" s="155"/>
      <c r="CD104" s="155"/>
      <c r="CS104" s="155"/>
      <c r="DH104" s="155"/>
      <c r="DI104" s="155"/>
    </row>
    <row r="105" spans="1:114" s="154" customFormat="1" ht="21" x14ac:dyDescent="0.25">
      <c r="Y105" s="155"/>
      <c r="Z105" s="155"/>
      <c r="AA105" s="155"/>
      <c r="AB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CC105" s="155"/>
      <c r="CD105" s="155"/>
      <c r="CS105" s="155"/>
      <c r="DH105" s="155"/>
      <c r="DI105" s="155"/>
    </row>
    <row r="106" spans="1:114" s="154" customFormat="1" ht="21" x14ac:dyDescent="0.25">
      <c r="Y106" s="155"/>
      <c r="Z106" s="155"/>
      <c r="AA106" s="155"/>
      <c r="AB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CC106" s="155"/>
      <c r="CD106" s="155"/>
      <c r="CS106" s="155"/>
      <c r="DH106" s="155"/>
      <c r="DI106" s="155"/>
    </row>
    <row r="107" spans="1:114" s="154" customFormat="1" ht="21" x14ac:dyDescent="0.25">
      <c r="Y107" s="155"/>
      <c r="Z107" s="155"/>
      <c r="AA107" s="155"/>
      <c r="AB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CC107" s="155"/>
      <c r="CD107" s="155"/>
      <c r="CS107" s="155"/>
      <c r="DH107" s="155"/>
      <c r="DI107" s="155"/>
    </row>
    <row r="108" spans="1:114" s="154" customFormat="1" ht="21" x14ac:dyDescent="0.25">
      <c r="Y108" s="155"/>
      <c r="Z108" s="155"/>
      <c r="AA108" s="155"/>
      <c r="AB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155"/>
      <c r="BD108" s="155"/>
      <c r="BE108" s="155"/>
      <c r="BF108" s="155"/>
      <c r="BG108" s="155"/>
      <c r="BH108" s="155"/>
      <c r="BI108" s="155"/>
      <c r="CC108" s="155"/>
      <c r="CD108" s="155"/>
      <c r="CS108" s="155"/>
      <c r="DH108" s="155"/>
      <c r="DI108" s="155"/>
    </row>
    <row r="109" spans="1:114" s="154" customFormat="1" ht="21" x14ac:dyDescent="0.25">
      <c r="Y109" s="155"/>
      <c r="Z109" s="155"/>
      <c r="AA109" s="155"/>
      <c r="AB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CC109" s="155"/>
      <c r="CD109" s="155"/>
      <c r="CS109" s="155"/>
      <c r="DH109" s="155"/>
      <c r="DI109" s="155"/>
    </row>
    <row r="110" spans="1:114" s="154" customFormat="1" ht="21" x14ac:dyDescent="0.25">
      <c r="Y110" s="155"/>
      <c r="Z110" s="155"/>
      <c r="AA110" s="155"/>
      <c r="AB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CC110" s="155"/>
      <c r="CD110" s="155"/>
      <c r="CS110" s="155"/>
      <c r="DH110" s="155"/>
      <c r="DI110" s="155"/>
    </row>
    <row r="111" spans="1:114" s="154" customFormat="1" ht="21" x14ac:dyDescent="0.25">
      <c r="Y111" s="155"/>
      <c r="Z111" s="155"/>
      <c r="AA111" s="155"/>
      <c r="AB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/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5"/>
      <c r="BA111" s="155"/>
      <c r="BB111" s="155"/>
      <c r="BC111" s="155"/>
      <c r="BD111" s="155"/>
      <c r="BE111" s="155"/>
      <c r="BF111" s="155"/>
      <c r="BG111" s="155"/>
      <c r="BH111" s="155"/>
      <c r="BI111" s="155"/>
      <c r="CC111" s="155"/>
      <c r="CD111" s="155"/>
      <c r="CS111" s="155"/>
      <c r="DH111" s="155"/>
      <c r="DI111" s="155"/>
    </row>
    <row r="112" spans="1:114" s="154" customFormat="1" ht="21" x14ac:dyDescent="0.25">
      <c r="Y112" s="155"/>
      <c r="Z112" s="155"/>
      <c r="AA112" s="155"/>
      <c r="AB112" s="155"/>
      <c r="AE112" s="155"/>
      <c r="AF112" s="155"/>
      <c r="AG112" s="155"/>
      <c r="AH112" s="155"/>
      <c r="AI112" s="155"/>
      <c r="AJ112" s="155"/>
      <c r="AK112" s="155"/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5"/>
      <c r="AW112" s="155"/>
      <c r="AX112" s="155"/>
      <c r="AY112" s="155"/>
      <c r="AZ112" s="155"/>
      <c r="BA112" s="155"/>
      <c r="BB112" s="155"/>
      <c r="BC112" s="155"/>
      <c r="BD112" s="155"/>
      <c r="BE112" s="155"/>
      <c r="BF112" s="155"/>
      <c r="BG112" s="155"/>
      <c r="BH112" s="155"/>
      <c r="BI112" s="155"/>
      <c r="CC112" s="155"/>
      <c r="CD112" s="155"/>
      <c r="CS112" s="155"/>
      <c r="DH112" s="155"/>
      <c r="DI112" s="155"/>
    </row>
    <row r="113" spans="25:113" s="154" customFormat="1" ht="21" x14ac:dyDescent="0.25">
      <c r="Y113" s="155"/>
      <c r="Z113" s="155"/>
      <c r="AA113" s="155"/>
      <c r="AB113" s="155"/>
      <c r="AE113" s="155"/>
      <c r="AF113" s="155"/>
      <c r="AG113" s="155"/>
      <c r="AH113" s="155"/>
      <c r="AI113" s="155"/>
      <c r="AJ113" s="155"/>
      <c r="AK113" s="155"/>
      <c r="AL113" s="155"/>
      <c r="AM113" s="155"/>
      <c r="AN113" s="155"/>
      <c r="AO113" s="155"/>
      <c r="AP113" s="155"/>
      <c r="AQ113" s="155"/>
      <c r="AR113" s="155"/>
      <c r="AS113" s="155"/>
      <c r="AT113" s="155"/>
      <c r="AU113" s="155"/>
      <c r="AV113" s="155"/>
      <c r="AW113" s="155"/>
      <c r="AX113" s="155"/>
      <c r="AY113" s="155"/>
      <c r="AZ113" s="155"/>
      <c r="BA113" s="155"/>
      <c r="BB113" s="155"/>
      <c r="BC113" s="155"/>
      <c r="BD113" s="155"/>
      <c r="BE113" s="155"/>
      <c r="BF113" s="155"/>
      <c r="BG113" s="155"/>
      <c r="BH113" s="155"/>
      <c r="BI113" s="269"/>
      <c r="CC113" s="406"/>
      <c r="CD113" s="406"/>
      <c r="CE113" s="406"/>
      <c r="CF113" s="406"/>
      <c r="CG113" s="406"/>
      <c r="CH113" s="406"/>
      <c r="CI113" s="406"/>
      <c r="CJ113" s="406"/>
      <c r="CK113" s="406"/>
      <c r="CL113" s="406"/>
      <c r="CM113" s="406"/>
      <c r="CN113" s="406"/>
      <c r="CO113" s="406"/>
      <c r="CP113" s="406"/>
      <c r="CQ113" s="406"/>
      <c r="CR113" s="406"/>
      <c r="CS113" s="406"/>
      <c r="CT113" s="406"/>
      <c r="CU113" s="406"/>
      <c r="CV113" s="406"/>
      <c r="CW113" s="406"/>
      <c r="CX113" s="406"/>
      <c r="CY113" s="406"/>
      <c r="CZ113" s="406"/>
      <c r="DA113" s="406"/>
      <c r="DB113" s="406"/>
      <c r="DC113" s="406"/>
      <c r="DD113" s="406"/>
      <c r="DE113" s="406"/>
      <c r="DF113" s="406"/>
      <c r="DG113" s="406"/>
      <c r="DH113" s="406"/>
      <c r="DI113" s="269"/>
    </row>
    <row r="114" spans="25:113" s="154" customFormat="1" ht="21" x14ac:dyDescent="0.25">
      <c r="Y114" s="155"/>
      <c r="Z114" s="155"/>
      <c r="AA114" s="155"/>
      <c r="AB114" s="155"/>
      <c r="AE114" s="155"/>
      <c r="AF114" s="155"/>
      <c r="AG114" s="155"/>
      <c r="AH114" s="155"/>
      <c r="AI114" s="155"/>
      <c r="AJ114" s="155"/>
      <c r="AK114" s="155"/>
      <c r="AL114" s="155"/>
      <c r="AM114" s="155"/>
      <c r="AN114" s="155"/>
      <c r="AO114" s="155"/>
      <c r="AP114" s="155"/>
      <c r="AQ114" s="155"/>
      <c r="AR114" s="155"/>
      <c r="AS114" s="155"/>
      <c r="AT114" s="155"/>
      <c r="AU114" s="155"/>
      <c r="AV114" s="155"/>
      <c r="AW114" s="155"/>
      <c r="AX114" s="155"/>
      <c r="AY114" s="155"/>
      <c r="AZ114" s="155"/>
      <c r="BA114" s="155"/>
      <c r="BB114" s="155"/>
      <c r="BC114" s="155"/>
      <c r="BD114" s="155"/>
      <c r="BE114" s="155"/>
      <c r="BF114" s="155"/>
      <c r="BG114" s="155"/>
      <c r="BH114" s="155"/>
      <c r="BI114" s="228"/>
      <c r="CC114" s="228"/>
      <c r="CD114" s="228"/>
      <c r="CE114" s="219"/>
      <c r="CF114" s="219"/>
      <c r="CG114" s="219"/>
      <c r="CH114" s="219"/>
      <c r="CI114" s="219"/>
      <c r="CJ114" s="219"/>
      <c r="CK114" s="219"/>
      <c r="CL114" s="219"/>
      <c r="CM114" s="219"/>
      <c r="CN114" s="219"/>
      <c r="CO114" s="219"/>
      <c r="CP114" s="219"/>
      <c r="CQ114" s="219"/>
      <c r="CR114" s="219"/>
      <c r="CS114" s="228"/>
      <c r="CT114" s="219"/>
      <c r="CU114" s="219"/>
      <c r="CV114" s="219"/>
      <c r="CW114" s="219"/>
      <c r="CX114" s="219"/>
      <c r="CY114" s="219"/>
      <c r="CZ114" s="219"/>
      <c r="DA114" s="219"/>
      <c r="DB114" s="219"/>
      <c r="DC114" s="219"/>
      <c r="DD114" s="219"/>
      <c r="DE114" s="219"/>
      <c r="DF114" s="219"/>
      <c r="DG114" s="219"/>
      <c r="DH114" s="228"/>
      <c r="DI114" s="228"/>
    </row>
    <row r="115" spans="25:113" s="154" customFormat="1" ht="21" x14ac:dyDescent="0.25">
      <c r="Y115" s="155"/>
      <c r="Z115" s="155"/>
      <c r="AA115" s="155"/>
      <c r="AB115" s="155"/>
      <c r="AE115" s="155"/>
      <c r="AF115" s="155"/>
      <c r="AG115" s="155"/>
      <c r="AH115" s="155"/>
      <c r="AI115" s="155"/>
      <c r="AJ115" s="155"/>
      <c r="AK115" s="155"/>
      <c r="AL115" s="155"/>
      <c r="AM115" s="155"/>
      <c r="AN115" s="155"/>
      <c r="AO115" s="155"/>
      <c r="AP115" s="155"/>
      <c r="AQ115" s="155"/>
      <c r="AR115" s="155"/>
      <c r="AS115" s="155"/>
      <c r="AT115" s="155"/>
      <c r="AU115" s="155"/>
      <c r="AV115" s="155"/>
      <c r="AW115" s="155"/>
      <c r="AX115" s="155"/>
      <c r="AY115" s="155"/>
      <c r="AZ115" s="155"/>
      <c r="BA115" s="155"/>
      <c r="BB115" s="155"/>
      <c r="BC115" s="155"/>
      <c r="BD115" s="155"/>
      <c r="BE115" s="155"/>
      <c r="BF115" s="155"/>
      <c r="BG115" s="155"/>
      <c r="BH115" s="155"/>
      <c r="BI115" s="269"/>
      <c r="BJ115" s="231"/>
      <c r="BK115" s="231"/>
      <c r="BL115" s="231"/>
      <c r="BM115" s="231"/>
      <c r="BN115" s="231"/>
      <c r="BO115" s="231"/>
      <c r="BP115" s="231"/>
      <c r="BQ115" s="231"/>
      <c r="BR115" s="231"/>
      <c r="BS115" s="231"/>
      <c r="BT115" s="231"/>
      <c r="BU115" s="231"/>
      <c r="BV115" s="231"/>
      <c r="BW115" s="231"/>
      <c r="BX115" s="231"/>
      <c r="BY115" s="231"/>
      <c r="BZ115" s="231"/>
      <c r="CA115" s="231"/>
      <c r="CB115" s="231"/>
      <c r="CC115" s="269"/>
      <c r="CD115" s="269"/>
      <c r="CE115" s="231"/>
      <c r="CF115" s="231"/>
      <c r="CG115" s="231"/>
      <c r="CH115" s="231"/>
      <c r="CI115" s="231"/>
      <c r="CJ115" s="231"/>
      <c r="CK115" s="231"/>
      <c r="CL115" s="231"/>
      <c r="CM115" s="231"/>
      <c r="CN115" s="231"/>
      <c r="CO115" s="231"/>
      <c r="CP115" s="231"/>
      <c r="CQ115" s="231"/>
      <c r="CR115" s="231"/>
      <c r="CS115" s="269"/>
      <c r="CT115" s="231"/>
      <c r="CU115" s="231"/>
      <c r="CV115" s="231"/>
      <c r="CW115" s="231"/>
      <c r="CX115" s="231"/>
      <c r="CY115" s="231"/>
      <c r="CZ115" s="231"/>
      <c r="DA115" s="231"/>
      <c r="DB115" s="231"/>
      <c r="DC115" s="231"/>
      <c r="DD115" s="231"/>
      <c r="DE115" s="231"/>
      <c r="DF115" s="231"/>
      <c r="DG115" s="231"/>
      <c r="DH115" s="269"/>
      <c r="DI115" s="269"/>
    </row>
    <row r="116" spans="25:113" s="154" customFormat="1" ht="21" x14ac:dyDescent="0.25">
      <c r="Y116" s="155"/>
      <c r="Z116" s="155"/>
      <c r="AA116" s="155"/>
      <c r="AB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/>
      <c r="BB116" s="155"/>
      <c r="BC116" s="155"/>
      <c r="BD116" s="155"/>
      <c r="BE116" s="155"/>
      <c r="BF116" s="155"/>
      <c r="BG116" s="155"/>
      <c r="BH116" s="155"/>
      <c r="BI116" s="269"/>
      <c r="CC116" s="406"/>
      <c r="CD116" s="406"/>
      <c r="CE116" s="406"/>
      <c r="CF116" s="406"/>
      <c r="CG116" s="406"/>
      <c r="CH116" s="406"/>
      <c r="CI116" s="406"/>
      <c r="CJ116" s="406"/>
      <c r="CK116" s="406"/>
      <c r="CL116" s="406"/>
      <c r="CM116" s="406"/>
      <c r="CN116" s="406"/>
      <c r="CO116" s="406"/>
      <c r="CP116" s="406"/>
      <c r="CQ116" s="406"/>
      <c r="CR116" s="406"/>
      <c r="CS116" s="406"/>
      <c r="CT116" s="406"/>
      <c r="CU116" s="406"/>
      <c r="CV116" s="406"/>
      <c r="CW116" s="406"/>
      <c r="CX116" s="406"/>
      <c r="CY116" s="406"/>
      <c r="CZ116" s="406"/>
      <c r="DA116" s="406"/>
      <c r="DB116" s="406"/>
      <c r="DC116" s="406"/>
      <c r="DD116" s="406"/>
      <c r="DE116" s="406"/>
      <c r="DF116" s="406"/>
      <c r="DG116" s="406"/>
      <c r="DH116" s="406"/>
      <c r="DI116" s="269"/>
    </row>
    <row r="117" spans="25:113" s="154" customFormat="1" ht="21" x14ac:dyDescent="0.25">
      <c r="Y117" s="155"/>
      <c r="Z117" s="155"/>
      <c r="AA117" s="155"/>
      <c r="AB117" s="155"/>
      <c r="AE117" s="155"/>
      <c r="AF117" s="155"/>
      <c r="AG117" s="155"/>
      <c r="AH117" s="155"/>
      <c r="AI117" s="155"/>
      <c r="AJ117" s="155"/>
      <c r="AK117" s="155"/>
      <c r="AL117" s="155"/>
      <c r="AM117" s="155"/>
      <c r="AN117" s="155"/>
      <c r="AO117" s="155"/>
      <c r="AP117" s="155"/>
      <c r="AQ117" s="155"/>
      <c r="AR117" s="155"/>
      <c r="AS117" s="155"/>
      <c r="AT117" s="155"/>
      <c r="AU117" s="155"/>
      <c r="AV117" s="155"/>
      <c r="AW117" s="155"/>
      <c r="AX117" s="155"/>
      <c r="AY117" s="155"/>
      <c r="AZ117" s="155"/>
      <c r="BA117" s="155"/>
      <c r="BB117" s="155"/>
      <c r="BC117" s="155"/>
      <c r="BD117" s="155"/>
      <c r="BE117" s="155"/>
      <c r="BF117" s="155"/>
      <c r="BG117" s="155"/>
      <c r="BH117" s="155"/>
      <c r="BI117" s="379"/>
      <c r="CC117" s="379"/>
      <c r="CD117" s="228"/>
      <c r="CE117" s="219"/>
      <c r="CF117" s="219"/>
      <c r="CG117" s="219"/>
      <c r="CH117" s="219"/>
      <c r="CI117" s="219"/>
      <c r="CJ117" s="219"/>
      <c r="CK117" s="219"/>
      <c r="CL117" s="219"/>
      <c r="CM117" s="219"/>
      <c r="CN117" s="219"/>
      <c r="CO117" s="219"/>
      <c r="CP117" s="219"/>
      <c r="CQ117" s="219"/>
      <c r="CR117" s="219"/>
      <c r="CS117" s="228"/>
      <c r="CT117" s="219"/>
      <c r="CU117" s="219"/>
      <c r="CV117" s="219"/>
      <c r="CW117" s="219"/>
      <c r="CX117" s="219"/>
      <c r="CY117" s="219"/>
      <c r="CZ117" s="219"/>
      <c r="DA117" s="219"/>
      <c r="DB117" s="219"/>
      <c r="DC117" s="219"/>
      <c r="DD117" s="219"/>
      <c r="DE117" s="219"/>
      <c r="DF117" s="219"/>
      <c r="DG117" s="219"/>
      <c r="DH117" s="228"/>
      <c r="DI117" s="228"/>
    </row>
    <row r="118" spans="25:113" s="154" customFormat="1" ht="21" x14ac:dyDescent="0.25">
      <c r="Y118" s="155"/>
      <c r="Z118" s="155"/>
      <c r="AA118" s="155"/>
      <c r="AB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/>
      <c r="AU118" s="155"/>
      <c r="AV118" s="155"/>
      <c r="AW118" s="155"/>
      <c r="AX118" s="155"/>
      <c r="AY118" s="155"/>
      <c r="AZ118" s="155"/>
      <c r="BA118" s="155"/>
      <c r="BB118" s="155"/>
      <c r="BC118" s="155"/>
      <c r="BD118" s="155"/>
      <c r="BE118" s="155"/>
      <c r="BF118" s="155"/>
      <c r="BG118" s="155"/>
      <c r="BH118" s="155"/>
      <c r="BI118" s="407"/>
      <c r="CC118" s="407"/>
      <c r="CD118" s="155"/>
      <c r="CS118" s="155"/>
      <c r="DH118" s="155"/>
      <c r="DI118" s="155"/>
    </row>
    <row r="119" spans="25:113" s="154" customFormat="1" ht="21" x14ac:dyDescent="0.25">
      <c r="Y119" s="155"/>
      <c r="Z119" s="155"/>
      <c r="AA119" s="155"/>
      <c r="AB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  <c r="BE119" s="155"/>
      <c r="BF119" s="155"/>
      <c r="BG119" s="155"/>
      <c r="BH119" s="155"/>
      <c r="BI119" s="407"/>
      <c r="CC119" s="407"/>
      <c r="CD119" s="155"/>
      <c r="CS119" s="155"/>
      <c r="DH119" s="155"/>
      <c r="DI119" s="155"/>
    </row>
    <row r="120" spans="25:113" s="154" customFormat="1" ht="21" x14ac:dyDescent="0.25">
      <c r="Y120" s="155"/>
      <c r="Z120" s="155"/>
      <c r="AA120" s="155"/>
      <c r="AB120" s="155"/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/>
      <c r="AQ120" s="155"/>
      <c r="AR120" s="155"/>
      <c r="AS120" s="155"/>
      <c r="AT120" s="155"/>
      <c r="AU120" s="155"/>
      <c r="AV120" s="155"/>
      <c r="AW120" s="155"/>
      <c r="AX120" s="155"/>
      <c r="AY120" s="155"/>
      <c r="AZ120" s="155"/>
      <c r="BA120" s="155"/>
      <c r="BB120" s="155"/>
      <c r="BC120" s="155"/>
      <c r="BD120" s="155"/>
      <c r="BE120" s="155"/>
      <c r="BF120" s="155"/>
      <c r="BG120" s="155"/>
      <c r="BH120" s="155"/>
      <c r="BI120" s="155"/>
      <c r="CC120" s="155"/>
      <c r="CD120" s="155"/>
      <c r="CS120" s="155"/>
      <c r="DH120" s="155"/>
      <c r="DI120" s="155"/>
    </row>
    <row r="121" spans="25:113" s="154" customFormat="1" ht="21" x14ac:dyDescent="0.25">
      <c r="Y121" s="155"/>
      <c r="Z121" s="155"/>
      <c r="AA121" s="155"/>
      <c r="AB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155"/>
      <c r="AT121" s="155"/>
      <c r="AU121" s="155"/>
      <c r="AV121" s="155"/>
      <c r="AW121" s="155"/>
      <c r="AX121" s="155"/>
      <c r="AY121" s="155"/>
      <c r="AZ121" s="155"/>
      <c r="BA121" s="155"/>
      <c r="BB121" s="155"/>
      <c r="BC121" s="155"/>
      <c r="BD121" s="155"/>
      <c r="BE121" s="155"/>
      <c r="BF121" s="155"/>
      <c r="BG121" s="155"/>
      <c r="BH121" s="155"/>
      <c r="BI121" s="269"/>
      <c r="CC121" s="406"/>
      <c r="CD121" s="406"/>
      <c r="CE121" s="406"/>
      <c r="CF121" s="406"/>
      <c r="CG121" s="406"/>
      <c r="CH121" s="406"/>
      <c r="CI121" s="406"/>
      <c r="CJ121" s="406"/>
      <c r="CK121" s="406"/>
      <c r="CL121" s="406"/>
      <c r="CM121" s="406"/>
      <c r="CN121" s="406"/>
      <c r="CO121" s="406"/>
      <c r="CP121" s="406"/>
      <c r="CQ121" s="406"/>
      <c r="CR121" s="406"/>
      <c r="CS121" s="406"/>
      <c r="CT121" s="406"/>
      <c r="CU121" s="406"/>
      <c r="CV121" s="406"/>
      <c r="CW121" s="406"/>
      <c r="CX121" s="406"/>
      <c r="CY121" s="406"/>
      <c r="CZ121" s="406"/>
      <c r="DA121" s="406"/>
      <c r="DB121" s="406"/>
      <c r="DC121" s="406"/>
      <c r="DD121" s="406"/>
      <c r="DE121" s="406"/>
      <c r="DF121" s="406"/>
      <c r="DG121" s="406"/>
      <c r="DH121" s="406"/>
      <c r="DI121" s="269"/>
    </row>
    <row r="122" spans="25:113" s="154" customFormat="1" ht="21" x14ac:dyDescent="0.25">
      <c r="Y122" s="155"/>
      <c r="Z122" s="155"/>
      <c r="AA122" s="155"/>
      <c r="AB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  <c r="AV122" s="155"/>
      <c r="AW122" s="155"/>
      <c r="AX122" s="155"/>
      <c r="AY122" s="155"/>
      <c r="AZ122" s="155"/>
      <c r="BA122" s="155"/>
      <c r="BB122" s="155"/>
      <c r="BC122" s="155"/>
      <c r="BD122" s="155"/>
      <c r="BE122" s="155"/>
      <c r="BF122" s="155"/>
      <c r="BG122" s="155"/>
      <c r="BH122" s="155"/>
      <c r="BI122" s="379"/>
      <c r="CC122" s="228"/>
      <c r="CD122" s="228"/>
      <c r="CE122" s="219"/>
      <c r="CF122" s="219"/>
      <c r="CG122" s="219"/>
      <c r="CH122" s="219"/>
      <c r="CI122" s="219"/>
      <c r="CJ122" s="219"/>
      <c r="CK122" s="219"/>
      <c r="CL122" s="219"/>
      <c r="CM122" s="219"/>
      <c r="CN122" s="219"/>
      <c r="CO122" s="219"/>
      <c r="CP122" s="219"/>
      <c r="CQ122" s="219"/>
      <c r="CR122" s="219"/>
      <c r="CS122" s="228"/>
      <c r="CT122" s="219"/>
      <c r="CU122" s="219"/>
      <c r="CV122" s="219"/>
      <c r="CW122" s="219"/>
      <c r="CX122" s="219"/>
      <c r="CY122" s="219"/>
      <c r="CZ122" s="219"/>
      <c r="DA122" s="219"/>
      <c r="DB122" s="219"/>
      <c r="DC122" s="219"/>
      <c r="DD122" s="219"/>
      <c r="DE122" s="219"/>
      <c r="DF122" s="219"/>
      <c r="DG122" s="219"/>
      <c r="DH122" s="228"/>
      <c r="DI122" s="228"/>
    </row>
    <row r="123" spans="25:113" s="154" customFormat="1" ht="21" x14ac:dyDescent="0.25">
      <c r="Y123" s="155"/>
      <c r="Z123" s="155"/>
      <c r="AA123" s="155"/>
      <c r="AB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  <c r="AV123" s="155"/>
      <c r="AW123" s="155"/>
      <c r="AX123" s="155"/>
      <c r="AY123" s="155"/>
      <c r="AZ123" s="155"/>
      <c r="BA123" s="155"/>
      <c r="BB123" s="155"/>
      <c r="BC123" s="155"/>
      <c r="BD123" s="155"/>
      <c r="BE123" s="155"/>
      <c r="BF123" s="155"/>
      <c r="BG123" s="155"/>
      <c r="BH123" s="155"/>
      <c r="BI123" s="407"/>
      <c r="CC123" s="228"/>
      <c r="CD123" s="228"/>
      <c r="CE123" s="219"/>
      <c r="CF123" s="219"/>
      <c r="CG123" s="219"/>
      <c r="CH123" s="219"/>
      <c r="CI123" s="219"/>
      <c r="CJ123" s="219"/>
      <c r="CK123" s="219"/>
      <c r="CL123" s="219"/>
      <c r="CM123" s="219"/>
      <c r="CN123" s="219"/>
      <c r="CO123" s="219"/>
      <c r="CP123" s="219"/>
      <c r="CQ123" s="219"/>
      <c r="CR123" s="219"/>
      <c r="CS123" s="228"/>
      <c r="CT123" s="219"/>
      <c r="CU123" s="219"/>
      <c r="CV123" s="219"/>
      <c r="CW123" s="219"/>
      <c r="CX123" s="219"/>
      <c r="CY123" s="219"/>
      <c r="CZ123" s="219"/>
      <c r="DA123" s="219"/>
      <c r="DB123" s="219"/>
      <c r="DC123" s="219"/>
      <c r="DD123" s="219"/>
      <c r="DE123" s="219"/>
      <c r="DF123" s="219"/>
      <c r="DG123" s="219"/>
      <c r="DH123" s="228"/>
      <c r="DI123" s="228"/>
    </row>
    <row r="124" spans="25:113" s="154" customFormat="1" ht="21" x14ac:dyDescent="0.25">
      <c r="Y124" s="155"/>
      <c r="Z124" s="155"/>
      <c r="AA124" s="155"/>
      <c r="AB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  <c r="AV124" s="155"/>
      <c r="AW124" s="155"/>
      <c r="AX124" s="155"/>
      <c r="AY124" s="155"/>
      <c r="AZ124" s="155"/>
      <c r="BA124" s="155"/>
      <c r="BB124" s="155"/>
      <c r="BC124" s="155"/>
      <c r="BD124" s="155"/>
      <c r="BE124" s="155"/>
      <c r="BF124" s="155"/>
      <c r="BG124" s="155"/>
      <c r="BH124" s="155"/>
      <c r="BI124" s="407"/>
      <c r="CC124" s="228"/>
      <c r="CD124" s="228"/>
      <c r="CE124" s="219"/>
      <c r="CF124" s="219"/>
      <c r="CG124" s="219"/>
      <c r="CH124" s="219"/>
      <c r="CI124" s="219"/>
      <c r="CJ124" s="219"/>
      <c r="CK124" s="219"/>
      <c r="CL124" s="219"/>
      <c r="CM124" s="219"/>
      <c r="CN124" s="219"/>
      <c r="CO124" s="219"/>
      <c r="CP124" s="219"/>
      <c r="CQ124" s="219"/>
      <c r="CR124" s="219"/>
      <c r="CS124" s="228"/>
      <c r="CT124" s="219"/>
      <c r="CU124" s="219"/>
      <c r="CV124" s="219"/>
      <c r="CW124" s="219"/>
      <c r="CX124" s="219"/>
      <c r="CY124" s="219"/>
      <c r="CZ124" s="219"/>
      <c r="DA124" s="219"/>
      <c r="DB124" s="219"/>
      <c r="DC124" s="219"/>
      <c r="DD124" s="219"/>
      <c r="DE124" s="219"/>
      <c r="DF124" s="219"/>
      <c r="DG124" s="219"/>
      <c r="DH124" s="228"/>
      <c r="DI124" s="228"/>
    </row>
    <row r="125" spans="25:113" s="154" customFormat="1" ht="21" x14ac:dyDescent="0.25">
      <c r="Y125" s="155"/>
      <c r="Z125" s="155"/>
      <c r="AA125" s="155"/>
      <c r="AB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  <c r="AV125" s="155"/>
      <c r="AW125" s="155"/>
      <c r="AX125" s="155"/>
      <c r="AY125" s="155"/>
      <c r="AZ125" s="155"/>
      <c r="BA125" s="155"/>
      <c r="BB125" s="155"/>
      <c r="BC125" s="155"/>
      <c r="BD125" s="155"/>
      <c r="BE125" s="155"/>
      <c r="BF125" s="155"/>
      <c r="BG125" s="155"/>
      <c r="BH125" s="155"/>
      <c r="BI125" s="228"/>
      <c r="CC125" s="228"/>
      <c r="CD125" s="228"/>
      <c r="CE125" s="219"/>
      <c r="CF125" s="219"/>
      <c r="CG125" s="219"/>
      <c r="CH125" s="219"/>
      <c r="CI125" s="219"/>
      <c r="CJ125" s="219"/>
      <c r="CK125" s="219"/>
      <c r="CL125" s="219"/>
      <c r="CM125" s="219"/>
      <c r="CN125" s="219"/>
      <c r="CO125" s="219"/>
      <c r="CP125" s="219"/>
      <c r="CQ125" s="219"/>
      <c r="CR125" s="219"/>
      <c r="CS125" s="228"/>
      <c r="CT125" s="219"/>
      <c r="CU125" s="219"/>
      <c r="CV125" s="219"/>
      <c r="CW125" s="219"/>
      <c r="CX125" s="219"/>
      <c r="CY125" s="219"/>
      <c r="CZ125" s="219"/>
      <c r="DA125" s="219"/>
      <c r="DB125" s="219"/>
      <c r="DC125" s="219"/>
      <c r="DD125" s="219"/>
      <c r="DE125" s="219"/>
      <c r="DF125" s="219"/>
      <c r="DG125" s="219"/>
      <c r="DH125" s="228"/>
      <c r="DI125" s="228"/>
    </row>
    <row r="126" spans="25:113" s="154" customFormat="1" ht="21" x14ac:dyDescent="0.25">
      <c r="Y126" s="155"/>
      <c r="Z126" s="155"/>
      <c r="AA126" s="155"/>
      <c r="AB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  <c r="AV126" s="155"/>
      <c r="AW126" s="155"/>
      <c r="AX126" s="155"/>
      <c r="AY126" s="155"/>
      <c r="AZ126" s="155"/>
      <c r="BA126" s="155"/>
      <c r="BB126" s="155"/>
      <c r="BC126" s="155"/>
      <c r="BD126" s="155"/>
      <c r="BE126" s="155"/>
      <c r="BF126" s="155"/>
      <c r="BG126" s="155"/>
      <c r="BH126" s="155"/>
      <c r="BI126" s="228"/>
      <c r="CC126" s="228"/>
      <c r="CD126" s="228"/>
      <c r="CE126" s="219"/>
      <c r="CF126" s="219"/>
      <c r="CG126" s="219"/>
      <c r="CH126" s="219"/>
      <c r="CI126" s="219"/>
      <c r="CJ126" s="219"/>
      <c r="CK126" s="219"/>
      <c r="CL126" s="219"/>
      <c r="CM126" s="219"/>
      <c r="CN126" s="219"/>
      <c r="CO126" s="219"/>
      <c r="CP126" s="219"/>
      <c r="CQ126" s="219"/>
      <c r="CR126" s="219"/>
      <c r="CS126" s="228"/>
      <c r="CT126" s="219"/>
      <c r="CU126" s="219"/>
      <c r="CV126" s="219"/>
      <c r="CW126" s="219"/>
      <c r="CX126" s="219"/>
      <c r="CY126" s="219"/>
      <c r="CZ126" s="219"/>
      <c r="DA126" s="219"/>
      <c r="DB126" s="219"/>
      <c r="DC126" s="219"/>
      <c r="DD126" s="219"/>
      <c r="DE126" s="219"/>
      <c r="DF126" s="219"/>
      <c r="DG126" s="219"/>
      <c r="DH126" s="228"/>
      <c r="DI126" s="228"/>
    </row>
    <row r="127" spans="25:113" s="275" customFormat="1" ht="21" x14ac:dyDescent="0.25">
      <c r="Y127" s="274"/>
      <c r="Z127" s="274"/>
      <c r="AA127" s="274"/>
      <c r="AB127" s="274"/>
      <c r="AE127" s="274"/>
      <c r="AF127" s="274"/>
      <c r="AG127" s="274"/>
      <c r="AH127" s="274"/>
      <c r="AI127" s="274"/>
      <c r="AJ127" s="274"/>
      <c r="AK127" s="274"/>
      <c r="AL127" s="274"/>
      <c r="AM127" s="274"/>
      <c r="AN127" s="274"/>
      <c r="AO127" s="274"/>
      <c r="AP127" s="274"/>
      <c r="AQ127" s="274"/>
      <c r="AR127" s="274"/>
      <c r="AS127" s="274"/>
      <c r="AT127" s="274"/>
      <c r="AU127" s="274"/>
      <c r="AV127" s="274"/>
      <c r="AW127" s="274"/>
      <c r="AX127" s="274"/>
      <c r="AY127" s="274"/>
      <c r="AZ127" s="274"/>
      <c r="BA127" s="274"/>
      <c r="BB127" s="274"/>
      <c r="BC127" s="274"/>
      <c r="BD127" s="274"/>
      <c r="BE127" s="274"/>
      <c r="BF127" s="274"/>
      <c r="BG127" s="274"/>
      <c r="BH127" s="274"/>
      <c r="BI127" s="404"/>
      <c r="CC127" s="276"/>
      <c r="CD127" s="276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276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276"/>
      <c r="DI127" s="276"/>
    </row>
    <row r="128" spans="25:113" x14ac:dyDescent="0.25"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405"/>
      <c r="CC128" s="150"/>
      <c r="CD128" s="150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50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50"/>
      <c r="DI128" s="150"/>
    </row>
    <row r="129" spans="31:113" x14ac:dyDescent="0.25"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50"/>
      <c r="CC129" s="150"/>
      <c r="CD129" s="150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50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50"/>
      <c r="DI129" s="150"/>
    </row>
    <row r="130" spans="31:113" x14ac:dyDescent="0.25"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50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50"/>
      <c r="CD130" s="150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50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50"/>
      <c r="DI130" s="150"/>
    </row>
    <row r="131" spans="31:113" x14ac:dyDescent="0.25"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</row>
    <row r="132" spans="31:113" x14ac:dyDescent="0.25"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51"/>
      <c r="CC132" s="403"/>
      <c r="CD132" s="403"/>
      <c r="CE132" s="403"/>
      <c r="CF132" s="403"/>
      <c r="CG132" s="403"/>
      <c r="CH132" s="403"/>
      <c r="CI132" s="403"/>
      <c r="CJ132" s="403"/>
      <c r="CK132" s="403"/>
      <c r="CL132" s="403"/>
      <c r="CM132" s="403"/>
      <c r="CN132" s="403"/>
      <c r="CO132" s="403"/>
      <c r="CP132" s="403"/>
      <c r="CQ132" s="403"/>
      <c r="CR132" s="403"/>
      <c r="CS132" s="403"/>
      <c r="CT132" s="403"/>
      <c r="CU132" s="403"/>
      <c r="CV132" s="403"/>
      <c r="CW132" s="403"/>
      <c r="CX132" s="403"/>
      <c r="CY132" s="403"/>
      <c r="CZ132" s="403"/>
      <c r="DA132" s="403"/>
      <c r="DB132" s="403"/>
      <c r="DC132" s="403"/>
      <c r="DD132" s="403"/>
      <c r="DE132" s="403"/>
      <c r="DF132" s="403"/>
      <c r="DG132" s="403"/>
      <c r="DH132" s="403"/>
      <c r="DI132" s="151"/>
    </row>
    <row r="133" spans="31:113" x14ac:dyDescent="0.25"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50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50"/>
      <c r="CD133" s="150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50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50"/>
      <c r="DI133" s="150"/>
    </row>
    <row r="134" spans="31:113" x14ac:dyDescent="0.25"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CC134" s="150"/>
      <c r="CD134" s="150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50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50"/>
      <c r="DI134" s="150"/>
    </row>
    <row r="135" spans="31:113" x14ac:dyDescent="0.25"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51"/>
      <c r="CC135" s="150"/>
      <c r="CD135" s="150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50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50"/>
      <c r="DI135" s="150"/>
    </row>
    <row r="136" spans="31:113" x14ac:dyDescent="0.25"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50"/>
    </row>
    <row r="137" spans="31:113" x14ac:dyDescent="0.25"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CC137" s="403"/>
      <c r="CD137" s="403"/>
      <c r="CE137" s="403"/>
      <c r="CF137" s="403"/>
      <c r="CG137" s="403"/>
      <c r="CH137" s="403"/>
      <c r="CI137" s="403"/>
      <c r="CJ137" s="403"/>
      <c r="CK137" s="403"/>
      <c r="CL137" s="403"/>
      <c r="CM137" s="403"/>
      <c r="CN137" s="403"/>
      <c r="CO137" s="403"/>
      <c r="CP137" s="403"/>
      <c r="CQ137" s="403"/>
      <c r="CR137" s="403"/>
      <c r="CS137" s="403"/>
      <c r="CT137" s="403"/>
      <c r="CU137" s="403"/>
      <c r="CV137" s="403"/>
      <c r="CW137" s="403"/>
      <c r="CX137" s="403"/>
      <c r="CY137" s="403"/>
      <c r="CZ137" s="403"/>
      <c r="DA137" s="403"/>
      <c r="DB137" s="403"/>
      <c r="DC137" s="403"/>
      <c r="DD137" s="403"/>
      <c r="DE137" s="403"/>
      <c r="DF137" s="403"/>
      <c r="DG137" s="403"/>
      <c r="DH137" s="403"/>
      <c r="DI137" s="151"/>
    </row>
    <row r="138" spans="31:113" x14ac:dyDescent="0.25"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51"/>
      <c r="CC138" s="150"/>
      <c r="CD138" s="150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50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50"/>
      <c r="DI138" s="150"/>
    </row>
    <row r="139" spans="31:113" x14ac:dyDescent="0.25"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50"/>
      <c r="CD139" s="150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50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50"/>
      <c r="DI139" s="150"/>
    </row>
    <row r="140" spans="31:113" x14ac:dyDescent="0.25">
      <c r="CC140" s="150"/>
      <c r="CD140" s="150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50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50"/>
      <c r="DI140" s="150"/>
    </row>
    <row r="141" spans="31:113" x14ac:dyDescent="0.25">
      <c r="BI141" s="3"/>
    </row>
    <row r="142" spans="31:113" x14ac:dyDescent="0.25"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4" spans="31:113" x14ac:dyDescent="0.25">
      <c r="BI144" s="3"/>
    </row>
    <row r="145" spans="61:113" x14ac:dyDescent="0.25"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61:113" x14ac:dyDescent="0.25">
      <c r="BI146" s="3"/>
    </row>
    <row r="147" spans="61:113" x14ac:dyDescent="0.25">
      <c r="BI147" s="1"/>
    </row>
    <row r="151" spans="61:113" x14ac:dyDescent="0.25">
      <c r="CC151" s="403"/>
      <c r="CD151" s="403"/>
      <c r="CE151" s="403"/>
      <c r="CF151" s="403"/>
      <c r="CG151" s="403"/>
      <c r="CH151" s="403"/>
      <c r="CI151" s="403"/>
      <c r="CJ151" s="403"/>
      <c r="CK151" s="403"/>
      <c r="CL151" s="403"/>
      <c r="CM151" s="403"/>
      <c r="CN151" s="403"/>
      <c r="CO151" s="403"/>
      <c r="CP151" s="403"/>
      <c r="CQ151" s="403"/>
      <c r="CR151" s="403"/>
      <c r="CS151" s="403"/>
      <c r="CT151" s="403"/>
      <c r="CU151" s="403"/>
      <c r="CV151" s="403"/>
      <c r="CW151" s="403"/>
      <c r="CX151" s="403"/>
      <c r="CY151" s="403"/>
      <c r="CZ151" s="403"/>
      <c r="DA151" s="403"/>
      <c r="DB151" s="403"/>
      <c r="DC151" s="403"/>
      <c r="DD151" s="403"/>
      <c r="DE151" s="403"/>
      <c r="DF151" s="403"/>
      <c r="DG151" s="403"/>
      <c r="DH151" s="403"/>
      <c r="DI151" s="151"/>
    </row>
    <row r="152" spans="61:113" x14ac:dyDescent="0.25">
      <c r="CC152" s="150"/>
      <c r="CD152" s="150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50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50"/>
      <c r="DI152" s="150"/>
    </row>
    <row r="154" spans="61:113" x14ac:dyDescent="0.25">
      <c r="CC154" s="403"/>
      <c r="CD154" s="403"/>
      <c r="CE154" s="403"/>
      <c r="CF154" s="403"/>
      <c r="CG154" s="403"/>
      <c r="CH154" s="403"/>
      <c r="CI154" s="403"/>
      <c r="CJ154" s="403"/>
      <c r="CK154" s="403"/>
      <c r="CL154" s="403"/>
      <c r="CM154" s="403"/>
      <c r="CN154" s="403"/>
      <c r="CO154" s="403"/>
      <c r="CP154" s="403"/>
      <c r="CQ154" s="403"/>
      <c r="CR154" s="403"/>
      <c r="CS154" s="403"/>
      <c r="CT154" s="403"/>
      <c r="CU154" s="403"/>
      <c r="CV154" s="403"/>
      <c r="CW154" s="403"/>
      <c r="CX154" s="403"/>
      <c r="CY154" s="403"/>
      <c r="CZ154" s="403"/>
      <c r="DA154" s="403"/>
      <c r="DB154" s="403"/>
      <c r="DC154" s="403"/>
      <c r="DD154" s="403"/>
      <c r="DE154" s="403"/>
      <c r="DF154" s="403"/>
      <c r="DG154" s="403"/>
      <c r="DH154" s="403"/>
      <c r="DI154" s="151"/>
    </row>
    <row r="155" spans="61:113" x14ac:dyDescent="0.25">
      <c r="CC155" s="150"/>
      <c r="CD155" s="150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50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50"/>
      <c r="DI155" s="150"/>
    </row>
  </sheetData>
  <mergeCells count="432">
    <mergeCell ref="AX11:BC11"/>
    <mergeCell ref="CG70:CI70"/>
    <mergeCell ref="V23:X23"/>
    <mergeCell ref="W24:X24"/>
    <mergeCell ref="BV32:BY32"/>
    <mergeCell ref="BN23:BR23"/>
    <mergeCell ref="CG58:CI58"/>
    <mergeCell ref="CG54:CI54"/>
    <mergeCell ref="CG50:CI50"/>
    <mergeCell ref="CG44:CI44"/>
    <mergeCell ref="BY65:CB65"/>
    <mergeCell ref="BZ63:CB63"/>
    <mergeCell ref="BY62:CB62"/>
    <mergeCell ref="BZ58:CB58"/>
    <mergeCell ref="BY57:CB57"/>
    <mergeCell ref="BZ53:CB53"/>
    <mergeCell ref="BP66:BR66"/>
    <mergeCell ref="BK66:BM66"/>
    <mergeCell ref="BT68:BW68"/>
    <mergeCell ref="BO68:BR68"/>
    <mergeCell ref="BJ68:BM68"/>
    <mergeCell ref="AG54:AI54"/>
    <mergeCell ref="BU41:BW41"/>
    <mergeCell ref="BY40:CB40"/>
    <mergeCell ref="DF69:DH69"/>
    <mergeCell ref="CF61:CI61"/>
    <mergeCell ref="CG62:CI62"/>
    <mergeCell ref="CF65:CI65"/>
    <mergeCell ref="CG66:CI66"/>
    <mergeCell ref="CK68:CN68"/>
    <mergeCell ref="CP68:CS68"/>
    <mergeCell ref="CU68:CX68"/>
    <mergeCell ref="BO24:BR24"/>
    <mergeCell ref="CF53:CI53"/>
    <mergeCell ref="CK53:CN53"/>
    <mergeCell ref="CP53:CS53"/>
    <mergeCell ref="CU53:CX53"/>
    <mergeCell ref="CZ53:DC53"/>
    <mergeCell ref="DE53:DH53"/>
    <mergeCell ref="CL54:CN54"/>
    <mergeCell ref="CQ54:CS54"/>
    <mergeCell ref="CV58:CX58"/>
    <mergeCell ref="DA58:DC58"/>
    <mergeCell ref="DF58:DH58"/>
    <mergeCell ref="CF57:CI57"/>
    <mergeCell ref="CK57:CN57"/>
    <mergeCell ref="CP57:CS57"/>
    <mergeCell ref="CU57:CX57"/>
    <mergeCell ref="CZ57:DC57"/>
    <mergeCell ref="DE57:DH57"/>
    <mergeCell ref="CL58:CN58"/>
    <mergeCell ref="CQ58:CS58"/>
    <mergeCell ref="BP41:BR41"/>
    <mergeCell ref="BK41:BM41"/>
    <mergeCell ref="BT52:BW52"/>
    <mergeCell ref="BO52:BR52"/>
    <mergeCell ref="BJ52:BM52"/>
    <mergeCell ref="BZ41:CB41"/>
    <mergeCell ref="CL50:CN50"/>
    <mergeCell ref="CF49:CI49"/>
    <mergeCell ref="CK49:CN49"/>
    <mergeCell ref="CL44:CN44"/>
    <mergeCell ref="BJ40:BM40"/>
    <mergeCell ref="CQ44:CS44"/>
    <mergeCell ref="CV44:CX44"/>
    <mergeCell ref="DA44:DC44"/>
    <mergeCell ref="DF44:DH44"/>
    <mergeCell ref="BY52:CB52"/>
    <mergeCell ref="CK40:CN40"/>
    <mergeCell ref="CF43:CI43"/>
    <mergeCell ref="CK43:CN43"/>
    <mergeCell ref="CP43:CS43"/>
    <mergeCell ref="CU43:CX43"/>
    <mergeCell ref="CZ43:DC43"/>
    <mergeCell ref="DE43:DH43"/>
    <mergeCell ref="CQ50:CS50"/>
    <mergeCell ref="CV50:CX50"/>
    <mergeCell ref="DA50:DC50"/>
    <mergeCell ref="DF50:DH50"/>
    <mergeCell ref="CP49:CS49"/>
    <mergeCell ref="CU49:CX49"/>
    <mergeCell ref="CZ49:DC49"/>
    <mergeCell ref="DE49:DH49"/>
    <mergeCell ref="B25:E25"/>
    <mergeCell ref="B28:E28"/>
    <mergeCell ref="C26:E26"/>
    <mergeCell ref="C29:E29"/>
    <mergeCell ref="C34:E34"/>
    <mergeCell ref="B33:E33"/>
    <mergeCell ref="O32:R32"/>
    <mergeCell ref="AG50:AI50"/>
    <mergeCell ref="AL50:AN50"/>
    <mergeCell ref="AF49:AI49"/>
    <mergeCell ref="AF43:AI43"/>
    <mergeCell ref="AK43:AN43"/>
    <mergeCell ref="AG44:AI44"/>
    <mergeCell ref="AL44:AN44"/>
    <mergeCell ref="AK40:AN40"/>
    <mergeCell ref="P33:R33"/>
    <mergeCell ref="AG38:BH38"/>
    <mergeCell ref="AZ49:BC49"/>
    <mergeCell ref="BE49:BH49"/>
    <mergeCell ref="BA50:BC50"/>
    <mergeCell ref="BF50:BH50"/>
    <mergeCell ref="AK49:AN49"/>
    <mergeCell ref="AP49:AS49"/>
    <mergeCell ref="AU49:AX49"/>
    <mergeCell ref="AK68:AN68"/>
    <mergeCell ref="AP68:AS68"/>
    <mergeCell ref="AU68:AX68"/>
    <mergeCell ref="AZ68:BC68"/>
    <mergeCell ref="BE68:BH68"/>
    <mergeCell ref="BA54:BC54"/>
    <mergeCell ref="DD74:DG74"/>
    <mergeCell ref="CK72:CM72"/>
    <mergeCell ref="CP72:CR72"/>
    <mergeCell ref="CU72:CW72"/>
    <mergeCell ref="CZ72:DB72"/>
    <mergeCell ref="DE72:DG72"/>
    <mergeCell ref="BT57:BW57"/>
    <mergeCell ref="BO57:BR57"/>
    <mergeCell ref="BJ57:BM57"/>
    <mergeCell ref="DD71:DG71"/>
    <mergeCell ref="CV54:CX54"/>
    <mergeCell ref="DA54:DC54"/>
    <mergeCell ref="DF54:DH54"/>
    <mergeCell ref="CZ68:DC68"/>
    <mergeCell ref="DE68:DH68"/>
    <mergeCell ref="CF69:CI69"/>
    <mergeCell ref="CL69:CN69"/>
    <mergeCell ref="CQ69:CS69"/>
    <mergeCell ref="DE75:DG75"/>
    <mergeCell ref="CJ71:CM71"/>
    <mergeCell ref="CO71:CR71"/>
    <mergeCell ref="AG70:AI70"/>
    <mergeCell ref="BT80:BW80"/>
    <mergeCell ref="AL58:AN58"/>
    <mergeCell ref="BU69:BW69"/>
    <mergeCell ref="BP69:BR69"/>
    <mergeCell ref="BK69:BM69"/>
    <mergeCell ref="BU58:BW58"/>
    <mergeCell ref="BP58:BR58"/>
    <mergeCell ref="AG62:AI62"/>
    <mergeCell ref="BO62:BR62"/>
    <mergeCell ref="BT62:BW62"/>
    <mergeCell ref="BJ62:BM62"/>
    <mergeCell ref="CT77:CW77"/>
    <mergeCell ref="CY77:DB77"/>
    <mergeCell ref="DD77:DG77"/>
    <mergeCell ref="CJ77:CM77"/>
    <mergeCell ref="CO77:CR77"/>
    <mergeCell ref="CP75:CR75"/>
    <mergeCell ref="CU75:CW75"/>
    <mergeCell ref="CT71:CW71"/>
    <mergeCell ref="CY71:DB71"/>
    <mergeCell ref="O96:R96"/>
    <mergeCell ref="P97:R97"/>
    <mergeCell ref="O99:R99"/>
    <mergeCell ref="CE77:CH77"/>
    <mergeCell ref="CE74:CH74"/>
    <mergeCell ref="CF72:CH72"/>
    <mergeCell ref="AL69:AN69"/>
    <mergeCell ref="AQ69:AS69"/>
    <mergeCell ref="AV69:AX69"/>
    <mergeCell ref="BA69:BC69"/>
    <mergeCell ref="BF69:BH69"/>
    <mergeCell ref="AF69:AI69"/>
    <mergeCell ref="CE71:CH71"/>
    <mergeCell ref="O80:R80"/>
    <mergeCell ref="T80:X80"/>
    <mergeCell ref="BJ80:BM80"/>
    <mergeCell ref="BO80:BR80"/>
    <mergeCell ref="BT77:BW77"/>
    <mergeCell ref="CF75:CH75"/>
    <mergeCell ref="BP94:BR94"/>
    <mergeCell ref="BJ96:BM96"/>
    <mergeCell ref="BO96:BR96"/>
    <mergeCell ref="BJ90:BM90"/>
    <mergeCell ref="BO90:BR90"/>
    <mergeCell ref="P100:R100"/>
    <mergeCell ref="Z40:AC40"/>
    <mergeCell ref="AA41:AC41"/>
    <mergeCell ref="Z62:AC62"/>
    <mergeCell ref="AA63:AC63"/>
    <mergeCell ref="Z65:AC65"/>
    <mergeCell ref="AA66:AC66"/>
    <mergeCell ref="J99:M99"/>
    <mergeCell ref="K100:M100"/>
    <mergeCell ref="O83:R83"/>
    <mergeCell ref="P84:R84"/>
    <mergeCell ref="O87:R87"/>
    <mergeCell ref="P88:R88"/>
    <mergeCell ref="O90:R90"/>
    <mergeCell ref="P91:R91"/>
    <mergeCell ref="O93:R93"/>
    <mergeCell ref="P94:R94"/>
    <mergeCell ref="J90:M90"/>
    <mergeCell ref="K91:M91"/>
    <mergeCell ref="J93:M93"/>
    <mergeCell ref="K94:M94"/>
    <mergeCell ref="J96:M96"/>
    <mergeCell ref="K97:M97"/>
    <mergeCell ref="J80:M80"/>
    <mergeCell ref="J83:M83"/>
    <mergeCell ref="K84:M84"/>
    <mergeCell ref="J87:M87"/>
    <mergeCell ref="K88:M88"/>
    <mergeCell ref="CF81:CH81"/>
    <mergeCell ref="CK81:CM81"/>
    <mergeCell ref="CP81:CR81"/>
    <mergeCell ref="CU81:CW81"/>
    <mergeCell ref="K81:M81"/>
    <mergeCell ref="P81:R81"/>
    <mergeCell ref="U81:X81"/>
    <mergeCell ref="BK81:BM81"/>
    <mergeCell ref="BP81:BR81"/>
    <mergeCell ref="BK88:BM88"/>
    <mergeCell ref="BP88:BR88"/>
    <mergeCell ref="BU81:BW81"/>
    <mergeCell ref="BJ83:BM83"/>
    <mergeCell ref="BO83:BR83"/>
    <mergeCell ref="CZ81:DB81"/>
    <mergeCell ref="DE81:DG81"/>
    <mergeCell ref="CE80:CH80"/>
    <mergeCell ref="CJ80:CM80"/>
    <mergeCell ref="CO80:CR80"/>
    <mergeCell ref="CT80:CW80"/>
    <mergeCell ref="CY80:DB80"/>
    <mergeCell ref="DD80:DG80"/>
    <mergeCell ref="CF78:CH78"/>
    <mergeCell ref="CK78:CM78"/>
    <mergeCell ref="CP78:CR78"/>
    <mergeCell ref="CU78:CW78"/>
    <mergeCell ref="CZ78:DB78"/>
    <mergeCell ref="DE78:DG78"/>
    <mergeCell ref="CK75:CM75"/>
    <mergeCell ref="BY68:CB68"/>
    <mergeCell ref="BZ69:CB69"/>
    <mergeCell ref="BY71:CB71"/>
    <mergeCell ref="BZ72:CB72"/>
    <mergeCell ref="CZ75:DB75"/>
    <mergeCell ref="CJ74:CM74"/>
    <mergeCell ref="CO74:CR74"/>
    <mergeCell ref="CT74:CW74"/>
    <mergeCell ref="CY74:DB74"/>
    <mergeCell ref="CV69:CX69"/>
    <mergeCell ref="DA69:DC69"/>
    <mergeCell ref="AG66:AI66"/>
    <mergeCell ref="BZ66:CB66"/>
    <mergeCell ref="BT65:BW65"/>
    <mergeCell ref="AF65:AI65"/>
    <mergeCell ref="BO65:BR65"/>
    <mergeCell ref="BJ65:BM65"/>
    <mergeCell ref="BU66:BW66"/>
    <mergeCell ref="BK58:BM58"/>
    <mergeCell ref="BU63:BW63"/>
    <mergeCell ref="BP63:BR63"/>
    <mergeCell ref="BK63:BM63"/>
    <mergeCell ref="AG58:AI58"/>
    <mergeCell ref="AF61:AI61"/>
    <mergeCell ref="AQ58:AS58"/>
    <mergeCell ref="AV58:AX58"/>
    <mergeCell ref="BF58:BH58"/>
    <mergeCell ref="AQ50:AS50"/>
    <mergeCell ref="AV50:AX50"/>
    <mergeCell ref="AF57:AI57"/>
    <mergeCell ref="AK57:AN57"/>
    <mergeCell ref="AP57:AS57"/>
    <mergeCell ref="AU57:AX57"/>
    <mergeCell ref="AZ57:BC57"/>
    <mergeCell ref="BE57:BH57"/>
    <mergeCell ref="AL54:AN54"/>
    <mergeCell ref="AQ54:AS54"/>
    <mergeCell ref="AV54:AX54"/>
    <mergeCell ref="CC113:DH113"/>
    <mergeCell ref="CC116:DH116"/>
    <mergeCell ref="DD101:DG101"/>
    <mergeCell ref="BK97:BM97"/>
    <mergeCell ref="BP97:BR97"/>
    <mergeCell ref="BJ99:BM99"/>
    <mergeCell ref="BK84:BM84"/>
    <mergeCell ref="BP84:BR84"/>
    <mergeCell ref="CQ100:DH100"/>
    <mergeCell ref="BJ87:BM87"/>
    <mergeCell ref="BO87:BR87"/>
    <mergeCell ref="CO101:CR101"/>
    <mergeCell ref="BO99:BR99"/>
    <mergeCell ref="BK100:BM100"/>
    <mergeCell ref="BP100:BR100"/>
    <mergeCell ref="BJ93:BM93"/>
    <mergeCell ref="BO93:BR93"/>
    <mergeCell ref="BK94:BM94"/>
    <mergeCell ref="BK91:BM91"/>
    <mergeCell ref="BP91:BR91"/>
    <mergeCell ref="CC154:DH154"/>
    <mergeCell ref="CC151:DH151"/>
    <mergeCell ref="CC137:DH137"/>
    <mergeCell ref="CC132:DH132"/>
    <mergeCell ref="BI127:BI128"/>
    <mergeCell ref="CC121:DH121"/>
    <mergeCell ref="BI122:BI124"/>
    <mergeCell ref="BI117:BI119"/>
    <mergeCell ref="CC117:CC119"/>
    <mergeCell ref="K78:M78"/>
    <mergeCell ref="P78:R78"/>
    <mergeCell ref="U78:X78"/>
    <mergeCell ref="BK78:BM78"/>
    <mergeCell ref="BP78:BR78"/>
    <mergeCell ref="BU78:BW78"/>
    <mergeCell ref="J77:M77"/>
    <mergeCell ref="O77:R77"/>
    <mergeCell ref="T77:X77"/>
    <mergeCell ref="BJ77:BM77"/>
    <mergeCell ref="BO77:BR77"/>
    <mergeCell ref="K75:M75"/>
    <mergeCell ref="P75:R75"/>
    <mergeCell ref="U75:X75"/>
    <mergeCell ref="BK75:BM75"/>
    <mergeCell ref="BP75:BR75"/>
    <mergeCell ref="BU75:BW75"/>
    <mergeCell ref="J74:M74"/>
    <mergeCell ref="O74:R74"/>
    <mergeCell ref="T74:X74"/>
    <mergeCell ref="BJ74:BM74"/>
    <mergeCell ref="BO74:BR74"/>
    <mergeCell ref="BT74:BW74"/>
    <mergeCell ref="K72:M72"/>
    <mergeCell ref="P72:R72"/>
    <mergeCell ref="U72:X72"/>
    <mergeCell ref="BK72:BM72"/>
    <mergeCell ref="BP72:BR72"/>
    <mergeCell ref="BU72:BW72"/>
    <mergeCell ref="AA72:AC72"/>
    <mergeCell ref="J71:M71"/>
    <mergeCell ref="O71:R71"/>
    <mergeCell ref="T71:X71"/>
    <mergeCell ref="BJ71:BM71"/>
    <mergeCell ref="BO71:BR71"/>
    <mergeCell ref="BT71:BW71"/>
    <mergeCell ref="Z71:AC71"/>
    <mergeCell ref="K69:M69"/>
    <mergeCell ref="P69:R69"/>
    <mergeCell ref="U69:X69"/>
    <mergeCell ref="AA69:AC69"/>
    <mergeCell ref="J68:M68"/>
    <mergeCell ref="O68:R68"/>
    <mergeCell ref="T68:X68"/>
    <mergeCell ref="Z68:AC68"/>
    <mergeCell ref="K66:M66"/>
    <mergeCell ref="P66:R66"/>
    <mergeCell ref="U66:X66"/>
    <mergeCell ref="J65:M65"/>
    <mergeCell ref="O65:R65"/>
    <mergeCell ref="T65:X65"/>
    <mergeCell ref="K63:M63"/>
    <mergeCell ref="P63:R63"/>
    <mergeCell ref="U63:X63"/>
    <mergeCell ref="J62:M62"/>
    <mergeCell ref="O62:R62"/>
    <mergeCell ref="T62:X62"/>
    <mergeCell ref="I1:DJ1"/>
    <mergeCell ref="I2:DJ2"/>
    <mergeCell ref="BK53:BM53"/>
    <mergeCell ref="BP53:BR53"/>
    <mergeCell ref="BU53:BW53"/>
    <mergeCell ref="J52:M52"/>
    <mergeCell ref="O52:R52"/>
    <mergeCell ref="T52:X52"/>
    <mergeCell ref="K41:M41"/>
    <mergeCell ref="P41:R41"/>
    <mergeCell ref="U41:X41"/>
    <mergeCell ref="CG30:CI33"/>
    <mergeCell ref="CF30:CF33"/>
    <mergeCell ref="AF53:AI53"/>
    <mergeCell ref="CF29:CI29"/>
    <mergeCell ref="K53:M53"/>
    <mergeCell ref="P53:R53"/>
    <mergeCell ref="U53:X53"/>
    <mergeCell ref="AU43:AX43"/>
    <mergeCell ref="AZ43:BC43"/>
    <mergeCell ref="BE43:BH43"/>
    <mergeCell ref="AP43:AS43"/>
    <mergeCell ref="AQ44:AS44"/>
    <mergeCell ref="K38:AC38"/>
    <mergeCell ref="BK38:CB38"/>
    <mergeCell ref="BT40:BW40"/>
    <mergeCell ref="BO40:BR40"/>
    <mergeCell ref="Z57:AC57"/>
    <mergeCell ref="AA58:AC58"/>
    <mergeCell ref="J40:M40"/>
    <mergeCell ref="O40:R40"/>
    <mergeCell ref="T40:X40"/>
    <mergeCell ref="K58:M58"/>
    <mergeCell ref="P58:R58"/>
    <mergeCell ref="U58:X58"/>
    <mergeCell ref="J57:M57"/>
    <mergeCell ref="O57:R57"/>
    <mergeCell ref="T57:X57"/>
    <mergeCell ref="AV44:AX44"/>
    <mergeCell ref="BF54:BH54"/>
    <mergeCell ref="BA58:BC58"/>
    <mergeCell ref="AK53:AN53"/>
    <mergeCell ref="AP53:AS53"/>
    <mergeCell ref="AU53:AX53"/>
    <mergeCell ref="AZ53:BC53"/>
    <mergeCell ref="BE53:BH53"/>
    <mergeCell ref="BA44:BC44"/>
    <mergeCell ref="BF44:BH44"/>
    <mergeCell ref="B9:F9"/>
    <mergeCell ref="B1:E1"/>
    <mergeCell ref="BV33:BV34"/>
    <mergeCell ref="AW9:AW10"/>
    <mergeCell ref="AX10:BC10"/>
    <mergeCell ref="CG38:DH38"/>
    <mergeCell ref="AX9:BC9"/>
    <mergeCell ref="Z52:AC52"/>
    <mergeCell ref="AA53:AC53"/>
    <mergeCell ref="U5:BS6"/>
    <mergeCell ref="AY16:BA16"/>
    <mergeCell ref="AZ17:BA17"/>
    <mergeCell ref="BF16:BH16"/>
    <mergeCell ref="BG17:BH17"/>
    <mergeCell ref="BL16:BN16"/>
    <mergeCell ref="BM17:BN17"/>
    <mergeCell ref="BQ16:BS16"/>
    <mergeCell ref="BR17:BS17"/>
    <mergeCell ref="AP16:AR16"/>
    <mergeCell ref="AQ17:AR17"/>
    <mergeCell ref="AH16:AJ16"/>
    <mergeCell ref="AI17:AJ17"/>
    <mergeCell ref="AA16:AC16"/>
    <mergeCell ref="AB17:AC17"/>
  </mergeCells>
  <printOptions horizontalCentered="1"/>
  <pageMargins left="0.25" right="0.25" top="1.25" bottom="0.5" header="0.3" footer="0.3"/>
  <pageSetup paperSize="8" scale="21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V166"/>
  <sheetViews>
    <sheetView showGridLines="0" zoomScale="70" zoomScaleNormal="70" zoomScaleSheetLayoutView="70" workbookViewId="0">
      <selection activeCell="V25" sqref="V25"/>
    </sheetView>
  </sheetViews>
  <sheetFormatPr defaultColWidth="9.109375" defaultRowHeight="15.6" x14ac:dyDescent="0.25"/>
  <cols>
    <col min="1" max="1" width="2.33203125" style="2" customWidth="1"/>
    <col min="2" max="6" width="5.6640625" style="2" customWidth="1"/>
    <col min="7" max="7" width="6.5546875" style="2" customWidth="1"/>
    <col min="8" max="8" width="5.77734375" style="2" customWidth="1"/>
    <col min="9" max="10" width="5.6640625" style="2" customWidth="1"/>
    <col min="11" max="11" width="9.5546875" style="2" customWidth="1"/>
    <col min="12" max="12" width="14.5546875" style="2" customWidth="1"/>
    <col min="13" max="13" width="9.5546875" style="2" customWidth="1"/>
    <col min="14" max="14" width="11.109375" style="2" customWidth="1"/>
    <col min="15" max="15" width="9.44140625" style="2" customWidth="1"/>
    <col min="16" max="16" width="16.6640625" style="2" customWidth="1"/>
    <col min="17" max="19" width="5.6640625" style="2" customWidth="1"/>
    <col min="20" max="21" width="7.6640625" style="2" customWidth="1"/>
    <col min="22" max="22" width="13.88671875" style="2" customWidth="1"/>
    <col min="23" max="23" width="5.6640625" style="2" customWidth="1"/>
    <col min="24" max="24" width="12.77734375" style="2" customWidth="1"/>
    <col min="25" max="25" width="5.6640625" style="2" customWidth="1"/>
    <col min="26" max="26" width="25" style="2" customWidth="1"/>
    <col min="27" max="27" width="8.6640625" style="2" customWidth="1"/>
    <col min="28" max="28" width="11.109375" style="2" customWidth="1"/>
    <col min="29" max="29" width="7.5546875" style="2" customWidth="1"/>
    <col min="30" max="30" width="5.6640625" style="2" customWidth="1"/>
    <col min="31" max="32" width="8.88671875" style="2" customWidth="1"/>
    <col min="33" max="33" width="11" style="2" customWidth="1"/>
    <col min="34" max="35" width="5.6640625" style="2" customWidth="1"/>
    <col min="36" max="38" width="11.6640625" style="2" customWidth="1"/>
    <col min="39" max="39" width="5.77734375" style="2" customWidth="1"/>
    <col min="40" max="40" width="6.44140625" style="2" customWidth="1"/>
    <col min="41" max="41" width="5.77734375" style="2" customWidth="1"/>
    <col min="42" max="43" width="5.6640625" style="2" customWidth="1"/>
    <col min="44" max="44" width="8.6640625" style="2" customWidth="1"/>
    <col min="45" max="45" width="13.6640625" style="2" customWidth="1"/>
    <col min="46" max="46" width="8.6640625" style="2" customWidth="1"/>
    <col min="47" max="48" width="5.6640625" style="2" customWidth="1"/>
    <col min="49" max="49" width="7.6640625" style="2" customWidth="1"/>
    <col min="50" max="50" width="19" style="2" customWidth="1"/>
    <col min="51" max="51" width="2.44140625" style="2" customWidth="1"/>
    <col min="52" max="52" width="15.88671875" style="2" customWidth="1"/>
    <col min="53" max="55" width="5.6640625" style="2" customWidth="1"/>
    <col min="56" max="56" width="18.109375" style="2" customWidth="1"/>
    <col min="57" max="61" width="5.6640625" style="2" customWidth="1"/>
    <col min="62" max="62" width="13.88671875" style="2" customWidth="1"/>
    <col min="63" max="65" width="5.6640625" style="2" customWidth="1"/>
    <col min="66" max="66" width="6.6640625" style="2" customWidth="1"/>
    <col min="67" max="67" width="22.44140625" style="2" customWidth="1"/>
    <col min="68" max="68" width="9.33203125" style="2" customWidth="1"/>
    <col min="69" max="69" width="5.6640625" style="2" customWidth="1"/>
    <col min="70" max="70" width="4" style="2" customWidth="1"/>
    <col min="71" max="71" width="5.6640625" style="2" customWidth="1"/>
    <col min="72" max="72" width="20.33203125" style="2" customWidth="1"/>
    <col min="73" max="73" width="5.77734375" style="2" customWidth="1"/>
    <col min="74" max="74" width="9.109375" style="2" customWidth="1"/>
    <col min="75" max="16384" width="9.109375" style="2"/>
  </cols>
  <sheetData>
    <row r="1" spans="1:74" s="8" customFormat="1" ht="28.5" customHeight="1" x14ac:dyDescent="0.3">
      <c r="A1" s="5"/>
      <c r="B1" s="550" t="s">
        <v>0</v>
      </c>
      <c r="C1" s="477"/>
      <c r="D1" s="477"/>
      <c r="E1" s="6"/>
      <c r="F1" s="6"/>
      <c r="G1" s="7"/>
      <c r="H1" s="468" t="s">
        <v>1</v>
      </c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69"/>
      <c r="AU1" s="469"/>
      <c r="AV1" s="469"/>
      <c r="AW1" s="469"/>
      <c r="AX1" s="469"/>
      <c r="AY1" s="469"/>
      <c r="AZ1" s="469"/>
      <c r="BA1" s="469"/>
      <c r="BB1" s="469"/>
      <c r="BC1" s="469"/>
      <c r="BD1" s="469"/>
      <c r="BE1" s="469"/>
      <c r="BF1" s="469"/>
      <c r="BG1" s="469"/>
      <c r="BH1" s="469"/>
      <c r="BI1" s="469"/>
      <c r="BJ1" s="469"/>
      <c r="BK1" s="469"/>
      <c r="BL1" s="469"/>
      <c r="BM1" s="469"/>
      <c r="BN1" s="469"/>
      <c r="BO1" s="469"/>
      <c r="BP1" s="469"/>
      <c r="BQ1" s="469"/>
      <c r="BR1" s="470"/>
      <c r="BS1" s="6"/>
      <c r="BT1" s="6"/>
      <c r="BU1" s="6"/>
      <c r="BV1" s="7"/>
    </row>
    <row r="2" spans="1:74" s="8" customFormat="1" ht="25.5" customHeight="1" x14ac:dyDescent="0.3">
      <c r="A2" s="9"/>
      <c r="H2" s="468" t="s">
        <v>2</v>
      </c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69"/>
      <c r="AR2" s="469"/>
      <c r="AS2" s="469"/>
      <c r="AT2" s="469"/>
      <c r="AU2" s="469"/>
      <c r="AV2" s="469"/>
      <c r="AW2" s="469"/>
      <c r="AX2" s="469"/>
      <c r="AY2" s="469"/>
      <c r="AZ2" s="469"/>
      <c r="BA2" s="469"/>
      <c r="BB2" s="469"/>
      <c r="BC2" s="469"/>
      <c r="BD2" s="469"/>
      <c r="BE2" s="469"/>
      <c r="BF2" s="469"/>
      <c r="BG2" s="469"/>
      <c r="BH2" s="469"/>
      <c r="BI2" s="469"/>
      <c r="BJ2" s="469"/>
      <c r="BK2" s="469"/>
      <c r="BL2" s="469"/>
      <c r="BM2" s="469"/>
      <c r="BN2" s="469"/>
      <c r="BO2" s="469"/>
      <c r="BP2" s="469"/>
      <c r="BQ2" s="469"/>
      <c r="BR2" s="470"/>
      <c r="BV2" s="10"/>
    </row>
    <row r="3" spans="1:74" s="8" customFormat="1" ht="16.5" customHeight="1" thickBot="1" x14ac:dyDescent="0.3">
      <c r="A3" s="9"/>
      <c r="BV3" s="10"/>
    </row>
    <row r="4" spans="1:74" s="8" customFormat="1" ht="16.5" customHeight="1" x14ac:dyDescent="0.3">
      <c r="A4" s="9"/>
      <c r="T4" s="579" t="s">
        <v>3</v>
      </c>
      <c r="U4" s="580"/>
      <c r="V4" s="580"/>
      <c r="W4" s="580"/>
      <c r="X4" s="580"/>
      <c r="Y4" s="580"/>
      <c r="Z4" s="580"/>
      <c r="AA4" s="581"/>
      <c r="BH4" s="11"/>
      <c r="BI4" s="12"/>
      <c r="BJ4" s="12"/>
      <c r="BK4" s="12"/>
      <c r="BL4" s="12"/>
      <c r="BM4" s="12"/>
      <c r="BN4" s="12"/>
      <c r="BO4" s="12"/>
      <c r="BP4" s="12"/>
      <c r="BQ4" s="12"/>
      <c r="BR4" s="13"/>
      <c r="BV4" s="10"/>
    </row>
    <row r="5" spans="1:74" s="8" customFormat="1" ht="16.5" customHeight="1" x14ac:dyDescent="0.3">
      <c r="A5" s="9"/>
      <c r="T5" s="539" t="s">
        <v>4</v>
      </c>
      <c r="U5" s="540"/>
      <c r="V5" s="540"/>
      <c r="W5" s="540"/>
      <c r="X5" s="540"/>
      <c r="Y5" s="540"/>
      <c r="Z5" s="540"/>
      <c r="AA5" s="541"/>
      <c r="BH5" s="14"/>
      <c r="BI5" s="517"/>
      <c r="BJ5" s="536"/>
      <c r="BK5" s="92">
        <v>10</v>
      </c>
      <c r="BL5" s="85" t="s">
        <v>5</v>
      </c>
      <c r="BM5" s="86"/>
      <c r="BN5" s="86"/>
      <c r="BO5" s="86"/>
      <c r="BP5" s="15"/>
      <c r="BQ5" s="15"/>
      <c r="BR5" s="16"/>
      <c r="BV5" s="10"/>
    </row>
    <row r="6" spans="1:74" s="8" customFormat="1" ht="16.5" customHeight="1" thickBot="1" x14ac:dyDescent="0.3">
      <c r="A6" s="9"/>
      <c r="X6" s="9"/>
      <c r="BF6" s="15"/>
      <c r="BG6" s="15"/>
      <c r="BH6" s="14"/>
      <c r="BK6" s="91"/>
      <c r="BL6" s="86"/>
      <c r="BM6" s="86"/>
      <c r="BN6" s="86"/>
      <c r="BO6" s="86"/>
      <c r="BR6" s="17"/>
      <c r="BV6" s="10"/>
    </row>
    <row r="7" spans="1:74" s="8" customFormat="1" ht="29.4" customHeight="1" x14ac:dyDescent="0.25">
      <c r="A7" s="9"/>
      <c r="B7" s="483" t="s">
        <v>6</v>
      </c>
      <c r="C7" s="481"/>
      <c r="D7" s="481"/>
      <c r="E7" s="481"/>
      <c r="L7" s="1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1"/>
      <c r="BH7" s="14"/>
      <c r="BI7" s="538"/>
      <c r="BJ7" s="538"/>
      <c r="BK7" s="92">
        <v>2</v>
      </c>
      <c r="BL7" s="85" t="s">
        <v>7</v>
      </c>
      <c r="BM7" s="86"/>
      <c r="BN7" s="86"/>
      <c r="BO7" s="86"/>
      <c r="BP7" s="15"/>
      <c r="BQ7" s="15"/>
      <c r="BR7" s="16"/>
      <c r="BV7" s="10"/>
    </row>
    <row r="8" spans="1:74" s="8" customFormat="1" ht="18" customHeight="1" x14ac:dyDescent="0.25">
      <c r="A8" s="9"/>
      <c r="L8" s="22"/>
      <c r="U8" s="493" t="s">
        <v>220</v>
      </c>
      <c r="V8" s="477"/>
      <c r="W8" s="477"/>
      <c r="X8" s="477"/>
      <c r="Y8" s="477"/>
      <c r="Z8" s="478"/>
      <c r="AI8" s="23"/>
      <c r="BF8" s="15"/>
      <c r="BG8" s="15"/>
      <c r="BH8" s="14"/>
      <c r="BK8" s="91"/>
      <c r="BL8" s="86"/>
      <c r="BM8" s="86"/>
      <c r="BN8" s="86"/>
      <c r="BO8" s="86"/>
      <c r="BR8" s="17"/>
      <c r="BV8" s="10"/>
    </row>
    <row r="9" spans="1:74" s="8" customFormat="1" ht="31.5" customHeight="1" x14ac:dyDescent="0.25">
      <c r="A9" s="9"/>
      <c r="L9" s="22"/>
      <c r="U9" s="558"/>
      <c r="V9" s="487"/>
      <c r="W9" s="487"/>
      <c r="X9" s="487"/>
      <c r="Y9" s="487"/>
      <c r="Z9" s="488"/>
      <c r="AA9" s="6"/>
      <c r="AB9" s="6"/>
      <c r="AC9" s="6"/>
      <c r="AD9" s="6"/>
      <c r="AE9" s="6"/>
      <c r="AF9" s="6"/>
      <c r="AG9" s="6"/>
      <c r="AH9" s="6"/>
      <c r="AI9" s="24"/>
      <c r="AJ9" s="6"/>
      <c r="AK9" s="6"/>
      <c r="AL9" s="7"/>
      <c r="BH9" s="14"/>
      <c r="BI9" s="530"/>
      <c r="BJ9" s="532"/>
      <c r="BK9" s="92">
        <f>M19+R19+R22+M23+M26+Z22+J35+J38+Q35+AE35+I70+N70+S70+S73+N73+I73+I79+N79+S79+S82+N82+I82+I76+N76+S76+I85+N85+S85+S88+N88+I88+I91+N91+S91+Y57+AD57+AI57+AI62+AD62+Y62+Y67+AD67+AI67+AI70+AD70+Y70+Y73+AD73+AI73+AI76+AD76+Y76+Y79+AD79+AI79+AI82+AD82+Y82+AD85+Y88+AD88+AI88+AI91+AD91+Y91+Y94+AD94+AI94+AN125+AN128+AI128+AI133+AN133+AN144+AN149+AI139+AI147+AN163+AN166+AI150+AI153+AI156+BK84+BK87+AP45+AU45+BA45+BG45+BL45+BQ45+AU39+BA33+BL39+AU65+BL65+AP70+AU70+BA70+BG70+BL70+BQ70+BK89+AP84+AU98+AU101+BB103+BB106+BJ103+U100+V104+S108+Y108</f>
        <v>201</v>
      </c>
      <c r="BL9" s="85" t="s">
        <v>8</v>
      </c>
      <c r="BM9" s="85"/>
      <c r="BN9" s="86"/>
      <c r="BO9" s="86"/>
      <c r="BP9" s="15"/>
      <c r="BQ9" s="15"/>
      <c r="BR9" s="16"/>
      <c r="BV9" s="10"/>
    </row>
    <row r="10" spans="1:74" s="8" customFormat="1" ht="16.5" customHeight="1" x14ac:dyDescent="0.3">
      <c r="A10" s="9"/>
      <c r="L10" s="22"/>
      <c r="U10" s="73">
        <v>1</v>
      </c>
      <c r="V10" s="489"/>
      <c r="W10" s="469"/>
      <c r="X10" s="469"/>
      <c r="Y10" s="469"/>
      <c r="Z10" s="470"/>
      <c r="AI10" s="23"/>
      <c r="AL10" s="10"/>
      <c r="BF10" s="15"/>
      <c r="BG10" s="15"/>
      <c r="BH10" s="14"/>
      <c r="BK10" s="91"/>
      <c r="BL10" s="86"/>
      <c r="BM10" s="85"/>
      <c r="BN10" s="86"/>
      <c r="BO10" s="86"/>
      <c r="BR10" s="17"/>
      <c r="BV10" s="10"/>
    </row>
    <row r="11" spans="1:74" s="8" customFormat="1" ht="16.5" customHeight="1" x14ac:dyDescent="0.3">
      <c r="A11" s="9"/>
      <c r="L11" s="22"/>
      <c r="X11" s="9"/>
      <c r="AI11" s="23"/>
      <c r="AL11" s="10"/>
      <c r="BH11" s="14"/>
      <c r="BI11" s="543"/>
      <c r="BJ11" s="492"/>
      <c r="BK11" s="92">
        <v>8</v>
      </c>
      <c r="BL11" s="85" t="s">
        <v>9</v>
      </c>
      <c r="BM11" s="85"/>
      <c r="BN11" s="86"/>
      <c r="BO11" s="86"/>
      <c r="BP11" s="15"/>
      <c r="BQ11" s="15"/>
      <c r="BR11" s="16"/>
      <c r="BV11" s="10"/>
    </row>
    <row r="12" spans="1:74" s="8" customFormat="1" ht="16.5" customHeight="1" x14ac:dyDescent="0.3">
      <c r="A12" s="25"/>
      <c r="B12" s="468" t="s">
        <v>10</v>
      </c>
      <c r="C12" s="469"/>
      <c r="D12" s="469"/>
      <c r="E12" s="469"/>
      <c r="F12" s="469"/>
      <c r="G12" s="470"/>
      <c r="H12" s="26"/>
      <c r="I12" s="26"/>
      <c r="J12" s="26"/>
      <c r="K12" s="26"/>
      <c r="L12" s="22"/>
      <c r="O12" s="27"/>
      <c r="P12" s="27"/>
      <c r="Q12" s="27"/>
      <c r="R12" s="27"/>
      <c r="S12" s="27"/>
      <c r="T12" s="27"/>
      <c r="U12" s="27"/>
      <c r="V12" s="27"/>
      <c r="W12" s="28"/>
      <c r="X12" s="9"/>
      <c r="AI12" s="23"/>
      <c r="AL12" s="10"/>
      <c r="BF12" s="15"/>
      <c r="BG12" s="15"/>
      <c r="BH12" s="14"/>
      <c r="BI12" s="29"/>
      <c r="BJ12" s="29"/>
      <c r="BK12" s="91"/>
      <c r="BL12" s="86"/>
      <c r="BM12" s="85"/>
      <c r="BN12" s="86"/>
      <c r="BO12" s="86"/>
      <c r="BP12" s="15"/>
      <c r="BQ12" s="15"/>
      <c r="BR12" s="16"/>
      <c r="BV12" s="10"/>
    </row>
    <row r="13" spans="1:74" s="8" customFormat="1" ht="16.5" customHeight="1" x14ac:dyDescent="0.25">
      <c r="A13" s="25"/>
      <c r="B13" s="30"/>
      <c r="C13" s="30"/>
      <c r="D13" s="30"/>
      <c r="E13" s="30"/>
      <c r="F13" s="30"/>
      <c r="G13" s="30"/>
      <c r="H13" s="26"/>
      <c r="I13" s="26"/>
      <c r="J13" s="26"/>
      <c r="K13" s="26"/>
      <c r="L13" s="22"/>
      <c r="O13" s="5"/>
      <c r="T13" s="5"/>
      <c r="X13" s="9"/>
      <c r="AI13" s="23"/>
      <c r="AL13" s="10"/>
      <c r="BF13" s="15"/>
      <c r="BG13" s="15"/>
      <c r="BH13" s="14"/>
      <c r="BI13" s="31"/>
      <c r="BJ13" s="32"/>
      <c r="BK13" s="92">
        <f>AU51+BA51+AU54+BA54+AU86+AU90+BA90+AU93+N73+S73</f>
        <v>10</v>
      </c>
      <c r="BL13" s="85" t="s">
        <v>11</v>
      </c>
      <c r="BM13" s="85"/>
      <c r="BN13" s="86"/>
      <c r="BO13" s="86"/>
      <c r="BP13" s="15"/>
      <c r="BQ13" s="15"/>
      <c r="BR13" s="16"/>
      <c r="BV13" s="10"/>
    </row>
    <row r="14" spans="1:74" s="8" customFormat="1" ht="16.5" customHeight="1" x14ac:dyDescent="0.25">
      <c r="A14" s="25"/>
      <c r="B14" s="30"/>
      <c r="C14" s="30"/>
      <c r="D14" s="30"/>
      <c r="E14" s="30"/>
      <c r="F14" s="30"/>
      <c r="G14" s="30"/>
      <c r="H14" s="26"/>
      <c r="I14" s="26"/>
      <c r="J14" s="26"/>
      <c r="K14" s="26"/>
      <c r="L14" s="22"/>
      <c r="O14" s="9"/>
      <c r="T14" s="95"/>
      <c r="X14" s="9"/>
      <c r="AI14" s="23"/>
      <c r="AL14" s="10"/>
      <c r="BF14" s="15"/>
      <c r="BG14" s="15"/>
      <c r="BH14" s="14"/>
      <c r="BI14" s="29"/>
      <c r="BJ14" s="29"/>
      <c r="BK14" s="91"/>
      <c r="BL14" s="86"/>
      <c r="BM14" s="85"/>
      <c r="BN14" s="86"/>
      <c r="BO14" s="86"/>
      <c r="BP14" s="15"/>
      <c r="BQ14" s="15"/>
      <c r="BR14" s="16"/>
      <c r="BV14" s="10"/>
    </row>
    <row r="15" spans="1:74" s="8" customFormat="1" ht="16.5" customHeight="1" x14ac:dyDescent="0.25">
      <c r="A15" s="25"/>
      <c r="B15" s="30"/>
      <c r="C15" s="30"/>
      <c r="D15" s="30"/>
      <c r="E15" s="30"/>
      <c r="F15" s="30"/>
      <c r="G15" s="30"/>
      <c r="H15" s="26"/>
      <c r="I15" s="26"/>
      <c r="J15" s="26"/>
      <c r="K15" s="26"/>
      <c r="L15" s="22"/>
      <c r="O15" s="9"/>
      <c r="T15" s="95"/>
      <c r="X15" s="9"/>
      <c r="AI15" s="23"/>
      <c r="AL15" s="10"/>
      <c r="BF15" s="15"/>
      <c r="BG15" s="15"/>
      <c r="BH15" s="14"/>
      <c r="BI15" s="542"/>
      <c r="BJ15" s="542"/>
      <c r="BK15" s="92">
        <f>BG51+BA76+AU76+AU73+AP73+AP76+AP90+AI70+2+N70+I70+S70</f>
        <v>15</v>
      </c>
      <c r="BL15" s="85" t="s">
        <v>12</v>
      </c>
      <c r="BM15" s="85"/>
      <c r="BN15" s="86"/>
      <c r="BO15" s="86"/>
      <c r="BR15" s="17"/>
      <c r="BV15" s="10"/>
    </row>
    <row r="16" spans="1:74" s="8" customFormat="1" ht="16.5" customHeight="1" x14ac:dyDescent="0.25">
      <c r="A16" s="25"/>
      <c r="B16" s="483" t="s">
        <v>13</v>
      </c>
      <c r="C16" s="481"/>
      <c r="D16" s="481"/>
      <c r="E16" s="481"/>
      <c r="F16" s="481"/>
      <c r="G16" s="481"/>
      <c r="H16" s="481"/>
      <c r="I16" s="481"/>
      <c r="J16" s="26"/>
      <c r="K16" s="26"/>
      <c r="L16" s="22"/>
      <c r="O16" s="9"/>
      <c r="T16" s="95"/>
      <c r="X16" s="5"/>
      <c r="Y16" s="6"/>
      <c r="Z16" s="6"/>
      <c r="AA16" s="7"/>
      <c r="AB16" s="6"/>
      <c r="AC16" s="6"/>
      <c r="AD16" s="6"/>
      <c r="AE16" s="6"/>
      <c r="AF16" s="7"/>
      <c r="AI16" s="23"/>
      <c r="AL16" s="10"/>
      <c r="BH16" s="14"/>
      <c r="BI16" s="29"/>
      <c r="BJ16" s="29"/>
      <c r="BK16" s="116"/>
      <c r="BL16" s="117"/>
      <c r="BM16" s="118"/>
      <c r="BN16" s="117"/>
      <c r="BO16" s="117"/>
      <c r="BR16" s="17"/>
      <c r="BV16" s="10"/>
    </row>
    <row r="17" spans="1:74" s="8" customFormat="1" ht="16.5" customHeight="1" thickBot="1" x14ac:dyDescent="0.3">
      <c r="A17" s="25"/>
      <c r="B17" s="30"/>
      <c r="C17" s="30"/>
      <c r="D17" s="30"/>
      <c r="E17" s="30"/>
      <c r="F17" s="30"/>
      <c r="G17" s="30"/>
      <c r="H17" s="30"/>
      <c r="I17" s="30"/>
      <c r="J17" s="26"/>
      <c r="K17" s="26"/>
      <c r="L17" s="22"/>
      <c r="O17" s="33"/>
      <c r="T17" s="77"/>
      <c r="X17" s="9"/>
      <c r="AA17" s="28"/>
      <c r="AF17" s="28"/>
      <c r="AI17" s="23"/>
      <c r="AL17" s="28"/>
      <c r="BH17" s="14"/>
      <c r="BK17" s="113">
        <f>BK5+BK7+BK9+BK11+BK13+BK15</f>
        <v>246</v>
      </c>
      <c r="BL17" s="114" t="s">
        <v>14</v>
      </c>
      <c r="BM17" s="114"/>
      <c r="BN17" s="115"/>
      <c r="BO17" s="115"/>
      <c r="BP17" s="15"/>
      <c r="BQ17" s="15"/>
      <c r="BR17" s="16"/>
      <c r="BV17" s="10"/>
    </row>
    <row r="18" spans="1:74" s="8" customFormat="1" ht="16.5" customHeight="1" thickTop="1" thickBot="1" x14ac:dyDescent="0.35">
      <c r="A18" s="9"/>
      <c r="B18" s="34"/>
      <c r="C18" s="35"/>
      <c r="D18" s="35"/>
      <c r="E18" s="35"/>
      <c r="F18" s="35"/>
      <c r="G18" s="36"/>
      <c r="L18" s="22"/>
      <c r="M18" s="468" t="s">
        <v>15</v>
      </c>
      <c r="N18" s="469"/>
      <c r="O18" s="469"/>
      <c r="P18" s="470"/>
      <c r="R18" s="468" t="s">
        <v>16</v>
      </c>
      <c r="S18" s="469"/>
      <c r="T18" s="469"/>
      <c r="U18" s="470"/>
      <c r="X18" s="9"/>
      <c r="Z18" s="493" t="s">
        <v>17</v>
      </c>
      <c r="AA18" s="469"/>
      <c r="AB18" s="469"/>
      <c r="AC18" s="470"/>
      <c r="AE18" s="517" t="s">
        <v>18</v>
      </c>
      <c r="AF18" s="477"/>
      <c r="AG18" s="477"/>
      <c r="AH18" s="478"/>
      <c r="AI18" s="23"/>
      <c r="AK18" s="561" t="s">
        <v>19</v>
      </c>
      <c r="AL18" s="562"/>
      <c r="AM18" s="562"/>
      <c r="AN18" s="563"/>
      <c r="BF18" s="15"/>
      <c r="BG18" s="15"/>
      <c r="BH18" s="37"/>
      <c r="BI18" s="38"/>
      <c r="BJ18" s="38"/>
      <c r="BK18" s="38"/>
      <c r="BL18" s="38"/>
      <c r="BM18" s="38"/>
      <c r="BN18" s="38"/>
      <c r="BO18" s="38"/>
      <c r="BP18" s="38"/>
      <c r="BQ18" s="38"/>
      <c r="BR18" s="39"/>
      <c r="BV18" s="10"/>
    </row>
    <row r="19" spans="1:74" s="8" customFormat="1" ht="16.5" customHeight="1" x14ac:dyDescent="0.3">
      <c r="A19" s="40"/>
      <c r="B19" s="41"/>
      <c r="C19" s="493" t="s">
        <v>20</v>
      </c>
      <c r="D19" s="469"/>
      <c r="E19" s="469"/>
      <c r="F19" s="470"/>
      <c r="G19" s="42"/>
      <c r="H19" s="43"/>
      <c r="I19" s="43"/>
      <c r="J19" s="43"/>
      <c r="K19" s="43"/>
      <c r="L19" s="22"/>
      <c r="M19" s="73">
        <v>1</v>
      </c>
      <c r="N19" s="507" t="s">
        <v>266</v>
      </c>
      <c r="O19" s="504"/>
      <c r="P19" s="505"/>
      <c r="R19" s="73">
        <v>3</v>
      </c>
      <c r="S19" s="507"/>
      <c r="T19" s="504"/>
      <c r="U19" s="505"/>
      <c r="X19" s="9"/>
      <c r="Z19" s="73">
        <v>1</v>
      </c>
      <c r="AA19" s="489"/>
      <c r="AB19" s="469"/>
      <c r="AC19" s="470"/>
      <c r="AE19" s="554"/>
      <c r="AF19" s="487"/>
      <c r="AG19" s="487"/>
      <c r="AH19" s="488"/>
      <c r="AI19" s="23"/>
      <c r="AK19" s="564"/>
      <c r="AL19" s="565"/>
      <c r="AM19" s="565"/>
      <c r="AN19" s="566"/>
      <c r="BV19" s="10"/>
    </row>
    <row r="20" spans="1:74" s="8" customFormat="1" ht="16.5" customHeight="1" x14ac:dyDescent="0.3">
      <c r="A20" s="44"/>
      <c r="B20" s="41"/>
      <c r="C20" s="73">
        <v>1</v>
      </c>
      <c r="D20" s="489"/>
      <c r="E20" s="469"/>
      <c r="F20" s="470"/>
      <c r="G20" s="42"/>
      <c r="H20" s="29"/>
      <c r="I20" s="29"/>
      <c r="J20" s="29"/>
      <c r="K20" s="29"/>
      <c r="L20" s="22"/>
      <c r="X20" s="9"/>
      <c r="AA20" s="45"/>
      <c r="AE20" s="73">
        <v>1</v>
      </c>
      <c r="AF20" s="489"/>
      <c r="AG20" s="469"/>
      <c r="AH20" s="470"/>
      <c r="AI20" s="23"/>
      <c r="AK20" s="79">
        <v>2</v>
      </c>
      <c r="AL20" s="489"/>
      <c r="AM20" s="469"/>
      <c r="AN20" s="470"/>
      <c r="BV20" s="10"/>
    </row>
    <row r="21" spans="1:74" s="8" customFormat="1" ht="16.5" customHeight="1" x14ac:dyDescent="0.3">
      <c r="A21" s="44"/>
      <c r="B21" s="41"/>
      <c r="D21" s="46"/>
      <c r="E21" s="46"/>
      <c r="F21" s="46"/>
      <c r="G21" s="47"/>
      <c r="H21" s="29"/>
      <c r="I21" s="29"/>
      <c r="J21" s="29"/>
      <c r="K21" s="29"/>
      <c r="L21" s="22"/>
      <c r="M21" s="476" t="s">
        <v>21</v>
      </c>
      <c r="N21" s="477"/>
      <c r="O21" s="477"/>
      <c r="P21" s="497"/>
      <c r="R21" s="468" t="s">
        <v>22</v>
      </c>
      <c r="S21" s="469"/>
      <c r="T21" s="469"/>
      <c r="U21" s="470"/>
      <c r="X21" s="9"/>
      <c r="Z21" s="468" t="s">
        <v>23</v>
      </c>
      <c r="AA21" s="469"/>
      <c r="AB21" s="469"/>
      <c r="AC21" s="470"/>
      <c r="AI21" s="23"/>
      <c r="BV21" s="10"/>
    </row>
    <row r="22" spans="1:74" s="8" customFormat="1" ht="16.5" customHeight="1" x14ac:dyDescent="0.3">
      <c r="A22" s="40"/>
      <c r="B22" s="41"/>
      <c r="C22" s="493" t="s">
        <v>24</v>
      </c>
      <c r="D22" s="469"/>
      <c r="E22" s="469"/>
      <c r="F22" s="470"/>
      <c r="G22" s="42"/>
      <c r="H22" s="43"/>
      <c r="I22" s="43"/>
      <c r="J22" s="43"/>
      <c r="K22" s="43"/>
      <c r="L22" s="22"/>
      <c r="M22" s="486" t="s">
        <v>25</v>
      </c>
      <c r="N22" s="487"/>
      <c r="O22" s="487"/>
      <c r="P22" s="488"/>
      <c r="R22" s="73">
        <v>3</v>
      </c>
      <c r="S22" s="507"/>
      <c r="T22" s="504"/>
      <c r="U22" s="505"/>
      <c r="X22" s="9"/>
      <c r="Z22" s="468">
        <v>2</v>
      </c>
      <c r="AC22" s="10"/>
      <c r="AI22" s="23"/>
      <c r="BV22" s="10"/>
    </row>
    <row r="23" spans="1:74" s="8" customFormat="1" ht="31.5" customHeight="1" x14ac:dyDescent="0.3">
      <c r="A23" s="44"/>
      <c r="B23" s="41"/>
      <c r="C23" s="73">
        <v>1</v>
      </c>
      <c r="D23" s="502"/>
      <c r="E23" s="469"/>
      <c r="F23" s="470"/>
      <c r="G23" s="42"/>
      <c r="H23" s="29"/>
      <c r="I23" s="29"/>
      <c r="J23" s="29"/>
      <c r="K23" s="29"/>
      <c r="L23" s="22"/>
      <c r="M23" s="73">
        <v>2</v>
      </c>
      <c r="N23" s="503"/>
      <c r="O23" s="504"/>
      <c r="P23" s="505"/>
      <c r="X23" s="9"/>
      <c r="Z23" s="534"/>
      <c r="AA23" s="529"/>
      <c r="AB23" s="487"/>
      <c r="AC23" s="488"/>
      <c r="AI23" s="23"/>
      <c r="BV23" s="10"/>
    </row>
    <row r="24" spans="1:74" s="8" customFormat="1" ht="16.5" customHeight="1" x14ac:dyDescent="0.25">
      <c r="A24" s="9"/>
      <c r="B24" s="41"/>
      <c r="D24" s="29"/>
      <c r="G24" s="42"/>
      <c r="L24" s="22"/>
      <c r="M24" s="29"/>
      <c r="N24" s="29"/>
      <c r="O24" s="29"/>
      <c r="P24" s="29"/>
      <c r="X24" s="9"/>
      <c r="AI24" s="23"/>
      <c r="BV24" s="10"/>
    </row>
    <row r="25" spans="1:74" s="8" customFormat="1" ht="16.5" customHeight="1" x14ac:dyDescent="0.3">
      <c r="A25" s="40"/>
      <c r="B25" s="41"/>
      <c r="C25" s="517" t="s">
        <v>18</v>
      </c>
      <c r="D25" s="477"/>
      <c r="E25" s="477"/>
      <c r="F25" s="478"/>
      <c r="G25" s="42"/>
      <c r="H25" s="43"/>
      <c r="I25" s="43"/>
      <c r="J25" s="43"/>
      <c r="K25" s="43"/>
      <c r="L25" s="22"/>
      <c r="M25" s="468" t="s">
        <v>26</v>
      </c>
      <c r="N25" s="469"/>
      <c r="O25" s="469"/>
      <c r="P25" s="470"/>
      <c r="X25" s="9"/>
      <c r="AI25" s="23"/>
      <c r="BV25" s="10"/>
    </row>
    <row r="26" spans="1:74" s="8" customFormat="1" ht="16.5" customHeight="1" x14ac:dyDescent="0.3">
      <c r="A26" s="40"/>
      <c r="B26" s="41"/>
      <c r="C26" s="554"/>
      <c r="D26" s="487"/>
      <c r="E26" s="487"/>
      <c r="F26" s="488"/>
      <c r="G26" s="42"/>
      <c r="H26" s="43"/>
      <c r="I26" s="43"/>
      <c r="J26" s="43"/>
      <c r="K26" s="43"/>
      <c r="L26" s="22"/>
      <c r="M26" s="73">
        <v>1</v>
      </c>
      <c r="N26" s="507"/>
      <c r="O26" s="504"/>
      <c r="P26" s="505"/>
      <c r="X26" s="9"/>
      <c r="AI26" s="23"/>
      <c r="BV26" s="10"/>
    </row>
    <row r="27" spans="1:74" s="8" customFormat="1" ht="16.5" customHeight="1" thickBot="1" x14ac:dyDescent="0.35">
      <c r="A27" s="44"/>
      <c r="B27" s="41"/>
      <c r="C27" s="73">
        <v>1</v>
      </c>
      <c r="D27" s="489"/>
      <c r="E27" s="469"/>
      <c r="F27" s="470"/>
      <c r="G27" s="42"/>
      <c r="H27" s="29"/>
      <c r="I27" s="29"/>
      <c r="J27" s="29"/>
      <c r="K27" s="29"/>
      <c r="L27" s="48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50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51"/>
      <c r="BV27" s="10"/>
    </row>
    <row r="28" spans="1:74" s="8" customFormat="1" ht="16.5" customHeight="1" thickBot="1" x14ac:dyDescent="0.3">
      <c r="A28" s="9"/>
      <c r="B28" s="52"/>
      <c r="C28" s="53"/>
      <c r="D28" s="53"/>
      <c r="E28" s="53"/>
      <c r="F28" s="53"/>
      <c r="G28" s="54"/>
      <c r="X28" s="55"/>
      <c r="AO28" s="94"/>
      <c r="BV28" s="10"/>
    </row>
    <row r="29" spans="1:74" s="8" customFormat="1" ht="19.2" customHeight="1" thickTop="1" thickBot="1" x14ac:dyDescent="0.35">
      <c r="A29" s="9"/>
      <c r="T29" s="89">
        <f>I45+N45+S45+J38+J35+Q35+V32+AE35+Y45+AD45+AI45+AD85+Y88+AD88+AI88+AI91+AI94+AD94+AD91+Y91+Y94+U100+V104+S108+Y108</f>
        <v>132</v>
      </c>
      <c r="U29" s="522" t="s">
        <v>27</v>
      </c>
      <c r="V29" s="523"/>
      <c r="W29" s="523"/>
      <c r="X29" s="523"/>
      <c r="Y29" s="523"/>
      <c r="Z29" s="524"/>
      <c r="AO29" s="94"/>
      <c r="AP29" s="571" t="s">
        <v>28</v>
      </c>
      <c r="AQ29" s="572"/>
      <c r="AR29" s="572"/>
      <c r="AS29" s="572"/>
      <c r="AT29" s="572"/>
      <c r="AU29" s="572"/>
      <c r="AV29" s="572"/>
      <c r="AW29" s="572"/>
      <c r="AX29" s="572"/>
      <c r="AY29" s="572"/>
      <c r="AZ29" s="572"/>
      <c r="BA29" s="572"/>
      <c r="BB29" s="572"/>
      <c r="BC29" s="572"/>
      <c r="BD29" s="572"/>
      <c r="BE29" s="572"/>
      <c r="BF29" s="572"/>
      <c r="BG29" s="572"/>
      <c r="BH29" s="572"/>
      <c r="BI29" s="572"/>
      <c r="BJ29" s="572"/>
      <c r="BK29" s="572"/>
      <c r="BL29" s="572"/>
      <c r="BM29" s="572"/>
      <c r="BN29" s="572"/>
      <c r="BO29" s="572"/>
      <c r="BP29" s="572"/>
      <c r="BQ29" s="572"/>
      <c r="BR29" s="572"/>
      <c r="BS29" s="572"/>
      <c r="BT29" s="573"/>
      <c r="BU29" s="94"/>
      <c r="BV29" s="10"/>
    </row>
    <row r="30" spans="1:74" s="8" customFormat="1" ht="16.5" customHeight="1" thickTop="1" thickBot="1" x14ac:dyDescent="0.3">
      <c r="A30" s="9"/>
      <c r="H30" s="57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9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60"/>
      <c r="AO30" s="94"/>
      <c r="AP30" s="556">
        <f>AP45+AU45+BA45+AU39+BG45+BL45+BQ45+BL39+BQ70+BL70+BG70+BA70+AU70+AP70+AU65+BL65+BK84+BK87+AP84+AU98+AU101+BB103+BB106+BK89+BJ103</f>
        <v>67</v>
      </c>
      <c r="AQ30" s="557"/>
      <c r="BB30" s="27"/>
      <c r="BU30" s="94"/>
      <c r="BV30" s="10"/>
    </row>
    <row r="31" spans="1:74" s="8" customFormat="1" ht="16.5" customHeight="1" thickBot="1" x14ac:dyDescent="0.35">
      <c r="A31" s="9"/>
      <c r="H31" s="61"/>
      <c r="V31" s="537" t="s">
        <v>29</v>
      </c>
      <c r="W31" s="469"/>
      <c r="X31" s="469"/>
      <c r="Y31" s="470"/>
      <c r="AM31" s="62"/>
      <c r="BA31" s="537" t="s">
        <v>30</v>
      </c>
      <c r="BB31" s="477"/>
      <c r="BC31" s="477"/>
      <c r="BD31" s="477"/>
      <c r="BE31" s="477"/>
      <c r="BF31" s="477"/>
      <c r="BG31" s="477"/>
      <c r="BH31" s="477"/>
      <c r="BI31" s="478"/>
      <c r="BV31" s="10"/>
    </row>
    <row r="32" spans="1:74" s="8" customFormat="1" ht="16.5" customHeight="1" thickBot="1" x14ac:dyDescent="0.3">
      <c r="A32" s="9"/>
      <c r="H32" s="61"/>
      <c r="V32" s="574">
        <v>2</v>
      </c>
      <c r="W32" s="545" t="s">
        <v>222</v>
      </c>
      <c r="X32" s="546"/>
      <c r="Y32" s="547"/>
      <c r="AM32" s="62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112"/>
      <c r="AZ32" s="97"/>
      <c r="BA32" s="576"/>
      <c r="BB32" s="577"/>
      <c r="BC32" s="577"/>
      <c r="BD32" s="577"/>
      <c r="BE32" s="577"/>
      <c r="BF32" s="577"/>
      <c r="BG32" s="577"/>
      <c r="BH32" s="577"/>
      <c r="BI32" s="578"/>
      <c r="BJ32" s="98"/>
      <c r="BK32" s="111"/>
      <c r="BL32" s="65"/>
      <c r="BM32" s="65"/>
      <c r="BN32" s="65"/>
      <c r="BO32" s="65"/>
      <c r="BP32" s="65"/>
      <c r="BQ32" s="65"/>
      <c r="BR32" s="65"/>
      <c r="BS32" s="65"/>
      <c r="BT32" s="65"/>
      <c r="BV32" s="10"/>
    </row>
    <row r="33" spans="1:74" s="8" customFormat="1" ht="16.5" customHeight="1" x14ac:dyDescent="0.3">
      <c r="A33" s="9"/>
      <c r="H33" s="61"/>
      <c r="P33" s="29"/>
      <c r="Q33" s="29"/>
      <c r="R33" s="29"/>
      <c r="S33" s="29"/>
      <c r="T33" s="29"/>
      <c r="V33" s="575"/>
      <c r="W33" s="528" t="s">
        <v>223</v>
      </c>
      <c r="X33" s="469"/>
      <c r="Y33" s="470"/>
      <c r="AM33" s="62"/>
      <c r="AO33" s="99"/>
      <c r="BA33" s="74">
        <v>1</v>
      </c>
      <c r="BB33" s="471" t="s">
        <v>31</v>
      </c>
      <c r="BC33" s="469"/>
      <c r="BD33" s="469"/>
      <c r="BE33" s="469"/>
      <c r="BF33" s="469"/>
      <c r="BG33" s="469"/>
      <c r="BH33" s="469"/>
      <c r="BI33" s="470"/>
      <c r="BU33" s="98"/>
      <c r="BV33" s="10"/>
    </row>
    <row r="34" spans="1:74" s="8" customFormat="1" ht="16.5" customHeight="1" x14ac:dyDescent="0.3">
      <c r="A34" s="9"/>
      <c r="H34" s="61"/>
      <c r="J34" s="468" t="s">
        <v>32</v>
      </c>
      <c r="K34" s="469"/>
      <c r="L34" s="469"/>
      <c r="M34" s="470"/>
      <c r="P34" s="29"/>
      <c r="Q34" s="29"/>
      <c r="R34" s="29"/>
      <c r="S34" s="29"/>
      <c r="T34" s="29"/>
      <c r="U34" s="148"/>
      <c r="AA34" s="27"/>
      <c r="AB34" s="27"/>
      <c r="AC34" s="27"/>
      <c r="AD34" s="28"/>
      <c r="AE34" s="468" t="s">
        <v>33</v>
      </c>
      <c r="AF34" s="469"/>
      <c r="AG34" s="469"/>
      <c r="AH34" s="470"/>
      <c r="AM34" s="62"/>
      <c r="AO34" s="99"/>
      <c r="BD34" s="10"/>
      <c r="BU34" s="100"/>
      <c r="BV34" s="10"/>
    </row>
    <row r="35" spans="1:74" s="8" customFormat="1" ht="16.5" customHeight="1" x14ac:dyDescent="0.3">
      <c r="A35" s="9"/>
      <c r="H35" s="61"/>
      <c r="J35" s="471">
        <v>1</v>
      </c>
      <c r="K35" s="508"/>
      <c r="L35" s="509"/>
      <c r="M35" s="510"/>
      <c r="N35" s="5"/>
      <c r="O35" s="6"/>
      <c r="P35" s="64"/>
      <c r="Q35" s="64"/>
      <c r="R35" s="64"/>
      <c r="S35" s="64"/>
      <c r="T35" s="64"/>
      <c r="U35" s="29"/>
      <c r="V35" s="6"/>
      <c r="W35" s="6"/>
      <c r="X35" s="6"/>
      <c r="Y35" s="6"/>
      <c r="Z35" s="6"/>
      <c r="AE35" s="468">
        <v>3</v>
      </c>
      <c r="AF35" s="551"/>
      <c r="AG35" s="477"/>
      <c r="AH35" s="478"/>
      <c r="AM35" s="62"/>
      <c r="AO35" s="99"/>
      <c r="BD35" s="10"/>
      <c r="BU35" s="100"/>
      <c r="BV35" s="10"/>
    </row>
    <row r="36" spans="1:74" s="8" customFormat="1" ht="16.5" customHeight="1" x14ac:dyDescent="0.3">
      <c r="A36" s="9"/>
      <c r="H36" s="61"/>
      <c r="J36" s="471"/>
      <c r="K36" s="511"/>
      <c r="L36" s="482"/>
      <c r="M36" s="512"/>
      <c r="Q36" s="29"/>
      <c r="R36" s="29"/>
      <c r="S36" s="29"/>
      <c r="T36" s="29"/>
      <c r="AE36" s="567"/>
      <c r="AF36" s="552"/>
      <c r="AG36" s="481"/>
      <c r="AH36" s="553"/>
      <c r="AM36" s="62"/>
      <c r="AO36" s="99"/>
      <c r="AW36" s="27"/>
      <c r="AX36" s="27"/>
      <c r="AY36" s="27"/>
      <c r="AZ36" s="27"/>
      <c r="BA36" s="27"/>
      <c r="BC36" s="27"/>
      <c r="BD36" s="28"/>
      <c r="BE36" s="77"/>
      <c r="BF36" s="27"/>
      <c r="BG36" s="27"/>
      <c r="BH36" s="27"/>
      <c r="BI36" s="27"/>
      <c r="BJ36" s="27"/>
      <c r="BK36" s="27"/>
      <c r="BL36" s="27"/>
      <c r="BM36" s="27"/>
      <c r="BN36" s="27"/>
      <c r="BU36" s="100"/>
      <c r="BV36" s="10"/>
    </row>
    <row r="37" spans="1:74" s="8" customFormat="1" ht="16.5" customHeight="1" x14ac:dyDescent="0.3">
      <c r="A37" s="9"/>
      <c r="H37" s="61"/>
      <c r="J37" s="471"/>
      <c r="K37" s="513"/>
      <c r="L37" s="514"/>
      <c r="M37" s="515"/>
      <c r="Q37" s="29"/>
      <c r="R37" s="29"/>
      <c r="S37" s="29"/>
      <c r="T37" s="29"/>
      <c r="AE37" s="534"/>
      <c r="AF37" s="529"/>
      <c r="AG37" s="487"/>
      <c r="AH37" s="488"/>
      <c r="AM37" s="62"/>
      <c r="AO37" s="99"/>
      <c r="AW37" s="90"/>
      <c r="BB37" s="6"/>
      <c r="BE37" s="101"/>
      <c r="BN37" s="45"/>
      <c r="BU37" s="100"/>
      <c r="BV37" s="10"/>
    </row>
    <row r="38" spans="1:74" s="8" customFormat="1" ht="16.5" customHeight="1" x14ac:dyDescent="0.3">
      <c r="A38" s="9"/>
      <c r="H38" s="61"/>
      <c r="N38" s="29"/>
      <c r="Q38" s="29"/>
      <c r="R38" s="29"/>
      <c r="S38" s="29"/>
      <c r="T38" s="29"/>
      <c r="AA38" s="29"/>
      <c r="AB38" s="29"/>
      <c r="AC38" s="29"/>
      <c r="AD38" s="29"/>
      <c r="AM38" s="62"/>
      <c r="AO38" s="99"/>
      <c r="AU38" s="517" t="s">
        <v>34</v>
      </c>
      <c r="AV38" s="469"/>
      <c r="AW38" s="469"/>
      <c r="AX38" s="470"/>
      <c r="AY38" s="78"/>
      <c r="BE38" s="10"/>
      <c r="BL38" s="517" t="s">
        <v>35</v>
      </c>
      <c r="BM38" s="469"/>
      <c r="BN38" s="469"/>
      <c r="BO38" s="469"/>
      <c r="BP38" s="470"/>
      <c r="BU38" s="100"/>
      <c r="BV38" s="10"/>
    </row>
    <row r="39" spans="1:74" s="8" customFormat="1" ht="16.5" customHeight="1" x14ac:dyDescent="0.3">
      <c r="A39" s="9"/>
      <c r="H39" s="61"/>
      <c r="Q39" s="29"/>
      <c r="R39" s="29"/>
      <c r="S39" s="29"/>
      <c r="T39" s="29"/>
      <c r="AA39" s="29"/>
      <c r="AB39" s="29"/>
      <c r="AC39" s="29"/>
      <c r="AD39" s="29"/>
      <c r="AM39" s="62"/>
      <c r="AO39" s="99"/>
      <c r="AU39" s="74">
        <v>1</v>
      </c>
      <c r="AV39" s="471" t="s">
        <v>36</v>
      </c>
      <c r="AW39" s="469"/>
      <c r="AX39" s="470"/>
      <c r="AY39" s="78"/>
      <c r="BE39" s="10"/>
      <c r="BL39" s="74">
        <v>1</v>
      </c>
      <c r="BM39" s="471" t="s">
        <v>37</v>
      </c>
      <c r="BN39" s="469"/>
      <c r="BO39" s="469"/>
      <c r="BP39" s="470"/>
      <c r="BU39" s="100"/>
      <c r="BV39" s="10"/>
    </row>
    <row r="40" spans="1:74" s="8" customFormat="1" ht="16.5" customHeight="1" x14ac:dyDescent="0.25">
      <c r="A40" s="9"/>
      <c r="H40" s="61"/>
      <c r="Q40" s="29"/>
      <c r="R40" s="29"/>
      <c r="S40" s="29"/>
      <c r="T40" s="29"/>
      <c r="AA40" s="29"/>
      <c r="AB40" s="29"/>
      <c r="AC40" s="29"/>
      <c r="AD40" s="29"/>
      <c r="AM40" s="62"/>
      <c r="AO40" s="99"/>
      <c r="AW40" s="101"/>
      <c r="AX40" s="5"/>
      <c r="BE40" s="10"/>
      <c r="BN40" s="101"/>
      <c r="BU40" s="100"/>
      <c r="BV40" s="10"/>
    </row>
    <row r="41" spans="1:74" s="8" customFormat="1" ht="16.5" customHeight="1" x14ac:dyDescent="0.25">
      <c r="A41" s="9"/>
      <c r="H41" s="61"/>
      <c r="K41" s="10"/>
      <c r="L41" s="9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56"/>
      <c r="AD41" s="6"/>
      <c r="AE41" s="101"/>
      <c r="AF41" s="77"/>
      <c r="AM41" s="62"/>
      <c r="AO41" s="99"/>
      <c r="AX41" s="95"/>
      <c r="BE41" s="10"/>
      <c r="BN41" s="28"/>
      <c r="BS41" s="27"/>
      <c r="BU41" s="100"/>
      <c r="BV41" s="10"/>
    </row>
    <row r="42" spans="1:74" s="8" customFormat="1" ht="16.5" customHeight="1" x14ac:dyDescent="0.3">
      <c r="A42" s="9"/>
      <c r="H42" s="61"/>
      <c r="I42" s="494" t="s">
        <v>224</v>
      </c>
      <c r="J42" s="495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Y42" s="494" t="s">
        <v>39</v>
      </c>
      <c r="Z42" s="495"/>
      <c r="AA42" s="495"/>
      <c r="AB42" s="495"/>
      <c r="AC42" s="495"/>
      <c r="AD42" s="495"/>
      <c r="AE42" s="495"/>
      <c r="AF42" s="495"/>
      <c r="AG42" s="495"/>
      <c r="AH42" s="495"/>
      <c r="AI42" s="495"/>
      <c r="AJ42" s="495"/>
      <c r="AK42" s="495"/>
      <c r="AL42" s="495"/>
      <c r="AM42" s="62"/>
      <c r="AO42" s="99"/>
      <c r="AP42" s="471" t="s">
        <v>40</v>
      </c>
      <c r="AQ42" s="469"/>
      <c r="AR42" s="469"/>
      <c r="AS42" s="469"/>
      <c r="AT42" s="469"/>
      <c r="AU42" s="469"/>
      <c r="AV42" s="469"/>
      <c r="AW42" s="469"/>
      <c r="AX42" s="469"/>
      <c r="AY42" s="469"/>
      <c r="AZ42" s="469"/>
      <c r="BA42" s="469"/>
      <c r="BB42" s="469"/>
      <c r="BC42" s="469"/>
      <c r="BD42" s="470"/>
      <c r="BE42" s="10"/>
      <c r="BG42" s="471" t="s">
        <v>41</v>
      </c>
      <c r="BH42" s="469"/>
      <c r="BI42" s="469"/>
      <c r="BJ42" s="469"/>
      <c r="BK42" s="469"/>
      <c r="BL42" s="469"/>
      <c r="BM42" s="469"/>
      <c r="BN42" s="469"/>
      <c r="BO42" s="469"/>
      <c r="BP42" s="469"/>
      <c r="BQ42" s="469"/>
      <c r="BR42" s="469"/>
      <c r="BS42" s="469"/>
      <c r="BT42" s="469"/>
      <c r="BU42" s="102"/>
      <c r="BV42" s="10"/>
    </row>
    <row r="43" spans="1:74" s="8" customFormat="1" ht="16.5" customHeight="1" x14ac:dyDescent="0.25">
      <c r="A43" s="9"/>
      <c r="H43" s="61"/>
      <c r="J43" s="28"/>
      <c r="O43" s="28"/>
      <c r="T43" s="28"/>
      <c r="Z43" s="28"/>
      <c r="AE43" s="28"/>
      <c r="AJ43" s="28"/>
      <c r="AM43" s="62"/>
      <c r="AO43" s="99"/>
      <c r="AQ43" s="28"/>
      <c r="AV43" s="27"/>
      <c r="AW43" s="45"/>
      <c r="BB43" s="27"/>
      <c r="BC43" s="45"/>
      <c r="BE43" s="10"/>
      <c r="BH43" s="28"/>
      <c r="BM43" s="28"/>
      <c r="BR43" s="28"/>
      <c r="BU43" s="100"/>
      <c r="BV43" s="10"/>
    </row>
    <row r="44" spans="1:74" s="8" customFormat="1" ht="16.5" customHeight="1" x14ac:dyDescent="0.3">
      <c r="A44" s="9"/>
      <c r="H44" s="61"/>
      <c r="I44" s="476" t="s">
        <v>42</v>
      </c>
      <c r="J44" s="477"/>
      <c r="K44" s="477"/>
      <c r="L44" s="497"/>
      <c r="N44" s="476" t="s">
        <v>42</v>
      </c>
      <c r="O44" s="477"/>
      <c r="P44" s="477"/>
      <c r="Q44" s="497"/>
      <c r="S44" s="476" t="s">
        <v>42</v>
      </c>
      <c r="T44" s="477"/>
      <c r="U44" s="477"/>
      <c r="V44" s="497"/>
      <c r="Y44" s="476" t="s">
        <v>42</v>
      </c>
      <c r="Z44" s="477"/>
      <c r="AA44" s="477"/>
      <c r="AB44" s="497"/>
      <c r="AD44" s="476" t="s">
        <v>42</v>
      </c>
      <c r="AE44" s="477"/>
      <c r="AF44" s="477"/>
      <c r="AG44" s="497"/>
      <c r="AI44" s="476" t="s">
        <v>42</v>
      </c>
      <c r="AJ44" s="477"/>
      <c r="AK44" s="477"/>
      <c r="AL44" s="497"/>
      <c r="AM44" s="62"/>
      <c r="AO44" s="99"/>
      <c r="AP44" s="476" t="s">
        <v>43</v>
      </c>
      <c r="AQ44" s="477"/>
      <c r="AR44" s="477"/>
      <c r="AS44" s="478"/>
      <c r="AU44" s="476" t="s">
        <v>43</v>
      </c>
      <c r="AV44" s="477"/>
      <c r="AW44" s="477"/>
      <c r="AX44" s="478"/>
      <c r="AY44" s="78"/>
      <c r="BA44" s="471" t="s">
        <v>43</v>
      </c>
      <c r="BB44" s="469"/>
      <c r="BC44" s="469"/>
      <c r="BD44" s="470"/>
      <c r="BE44" s="10"/>
      <c r="BG44" s="476" t="s">
        <v>44</v>
      </c>
      <c r="BH44" s="477"/>
      <c r="BI44" s="477"/>
      <c r="BJ44" s="478"/>
      <c r="BL44" s="476" t="s">
        <v>44</v>
      </c>
      <c r="BM44" s="477"/>
      <c r="BN44" s="477"/>
      <c r="BO44" s="478"/>
      <c r="BQ44" s="476" t="s">
        <v>44</v>
      </c>
      <c r="BR44" s="477"/>
      <c r="BS44" s="477"/>
      <c r="BT44" s="478"/>
      <c r="BU44" s="102"/>
      <c r="BV44" s="10"/>
    </row>
    <row r="45" spans="1:74" s="8" customFormat="1" ht="16.5" customHeight="1" x14ac:dyDescent="0.35">
      <c r="A45" s="9"/>
      <c r="H45" s="61"/>
      <c r="I45" s="73">
        <f>I57+I62+I67+I70+I73+I76+I79+I85+I88+I91+I82</f>
        <v>24</v>
      </c>
      <c r="J45" s="473" t="s">
        <v>45</v>
      </c>
      <c r="K45" s="484"/>
      <c r="L45" s="485"/>
      <c r="M45" s="87"/>
      <c r="N45" s="88">
        <v>20</v>
      </c>
      <c r="O45" s="473" t="s">
        <v>46</v>
      </c>
      <c r="P45" s="484"/>
      <c r="Q45" s="485"/>
      <c r="R45" s="87"/>
      <c r="S45" s="88">
        <v>20</v>
      </c>
      <c r="T45" s="473" t="s">
        <v>47</v>
      </c>
      <c r="U45" s="474"/>
      <c r="V45" s="475"/>
      <c r="W45" s="87"/>
      <c r="X45" s="87"/>
      <c r="Y45" s="88">
        <f>Y57+Y62+Y67+Y70+Y73+Y76+Y79+Y82</f>
        <v>18</v>
      </c>
      <c r="Z45" s="548" t="s">
        <v>48</v>
      </c>
      <c r="AA45" s="549"/>
      <c r="AB45" s="473"/>
      <c r="AC45" s="87"/>
      <c r="AD45" s="88">
        <f>AD57+AD62+AD67+AD70+AD73+AD76+AD79+AD82</f>
        <v>14</v>
      </c>
      <c r="AE45" s="473" t="s">
        <v>46</v>
      </c>
      <c r="AF45" s="474"/>
      <c r="AG45" s="475"/>
      <c r="AH45" s="87"/>
      <c r="AI45" s="88">
        <f>AI57+AI62+AI67+AI70+AI73+AI76+AI79+AI82</f>
        <v>14</v>
      </c>
      <c r="AJ45" s="473" t="s">
        <v>47</v>
      </c>
      <c r="AK45" s="474"/>
      <c r="AL45" s="475"/>
      <c r="AM45" s="62"/>
      <c r="AO45" s="99"/>
      <c r="AP45" s="74">
        <v>5</v>
      </c>
      <c r="AQ45" s="473" t="s">
        <v>48</v>
      </c>
      <c r="AR45" s="474"/>
      <c r="AS45" s="475"/>
      <c r="AU45" s="74">
        <v>5</v>
      </c>
      <c r="AV45" s="473" t="s">
        <v>46</v>
      </c>
      <c r="AW45" s="474"/>
      <c r="AX45" s="475"/>
      <c r="AY45" s="94"/>
      <c r="BA45" s="74">
        <v>5</v>
      </c>
      <c r="BB45" s="473" t="s">
        <v>47</v>
      </c>
      <c r="BC45" s="474"/>
      <c r="BD45" s="475"/>
      <c r="BE45" s="10"/>
      <c r="BG45" s="74">
        <v>3</v>
      </c>
      <c r="BH45" s="473" t="s">
        <v>48</v>
      </c>
      <c r="BI45" s="474"/>
      <c r="BJ45" s="475"/>
      <c r="BL45" s="74">
        <v>3</v>
      </c>
      <c r="BM45" s="473" t="s">
        <v>46</v>
      </c>
      <c r="BN45" s="474"/>
      <c r="BO45" s="475"/>
      <c r="BQ45" s="74">
        <v>3</v>
      </c>
      <c r="BR45" s="473" t="s">
        <v>47</v>
      </c>
      <c r="BS45" s="474"/>
      <c r="BT45" s="475"/>
      <c r="BU45" s="102"/>
      <c r="BV45" s="10"/>
    </row>
    <row r="46" spans="1:74" s="8" customFormat="1" ht="19.5" customHeight="1" x14ac:dyDescent="0.25">
      <c r="A46" s="9"/>
      <c r="H46" s="61"/>
      <c r="K46" s="7"/>
      <c r="O46" s="7"/>
      <c r="U46" s="7"/>
      <c r="AA46" s="7"/>
      <c r="AF46" s="7"/>
      <c r="AJ46" s="6"/>
      <c r="AK46" s="5"/>
      <c r="AM46" s="62"/>
      <c r="AO46" s="99"/>
      <c r="BE46" s="10"/>
      <c r="BU46" s="100"/>
      <c r="BV46" s="10"/>
    </row>
    <row r="47" spans="1:74" s="8" customFormat="1" ht="19.5" customHeight="1" x14ac:dyDescent="0.3">
      <c r="A47" s="9"/>
      <c r="H47" s="61"/>
      <c r="K47" s="10"/>
      <c r="O47" s="10"/>
      <c r="U47" s="10"/>
      <c r="AA47" s="10"/>
      <c r="AF47" s="10"/>
      <c r="AK47" s="9"/>
      <c r="AM47" s="62"/>
      <c r="AO47" s="99"/>
      <c r="AP47" s="471" t="s">
        <v>49</v>
      </c>
      <c r="AQ47" s="469"/>
      <c r="AR47" s="469"/>
      <c r="AS47" s="470"/>
      <c r="AU47" s="471" t="s">
        <v>49</v>
      </c>
      <c r="AV47" s="469"/>
      <c r="AW47" s="469"/>
      <c r="AX47" s="470"/>
      <c r="AY47" s="78"/>
      <c r="BA47" s="471" t="s">
        <v>49</v>
      </c>
      <c r="BB47" s="469"/>
      <c r="BC47" s="469"/>
      <c r="BD47" s="470"/>
      <c r="BE47" s="10"/>
      <c r="BG47" s="471" t="s">
        <v>50</v>
      </c>
      <c r="BH47" s="469"/>
      <c r="BI47" s="469"/>
      <c r="BJ47" s="470"/>
      <c r="BL47" s="471" t="s">
        <v>50</v>
      </c>
      <c r="BM47" s="469"/>
      <c r="BN47" s="469"/>
      <c r="BO47" s="470"/>
      <c r="BQ47" s="471" t="s">
        <v>50</v>
      </c>
      <c r="BR47" s="469"/>
      <c r="BS47" s="469"/>
      <c r="BT47" s="470"/>
      <c r="BU47" s="102"/>
      <c r="BV47" s="10"/>
    </row>
    <row r="48" spans="1:74" s="8" customFormat="1" ht="19.5" customHeight="1" x14ac:dyDescent="0.3">
      <c r="A48" s="9"/>
      <c r="H48" s="61"/>
      <c r="K48" s="10"/>
      <c r="O48" s="10"/>
      <c r="U48" s="10"/>
      <c r="AA48" s="10"/>
      <c r="AF48" s="10"/>
      <c r="AK48" s="9"/>
      <c r="AM48" s="62"/>
      <c r="AO48" s="99"/>
      <c r="AP48" s="74">
        <v>1</v>
      </c>
      <c r="AQ48" s="520"/>
      <c r="AR48" s="469"/>
      <c r="AS48" s="470"/>
      <c r="AU48" s="74">
        <v>1</v>
      </c>
      <c r="AV48" s="520"/>
      <c r="AW48" s="469"/>
      <c r="AX48" s="470"/>
      <c r="AY48" s="78"/>
      <c r="BA48" s="74">
        <v>1</v>
      </c>
      <c r="BB48" s="520"/>
      <c r="BC48" s="469"/>
      <c r="BD48" s="470"/>
      <c r="BE48" s="10"/>
      <c r="BG48" s="74">
        <v>1</v>
      </c>
      <c r="BH48" s="471" t="s">
        <v>51</v>
      </c>
      <c r="BI48" s="469"/>
      <c r="BJ48" s="470"/>
      <c r="BL48" s="74">
        <v>1</v>
      </c>
      <c r="BM48" s="471" t="s">
        <v>52</v>
      </c>
      <c r="BN48" s="469"/>
      <c r="BO48" s="470"/>
      <c r="BQ48" s="74">
        <v>1</v>
      </c>
      <c r="BR48" s="471" t="s">
        <v>53</v>
      </c>
      <c r="BS48" s="469"/>
      <c r="BT48" s="470"/>
      <c r="BU48" s="102"/>
      <c r="BV48" s="10"/>
    </row>
    <row r="49" spans="1:74" s="8" customFormat="1" ht="18" customHeight="1" x14ac:dyDescent="0.25">
      <c r="A49" s="9"/>
      <c r="H49" s="61"/>
      <c r="K49" s="10"/>
      <c r="O49" s="10"/>
      <c r="U49" s="10"/>
      <c r="AA49" s="10"/>
      <c r="AF49" s="10"/>
      <c r="AK49" s="9"/>
      <c r="AM49" s="62"/>
      <c r="AO49" s="99"/>
      <c r="BE49" s="10"/>
      <c r="BU49" s="100"/>
      <c r="BV49" s="10"/>
    </row>
    <row r="50" spans="1:74" s="8" customFormat="1" ht="18" customHeight="1" x14ac:dyDescent="0.3">
      <c r="A50" s="9"/>
      <c r="H50" s="61"/>
      <c r="K50" s="10"/>
      <c r="O50" s="10"/>
      <c r="U50" s="10"/>
      <c r="AA50" s="10"/>
      <c r="AF50" s="10"/>
      <c r="AK50" s="9"/>
      <c r="AM50" s="62"/>
      <c r="AO50" s="99"/>
      <c r="AP50" s="471" t="s">
        <v>54</v>
      </c>
      <c r="AQ50" s="469"/>
      <c r="AR50" s="469"/>
      <c r="AS50" s="470"/>
      <c r="AU50" s="471" t="s">
        <v>54</v>
      </c>
      <c r="AV50" s="469"/>
      <c r="AW50" s="469"/>
      <c r="AX50" s="470"/>
      <c r="AY50" s="78"/>
      <c r="BA50" s="471" t="s">
        <v>54</v>
      </c>
      <c r="BB50" s="469"/>
      <c r="BC50" s="469"/>
      <c r="BD50" s="470"/>
      <c r="BE50" s="10"/>
      <c r="BG50" s="471" t="s">
        <v>55</v>
      </c>
      <c r="BH50" s="469"/>
      <c r="BI50" s="469"/>
      <c r="BJ50" s="470"/>
      <c r="BL50" s="471" t="s">
        <v>55</v>
      </c>
      <c r="BM50" s="469"/>
      <c r="BN50" s="469"/>
      <c r="BO50" s="470"/>
      <c r="BQ50" s="471" t="s">
        <v>55</v>
      </c>
      <c r="BR50" s="469"/>
      <c r="BS50" s="469"/>
      <c r="BT50" s="470"/>
      <c r="BU50" s="102"/>
      <c r="BV50" s="10"/>
    </row>
    <row r="51" spans="1:74" s="8" customFormat="1" ht="19.5" customHeight="1" x14ac:dyDescent="0.3">
      <c r="A51" s="9"/>
      <c r="H51" s="61"/>
      <c r="K51" s="10"/>
      <c r="O51" s="10"/>
      <c r="U51" s="10"/>
      <c r="AA51" s="10"/>
      <c r="AF51" s="10"/>
      <c r="AK51" s="9"/>
      <c r="AM51" s="62"/>
      <c r="AO51" s="99"/>
      <c r="AP51" s="74">
        <v>1</v>
      </c>
      <c r="AQ51" s="471" t="s">
        <v>56</v>
      </c>
      <c r="AR51" s="469"/>
      <c r="AS51" s="470"/>
      <c r="AU51" s="74">
        <v>1</v>
      </c>
      <c r="AV51" s="471" t="s">
        <v>57</v>
      </c>
      <c r="AW51" s="469"/>
      <c r="AX51" s="470"/>
      <c r="AY51" s="78"/>
      <c r="BA51" s="74">
        <v>1</v>
      </c>
      <c r="BB51" s="471" t="s">
        <v>58</v>
      </c>
      <c r="BC51" s="469"/>
      <c r="BD51" s="470"/>
      <c r="BE51" s="10"/>
      <c r="BG51" s="74">
        <v>1</v>
      </c>
      <c r="BH51" s="499" t="s">
        <v>59</v>
      </c>
      <c r="BI51" s="500"/>
      <c r="BJ51" s="501"/>
      <c r="BL51" s="74">
        <v>1</v>
      </c>
      <c r="BM51" s="516"/>
      <c r="BN51" s="491"/>
      <c r="BO51" s="492"/>
      <c r="BQ51" s="74">
        <v>1</v>
      </c>
      <c r="BR51" s="516"/>
      <c r="BS51" s="491"/>
      <c r="BT51" s="492"/>
      <c r="BU51" s="103"/>
      <c r="BV51" s="10"/>
    </row>
    <row r="52" spans="1:74" s="8" customFormat="1" ht="17.25" customHeight="1" x14ac:dyDescent="0.25">
      <c r="A52" s="9"/>
      <c r="H52" s="61"/>
      <c r="K52" s="10"/>
      <c r="O52" s="10"/>
      <c r="U52" s="10"/>
      <c r="AA52" s="10"/>
      <c r="AF52" s="10"/>
      <c r="AK52" s="9"/>
      <c r="AM52" s="62"/>
      <c r="AO52" s="99"/>
      <c r="BE52" s="10"/>
      <c r="BU52" s="100"/>
      <c r="BV52" s="10"/>
    </row>
    <row r="53" spans="1:74" s="8" customFormat="1" ht="19.5" customHeight="1" x14ac:dyDescent="0.3">
      <c r="A53" s="9"/>
      <c r="H53" s="61"/>
      <c r="K53" s="10"/>
      <c r="O53" s="10"/>
      <c r="U53" s="10"/>
      <c r="AA53" s="10"/>
      <c r="AF53" s="10"/>
      <c r="AK53" s="9"/>
      <c r="AM53" s="62"/>
      <c r="AO53" s="99"/>
      <c r="AP53" s="471" t="s">
        <v>60</v>
      </c>
      <c r="AQ53" s="469"/>
      <c r="AR53" s="469"/>
      <c r="AS53" s="470"/>
      <c r="AU53" s="471" t="s">
        <v>60</v>
      </c>
      <c r="AV53" s="469"/>
      <c r="AW53" s="469"/>
      <c r="AX53" s="470"/>
      <c r="AY53" s="78"/>
      <c r="BA53" s="471" t="s">
        <v>60</v>
      </c>
      <c r="BB53" s="469"/>
      <c r="BC53" s="469"/>
      <c r="BD53" s="470"/>
      <c r="BE53" s="10"/>
      <c r="BG53" s="517" t="s">
        <v>61</v>
      </c>
      <c r="BH53" s="469"/>
      <c r="BI53" s="469"/>
      <c r="BJ53" s="470"/>
      <c r="BL53" s="517" t="s">
        <v>61</v>
      </c>
      <c r="BM53" s="469"/>
      <c r="BN53" s="469"/>
      <c r="BO53" s="470"/>
      <c r="BQ53" s="517" t="s">
        <v>61</v>
      </c>
      <c r="BR53" s="469"/>
      <c r="BS53" s="469"/>
      <c r="BT53" s="470"/>
      <c r="BU53" s="102"/>
      <c r="BV53" s="10"/>
    </row>
    <row r="54" spans="1:74" s="8" customFormat="1" ht="21" customHeight="1" x14ac:dyDescent="0.3">
      <c r="A54" s="9"/>
      <c r="H54" s="61"/>
      <c r="K54" s="10"/>
      <c r="O54" s="10"/>
      <c r="U54" s="10"/>
      <c r="AA54" s="10"/>
      <c r="AF54" s="10"/>
      <c r="AK54" s="9"/>
      <c r="AM54" s="62"/>
      <c r="AO54" s="99"/>
      <c r="AP54" s="74">
        <v>1</v>
      </c>
      <c r="AQ54" s="499" t="s">
        <v>62</v>
      </c>
      <c r="AR54" s="500"/>
      <c r="AS54" s="501"/>
      <c r="AU54" s="74">
        <v>1</v>
      </c>
      <c r="AV54" s="471" t="s">
        <v>63</v>
      </c>
      <c r="AW54" s="469"/>
      <c r="AX54" s="470"/>
      <c r="AY54" s="78"/>
      <c r="BA54" s="74">
        <v>1</v>
      </c>
      <c r="BB54" s="471" t="s">
        <v>64</v>
      </c>
      <c r="BC54" s="469"/>
      <c r="BD54" s="470"/>
      <c r="BE54" s="10"/>
      <c r="BG54" s="74">
        <v>1</v>
      </c>
      <c r="BH54" s="471" t="s">
        <v>65</v>
      </c>
      <c r="BI54" s="469"/>
      <c r="BJ54" s="470"/>
      <c r="BL54" s="74">
        <v>1</v>
      </c>
      <c r="BM54" s="471" t="s">
        <v>66</v>
      </c>
      <c r="BN54" s="469"/>
      <c r="BO54" s="470"/>
      <c r="BQ54" s="74">
        <v>1</v>
      </c>
      <c r="BR54" s="471" t="s">
        <v>67</v>
      </c>
      <c r="BS54" s="469"/>
      <c r="BT54" s="470"/>
      <c r="BU54" s="102"/>
      <c r="BV54" s="10"/>
    </row>
    <row r="55" spans="1:74" s="8" customFormat="1" x14ac:dyDescent="0.25">
      <c r="A55" s="9"/>
      <c r="H55" s="61"/>
      <c r="K55" s="27"/>
      <c r="L55" s="33"/>
      <c r="O55" s="28"/>
      <c r="P55" s="27"/>
      <c r="V55" s="33"/>
      <c r="AA55" s="28"/>
      <c r="AB55" s="27"/>
      <c r="AF55" s="28"/>
      <c r="AG55" s="27"/>
      <c r="AK55" s="33"/>
      <c r="AM55" s="62"/>
      <c r="AO55" s="99"/>
      <c r="BE55" s="10"/>
      <c r="BU55" s="100"/>
      <c r="BV55" s="10"/>
    </row>
    <row r="56" spans="1:74" s="8" customFormat="1" ht="16.5" customHeight="1" x14ac:dyDescent="0.3">
      <c r="A56" s="9"/>
      <c r="H56" s="61"/>
      <c r="I56" s="493" t="s">
        <v>68</v>
      </c>
      <c r="J56" s="469"/>
      <c r="K56" s="469"/>
      <c r="L56" s="470"/>
      <c r="N56" s="493" t="s">
        <v>68</v>
      </c>
      <c r="O56" s="469"/>
      <c r="P56" s="469"/>
      <c r="Q56" s="470"/>
      <c r="S56" s="493" t="s">
        <v>68</v>
      </c>
      <c r="T56" s="469"/>
      <c r="U56" s="469"/>
      <c r="V56" s="470"/>
      <c r="Y56" s="493" t="s">
        <v>69</v>
      </c>
      <c r="Z56" s="469"/>
      <c r="AA56" s="469"/>
      <c r="AB56" s="470"/>
      <c r="AD56" s="493" t="s">
        <v>69</v>
      </c>
      <c r="AE56" s="469"/>
      <c r="AF56" s="469"/>
      <c r="AG56" s="470"/>
      <c r="AI56" s="493" t="s">
        <v>69</v>
      </c>
      <c r="AJ56" s="469"/>
      <c r="AK56" s="469"/>
      <c r="AL56" s="470"/>
      <c r="AM56" s="62"/>
      <c r="AO56" s="99"/>
      <c r="AP56" s="471" t="s">
        <v>70</v>
      </c>
      <c r="AQ56" s="469"/>
      <c r="AR56" s="469"/>
      <c r="AS56" s="470"/>
      <c r="AU56" s="471" t="s">
        <v>70</v>
      </c>
      <c r="AV56" s="469"/>
      <c r="AW56" s="469"/>
      <c r="AX56" s="470"/>
      <c r="AY56" s="78"/>
      <c r="BA56" s="471" t="s">
        <v>70</v>
      </c>
      <c r="BB56" s="469"/>
      <c r="BC56" s="469"/>
      <c r="BD56" s="470"/>
      <c r="BE56" s="10"/>
      <c r="BU56" s="100"/>
      <c r="BV56" s="10"/>
    </row>
    <row r="57" spans="1:74" s="8" customFormat="1" ht="16.5" customHeight="1" x14ac:dyDescent="0.3">
      <c r="A57" s="9"/>
      <c r="H57" s="61"/>
      <c r="I57" s="73">
        <v>1</v>
      </c>
      <c r="J57" s="489"/>
      <c r="K57" s="469"/>
      <c r="L57" s="470"/>
      <c r="N57" s="73">
        <v>1</v>
      </c>
      <c r="O57" s="489"/>
      <c r="P57" s="469"/>
      <c r="Q57" s="470"/>
      <c r="S57" s="73">
        <v>1</v>
      </c>
      <c r="T57" s="489"/>
      <c r="U57" s="469"/>
      <c r="V57" s="470"/>
      <c r="Y57" s="73">
        <v>1</v>
      </c>
      <c r="Z57" s="468" t="s">
        <v>71</v>
      </c>
      <c r="AA57" s="469"/>
      <c r="AB57" s="470"/>
      <c r="AD57" s="73">
        <v>1</v>
      </c>
      <c r="AE57" s="479"/>
      <c r="AF57" s="469"/>
      <c r="AG57" s="470"/>
      <c r="AI57" s="73">
        <v>1</v>
      </c>
      <c r="AJ57" s="479"/>
      <c r="AK57" s="469"/>
      <c r="AL57" s="470"/>
      <c r="AM57" s="62"/>
      <c r="AO57" s="99"/>
      <c r="AP57" s="74">
        <v>1</v>
      </c>
      <c r="AQ57" s="520"/>
      <c r="AR57" s="469"/>
      <c r="AS57" s="470"/>
      <c r="AU57" s="74">
        <v>1</v>
      </c>
      <c r="AV57" s="520"/>
      <c r="AW57" s="469"/>
      <c r="AX57" s="470"/>
      <c r="AY57" s="78"/>
      <c r="BA57" s="74">
        <v>1</v>
      </c>
      <c r="BB57" s="520"/>
      <c r="BC57" s="469"/>
      <c r="BD57" s="470"/>
      <c r="BE57" s="10"/>
      <c r="BU57" s="100"/>
      <c r="BV57" s="10"/>
    </row>
    <row r="58" spans="1:74" s="8" customFormat="1" ht="16.5" customHeight="1" x14ac:dyDescent="0.25">
      <c r="A58" s="9"/>
      <c r="H58" s="61"/>
      <c r="I58" s="29"/>
      <c r="J58" s="29"/>
      <c r="K58" s="29"/>
      <c r="L58" s="29"/>
      <c r="N58" s="29"/>
      <c r="O58" s="29"/>
      <c r="P58" s="29"/>
      <c r="Q58" s="29"/>
      <c r="S58" s="29"/>
      <c r="T58" s="29"/>
      <c r="U58" s="29"/>
      <c r="V58" s="29"/>
      <c r="Y58" s="29"/>
      <c r="Z58" s="29"/>
      <c r="AA58" s="29"/>
      <c r="AB58" s="29"/>
      <c r="AD58" s="29"/>
      <c r="AE58" s="29"/>
      <c r="AF58" s="29"/>
      <c r="AG58" s="29"/>
      <c r="AI58" s="29"/>
      <c r="AJ58" s="29"/>
      <c r="AK58" s="29"/>
      <c r="AL58" s="29"/>
      <c r="AM58" s="62"/>
      <c r="AO58" s="99"/>
      <c r="BE58" s="10"/>
      <c r="BU58" s="100"/>
      <c r="BV58" s="10"/>
    </row>
    <row r="59" spans="1:74" s="8" customFormat="1" ht="16.5" customHeight="1" x14ac:dyDescent="0.3">
      <c r="A59" s="9"/>
      <c r="H59" s="61"/>
      <c r="I59" s="29"/>
      <c r="J59" s="29"/>
      <c r="K59" s="29"/>
      <c r="L59" s="29"/>
      <c r="N59" s="29"/>
      <c r="O59" s="29"/>
      <c r="P59" s="29"/>
      <c r="Q59" s="29"/>
      <c r="S59" s="29"/>
      <c r="T59" s="29"/>
      <c r="U59" s="29"/>
      <c r="V59" s="29"/>
      <c r="Y59" s="29"/>
      <c r="Z59" s="29"/>
      <c r="AA59" s="29"/>
      <c r="AB59" s="29"/>
      <c r="AD59" s="29"/>
      <c r="AE59" s="29"/>
      <c r="AF59" s="29"/>
      <c r="AG59" s="29"/>
      <c r="AI59" s="29"/>
      <c r="AJ59" s="29"/>
      <c r="AK59" s="29"/>
      <c r="AL59" s="29"/>
      <c r="AM59" s="62"/>
      <c r="AO59" s="99"/>
      <c r="AP59" s="471" t="s">
        <v>72</v>
      </c>
      <c r="AQ59" s="469"/>
      <c r="AR59" s="469"/>
      <c r="AS59" s="470"/>
      <c r="AU59" s="471" t="s">
        <v>72</v>
      </c>
      <c r="AV59" s="469"/>
      <c r="AW59" s="469"/>
      <c r="AX59" s="470"/>
      <c r="AY59" s="78"/>
      <c r="BA59" s="471" t="s">
        <v>72</v>
      </c>
      <c r="BB59" s="469"/>
      <c r="BC59" s="469"/>
      <c r="BD59" s="470"/>
      <c r="BE59" s="10"/>
      <c r="BU59" s="100"/>
      <c r="BV59" s="10"/>
    </row>
    <row r="60" spans="1:74" s="8" customFormat="1" ht="16.5" customHeight="1" x14ac:dyDescent="0.3">
      <c r="A60" s="9"/>
      <c r="H60" s="61"/>
      <c r="AM60" s="62"/>
      <c r="AO60" s="99"/>
      <c r="AP60" s="74">
        <v>1</v>
      </c>
      <c r="AQ60" s="471" t="s">
        <v>73</v>
      </c>
      <c r="AR60" s="469"/>
      <c r="AS60" s="470"/>
      <c r="AU60" s="74">
        <v>1</v>
      </c>
      <c r="AV60" s="471" t="s">
        <v>74</v>
      </c>
      <c r="AW60" s="469"/>
      <c r="AX60" s="470"/>
      <c r="AY60" s="78"/>
      <c r="BA60" s="74">
        <v>1</v>
      </c>
      <c r="BB60" s="471" t="s">
        <v>75</v>
      </c>
      <c r="BC60" s="469"/>
      <c r="BD60" s="470"/>
      <c r="BE60" s="10"/>
      <c r="BU60" s="100"/>
      <c r="BV60" s="10"/>
    </row>
    <row r="61" spans="1:74" s="8" customFormat="1" ht="16.5" customHeight="1" x14ac:dyDescent="0.3">
      <c r="A61" s="9"/>
      <c r="H61" s="61"/>
      <c r="I61" s="490" t="s">
        <v>76</v>
      </c>
      <c r="J61" s="491"/>
      <c r="K61" s="491"/>
      <c r="L61" s="492"/>
      <c r="N61" s="490" t="s">
        <v>76</v>
      </c>
      <c r="O61" s="491"/>
      <c r="P61" s="491"/>
      <c r="Q61" s="492"/>
      <c r="S61" s="525" t="s">
        <v>76</v>
      </c>
      <c r="T61" s="526"/>
      <c r="U61" s="526"/>
      <c r="V61" s="527"/>
      <c r="Y61" s="468" t="s">
        <v>77</v>
      </c>
      <c r="Z61" s="469"/>
      <c r="AA61" s="469"/>
      <c r="AB61" s="470"/>
      <c r="AD61" s="468" t="s">
        <v>77</v>
      </c>
      <c r="AE61" s="469"/>
      <c r="AF61" s="469"/>
      <c r="AG61" s="470"/>
      <c r="AI61" s="468" t="s">
        <v>77</v>
      </c>
      <c r="AJ61" s="469"/>
      <c r="AK61" s="469"/>
      <c r="AL61" s="470"/>
      <c r="AM61" s="62"/>
      <c r="AO61" s="99"/>
      <c r="BE61" s="10"/>
      <c r="BU61" s="100"/>
      <c r="BV61" s="10"/>
    </row>
    <row r="62" spans="1:74" s="8" customFormat="1" ht="16.5" customHeight="1" x14ac:dyDescent="0.3">
      <c r="A62" s="9"/>
      <c r="H62" s="61"/>
      <c r="I62" s="73">
        <v>1</v>
      </c>
      <c r="J62" s="489"/>
      <c r="K62" s="469"/>
      <c r="L62" s="470"/>
      <c r="N62" s="73">
        <v>1</v>
      </c>
      <c r="O62" s="489"/>
      <c r="P62" s="469"/>
      <c r="Q62" s="470"/>
      <c r="S62" s="73">
        <v>1</v>
      </c>
      <c r="T62" s="489"/>
      <c r="U62" s="469"/>
      <c r="V62" s="470"/>
      <c r="Y62" s="73">
        <v>1</v>
      </c>
      <c r="Z62" s="479"/>
      <c r="AA62" s="469"/>
      <c r="AB62" s="470"/>
      <c r="AD62" s="73">
        <v>1</v>
      </c>
      <c r="AE62" s="479"/>
      <c r="AF62" s="469"/>
      <c r="AG62" s="470"/>
      <c r="AI62" s="73">
        <v>1</v>
      </c>
      <c r="AJ62" s="479"/>
      <c r="AK62" s="469"/>
      <c r="AL62" s="470"/>
      <c r="AM62" s="62"/>
      <c r="AO62" s="99"/>
      <c r="AX62" s="27"/>
      <c r="AY62" s="27"/>
      <c r="AZ62" s="27"/>
      <c r="BA62" s="27"/>
      <c r="BB62" s="27"/>
      <c r="BC62" s="27"/>
      <c r="BD62" s="27"/>
      <c r="BE62" s="28"/>
      <c r="BF62" s="77"/>
      <c r="BG62" s="27"/>
      <c r="BH62" s="27"/>
      <c r="BI62" s="27"/>
      <c r="BJ62" s="27"/>
      <c r="BK62" s="27"/>
      <c r="BL62" s="27"/>
      <c r="BM62" s="27"/>
      <c r="BN62" s="27"/>
      <c r="BU62" s="100"/>
      <c r="BV62" s="10"/>
    </row>
    <row r="63" spans="1:74" s="8" customFormat="1" ht="16.5" customHeight="1" x14ac:dyDescent="0.25">
      <c r="A63" s="9"/>
      <c r="H63" s="61"/>
      <c r="I63" s="29"/>
      <c r="J63" s="29"/>
      <c r="K63" s="29"/>
      <c r="L63" s="29"/>
      <c r="N63" s="29"/>
      <c r="O63" s="29"/>
      <c r="P63" s="29"/>
      <c r="Q63" s="29"/>
      <c r="S63" s="29"/>
      <c r="T63" s="29"/>
      <c r="U63" s="29"/>
      <c r="V63" s="29"/>
      <c r="Y63" s="29"/>
      <c r="Z63" s="29"/>
      <c r="AA63" s="29"/>
      <c r="AB63" s="29"/>
      <c r="AD63" s="29"/>
      <c r="AE63" s="29"/>
      <c r="AF63" s="29"/>
      <c r="AG63" s="29"/>
      <c r="AI63" s="29"/>
      <c r="AJ63" s="29"/>
      <c r="AK63" s="29"/>
      <c r="AL63" s="29"/>
      <c r="AM63" s="62"/>
      <c r="AO63" s="99"/>
      <c r="AX63" s="90"/>
      <c r="BF63" s="5"/>
      <c r="BN63" s="45"/>
      <c r="BU63" s="100"/>
      <c r="BV63" s="10"/>
    </row>
    <row r="64" spans="1:74" s="8" customFormat="1" ht="16.5" customHeight="1" x14ac:dyDescent="0.3">
      <c r="A64" s="9"/>
      <c r="H64" s="61"/>
      <c r="I64" s="29"/>
      <c r="J64" s="29"/>
      <c r="K64" s="29"/>
      <c r="L64" s="29"/>
      <c r="N64" s="29"/>
      <c r="O64" s="29"/>
      <c r="P64" s="29"/>
      <c r="Q64" s="29"/>
      <c r="S64" s="29"/>
      <c r="T64" s="29"/>
      <c r="U64" s="29"/>
      <c r="V64" s="29"/>
      <c r="Y64" s="29"/>
      <c r="Z64" s="29"/>
      <c r="AA64" s="29"/>
      <c r="AB64" s="29"/>
      <c r="AD64" s="29"/>
      <c r="AE64" s="29"/>
      <c r="AF64" s="29"/>
      <c r="AG64" s="29"/>
      <c r="AI64" s="29"/>
      <c r="AJ64" s="29"/>
      <c r="AK64" s="29"/>
      <c r="AL64" s="29"/>
      <c r="AM64" s="62"/>
      <c r="AO64" s="99"/>
      <c r="AU64" s="517" t="s">
        <v>78</v>
      </c>
      <c r="AV64" s="469"/>
      <c r="AW64" s="469"/>
      <c r="AX64" s="470"/>
      <c r="AY64" s="78"/>
      <c r="BF64" s="95"/>
      <c r="BL64" s="517" t="s">
        <v>79</v>
      </c>
      <c r="BM64" s="469"/>
      <c r="BN64" s="469"/>
      <c r="BO64" s="470"/>
      <c r="BU64" s="100"/>
      <c r="BV64" s="10"/>
    </row>
    <row r="65" spans="1:74" s="8" customFormat="1" ht="16.5" customHeight="1" x14ac:dyDescent="0.3">
      <c r="A65" s="9"/>
      <c r="H65" s="61"/>
      <c r="AM65" s="62"/>
      <c r="AO65" s="99"/>
      <c r="AU65" s="74">
        <v>1</v>
      </c>
      <c r="AV65" s="471" t="s">
        <v>80</v>
      </c>
      <c r="AW65" s="469"/>
      <c r="AX65" s="470"/>
      <c r="AY65" s="78"/>
      <c r="BF65" s="95"/>
      <c r="BL65" s="74">
        <v>1</v>
      </c>
      <c r="BM65" s="471" t="s">
        <v>81</v>
      </c>
      <c r="BN65" s="469"/>
      <c r="BO65" s="470"/>
      <c r="BU65" s="100"/>
      <c r="BV65" s="10"/>
    </row>
    <row r="66" spans="1:74" s="8" customFormat="1" ht="16.5" customHeight="1" x14ac:dyDescent="0.3">
      <c r="A66" s="9"/>
      <c r="H66" s="61"/>
      <c r="I66" s="490" t="s">
        <v>82</v>
      </c>
      <c r="J66" s="491"/>
      <c r="K66" s="491"/>
      <c r="L66" s="492"/>
      <c r="N66" s="490" t="s">
        <v>82</v>
      </c>
      <c r="O66" s="491"/>
      <c r="P66" s="491"/>
      <c r="Q66" s="492"/>
      <c r="S66" s="490" t="s">
        <v>82</v>
      </c>
      <c r="T66" s="491"/>
      <c r="U66" s="491"/>
      <c r="V66" s="492"/>
      <c r="Y66" s="468" t="s">
        <v>83</v>
      </c>
      <c r="Z66" s="469"/>
      <c r="AA66" s="469"/>
      <c r="AB66" s="470"/>
      <c r="AD66" s="468" t="s">
        <v>83</v>
      </c>
      <c r="AE66" s="469"/>
      <c r="AF66" s="469"/>
      <c r="AG66" s="470"/>
      <c r="AI66" s="468" t="s">
        <v>83</v>
      </c>
      <c r="AJ66" s="469"/>
      <c r="AK66" s="469"/>
      <c r="AL66" s="470"/>
      <c r="AM66" s="62"/>
      <c r="AO66" s="99"/>
      <c r="AW66" s="45"/>
      <c r="BF66" s="95"/>
      <c r="BN66" s="45"/>
      <c r="BU66" s="100"/>
      <c r="BV66" s="10"/>
    </row>
    <row r="67" spans="1:74" s="8" customFormat="1" ht="16.5" customHeight="1" x14ac:dyDescent="0.3">
      <c r="A67" s="9"/>
      <c r="H67" s="61"/>
      <c r="I67" s="73">
        <v>1</v>
      </c>
      <c r="J67" s="489"/>
      <c r="K67" s="469"/>
      <c r="L67" s="470"/>
      <c r="N67" s="73">
        <v>1</v>
      </c>
      <c r="O67" s="489"/>
      <c r="P67" s="469"/>
      <c r="Q67" s="470"/>
      <c r="S67" s="73">
        <v>1</v>
      </c>
      <c r="T67" s="489"/>
      <c r="U67" s="469"/>
      <c r="V67" s="470"/>
      <c r="Y67" s="73">
        <v>3</v>
      </c>
      <c r="Z67" s="499" t="s">
        <v>84</v>
      </c>
      <c r="AA67" s="500"/>
      <c r="AB67" s="501"/>
      <c r="AD67" s="73">
        <v>3</v>
      </c>
      <c r="AE67" s="499" t="s">
        <v>85</v>
      </c>
      <c r="AF67" s="500"/>
      <c r="AG67" s="501"/>
      <c r="AI67" s="73">
        <v>3</v>
      </c>
      <c r="AJ67" s="521"/>
      <c r="AK67" s="469"/>
      <c r="AL67" s="470"/>
      <c r="AM67" s="62"/>
      <c r="AO67" s="99"/>
      <c r="AP67" s="471" t="s">
        <v>86</v>
      </c>
      <c r="AQ67" s="469"/>
      <c r="AR67" s="469"/>
      <c r="AS67" s="469"/>
      <c r="AT67" s="469"/>
      <c r="AU67" s="469"/>
      <c r="AV67" s="469"/>
      <c r="AW67" s="469"/>
      <c r="AX67" s="469"/>
      <c r="AY67" s="469"/>
      <c r="AZ67" s="469"/>
      <c r="BA67" s="469"/>
      <c r="BB67" s="469"/>
      <c r="BC67" s="469"/>
      <c r="BD67" s="470"/>
      <c r="BF67" s="95"/>
      <c r="BG67" s="471" t="s">
        <v>87</v>
      </c>
      <c r="BH67" s="469"/>
      <c r="BI67" s="469"/>
      <c r="BJ67" s="469"/>
      <c r="BK67" s="469"/>
      <c r="BL67" s="469"/>
      <c r="BM67" s="469"/>
      <c r="BN67" s="469"/>
      <c r="BO67" s="469"/>
      <c r="BP67" s="469"/>
      <c r="BQ67" s="469"/>
      <c r="BR67" s="469"/>
      <c r="BS67" s="469"/>
      <c r="BT67" s="470"/>
      <c r="BU67" s="102"/>
      <c r="BV67" s="10"/>
    </row>
    <row r="68" spans="1:74" s="8" customFormat="1" ht="16.5" customHeight="1" x14ac:dyDescent="0.25">
      <c r="A68" s="9"/>
      <c r="H68" s="61"/>
      <c r="I68" s="29"/>
      <c r="J68" s="29"/>
      <c r="K68" s="29"/>
      <c r="L68" s="29"/>
      <c r="N68" s="29"/>
      <c r="O68" s="29"/>
      <c r="P68" s="29"/>
      <c r="Q68" s="29"/>
      <c r="S68" s="29"/>
      <c r="T68" s="29"/>
      <c r="U68" s="29"/>
      <c r="V68" s="29"/>
      <c r="AM68" s="62"/>
      <c r="AO68" s="99"/>
      <c r="AQ68" s="28"/>
      <c r="AV68" s="27"/>
      <c r="AW68" s="45"/>
      <c r="BB68" s="27"/>
      <c r="BC68" s="45"/>
      <c r="BF68" s="95"/>
      <c r="BH68" s="28"/>
      <c r="BM68" s="27"/>
      <c r="BN68" s="45"/>
      <c r="BR68" s="27"/>
      <c r="BS68" s="45"/>
      <c r="BU68" s="100"/>
      <c r="BV68" s="10"/>
    </row>
    <row r="69" spans="1:74" s="8" customFormat="1" ht="16.5" customHeight="1" x14ac:dyDescent="0.3">
      <c r="A69" s="9"/>
      <c r="H69" s="61"/>
      <c r="I69" s="468" t="s">
        <v>88</v>
      </c>
      <c r="J69" s="469"/>
      <c r="K69" s="469"/>
      <c r="L69" s="470"/>
      <c r="N69" s="468" t="s">
        <v>88</v>
      </c>
      <c r="O69" s="469"/>
      <c r="P69" s="469"/>
      <c r="Q69" s="470"/>
      <c r="S69" s="468" t="s">
        <v>88</v>
      </c>
      <c r="T69" s="469"/>
      <c r="U69" s="469"/>
      <c r="V69" s="470"/>
      <c r="Y69" s="468" t="s">
        <v>89</v>
      </c>
      <c r="Z69" s="469"/>
      <c r="AA69" s="469"/>
      <c r="AB69" s="470"/>
      <c r="AD69" s="468" t="s">
        <v>89</v>
      </c>
      <c r="AE69" s="469"/>
      <c r="AF69" s="469"/>
      <c r="AG69" s="470"/>
      <c r="AI69" s="530" t="s">
        <v>89</v>
      </c>
      <c r="AJ69" s="531"/>
      <c r="AK69" s="531"/>
      <c r="AL69" s="532"/>
      <c r="AM69" s="62"/>
      <c r="AO69" s="99"/>
      <c r="AP69" s="476" t="s">
        <v>90</v>
      </c>
      <c r="AQ69" s="477"/>
      <c r="AR69" s="477"/>
      <c r="AS69" s="478"/>
      <c r="AU69" s="476" t="s">
        <v>90</v>
      </c>
      <c r="AV69" s="477"/>
      <c r="AW69" s="477"/>
      <c r="AX69" s="478"/>
      <c r="AY69" s="78"/>
      <c r="BA69" s="476" t="s">
        <v>90</v>
      </c>
      <c r="BB69" s="477"/>
      <c r="BC69" s="477"/>
      <c r="BD69" s="478"/>
      <c r="BF69" s="95"/>
      <c r="BG69" s="517" t="s">
        <v>91</v>
      </c>
      <c r="BH69" s="469"/>
      <c r="BI69" s="469"/>
      <c r="BJ69" s="470"/>
      <c r="BL69" s="517" t="s">
        <v>91</v>
      </c>
      <c r="BM69" s="469"/>
      <c r="BN69" s="469"/>
      <c r="BO69" s="470"/>
      <c r="BQ69" s="517" t="s">
        <v>91</v>
      </c>
      <c r="BR69" s="469"/>
      <c r="BS69" s="469"/>
      <c r="BT69" s="470"/>
      <c r="BU69" s="102"/>
      <c r="BV69" s="10"/>
    </row>
    <row r="70" spans="1:74" s="8" customFormat="1" ht="16.5" customHeight="1" x14ac:dyDescent="0.35">
      <c r="A70" s="9"/>
      <c r="H70" s="61"/>
      <c r="I70" s="73">
        <v>1</v>
      </c>
      <c r="J70" s="489"/>
      <c r="K70" s="469"/>
      <c r="L70" s="470"/>
      <c r="N70" s="73">
        <v>1</v>
      </c>
      <c r="O70" s="499"/>
      <c r="P70" s="500"/>
      <c r="Q70" s="501"/>
      <c r="S70" s="73">
        <v>1</v>
      </c>
      <c r="T70" s="499"/>
      <c r="U70" s="500"/>
      <c r="V70" s="501"/>
      <c r="Y70" s="73">
        <v>3</v>
      </c>
      <c r="Z70" s="499" t="s">
        <v>92</v>
      </c>
      <c r="AA70" s="500"/>
      <c r="AB70" s="501"/>
      <c r="AD70" s="73">
        <v>3</v>
      </c>
      <c r="AE70" s="499" t="s">
        <v>93</v>
      </c>
      <c r="AF70" s="500"/>
      <c r="AG70" s="501"/>
      <c r="AI70" s="73">
        <v>3</v>
      </c>
      <c r="AJ70" s="499" t="s">
        <v>94</v>
      </c>
      <c r="AK70" s="500"/>
      <c r="AL70" s="501"/>
      <c r="AM70" s="62"/>
      <c r="AO70" s="99"/>
      <c r="AP70" s="74">
        <v>3</v>
      </c>
      <c r="AQ70" s="473" t="s">
        <v>48</v>
      </c>
      <c r="AR70" s="474"/>
      <c r="AS70" s="475"/>
      <c r="AU70" s="74">
        <v>3</v>
      </c>
      <c r="AV70" s="473" t="s">
        <v>46</v>
      </c>
      <c r="AW70" s="474"/>
      <c r="AX70" s="475"/>
      <c r="AY70" s="119"/>
      <c r="AZ70" s="94"/>
      <c r="BA70" s="74">
        <v>3</v>
      </c>
      <c r="BB70" s="473" t="s">
        <v>47</v>
      </c>
      <c r="BC70" s="474"/>
      <c r="BD70" s="475"/>
      <c r="BF70" s="95"/>
      <c r="BG70" s="74">
        <v>3</v>
      </c>
      <c r="BH70" s="473" t="s">
        <v>48</v>
      </c>
      <c r="BI70" s="474"/>
      <c r="BJ70" s="475"/>
      <c r="BL70" s="74">
        <v>3</v>
      </c>
      <c r="BM70" s="473" t="s">
        <v>46</v>
      </c>
      <c r="BN70" s="474"/>
      <c r="BO70" s="475"/>
      <c r="BQ70" s="74">
        <v>3</v>
      </c>
      <c r="BR70" s="473" t="s">
        <v>47</v>
      </c>
      <c r="BS70" s="474"/>
      <c r="BT70" s="475"/>
      <c r="BU70" s="102"/>
      <c r="BV70" s="10"/>
    </row>
    <row r="71" spans="1:74" s="8" customFormat="1" ht="16.5" customHeight="1" x14ac:dyDescent="0.25">
      <c r="A71" s="9"/>
      <c r="H71" s="61"/>
      <c r="AM71" s="62"/>
      <c r="AO71" s="99"/>
      <c r="AY71" s="94"/>
      <c r="AZ71" s="94"/>
      <c r="BF71" s="96"/>
      <c r="BU71" s="100"/>
      <c r="BV71" s="10"/>
    </row>
    <row r="72" spans="1:74" s="8" customFormat="1" ht="16.5" customHeight="1" x14ac:dyDescent="0.3">
      <c r="A72" s="9"/>
      <c r="H72" s="61"/>
      <c r="I72" s="468" t="s">
        <v>95</v>
      </c>
      <c r="J72" s="469"/>
      <c r="K72" s="469"/>
      <c r="L72" s="470"/>
      <c r="N72" s="468" t="s">
        <v>95</v>
      </c>
      <c r="O72" s="469"/>
      <c r="P72" s="469"/>
      <c r="Q72" s="470"/>
      <c r="S72" s="468" t="s">
        <v>95</v>
      </c>
      <c r="T72" s="469"/>
      <c r="U72" s="469"/>
      <c r="V72" s="470"/>
      <c r="Y72" s="468" t="s">
        <v>96</v>
      </c>
      <c r="Z72" s="469"/>
      <c r="AA72" s="469"/>
      <c r="AB72" s="470"/>
      <c r="AD72" s="468" t="s">
        <v>96</v>
      </c>
      <c r="AE72" s="469"/>
      <c r="AF72" s="469"/>
      <c r="AG72" s="470"/>
      <c r="AI72" s="468" t="s">
        <v>96</v>
      </c>
      <c r="AJ72" s="469"/>
      <c r="AK72" s="469"/>
      <c r="AL72" s="470"/>
      <c r="AM72" s="62"/>
      <c r="AO72" s="99"/>
      <c r="AP72" s="471" t="s">
        <v>54</v>
      </c>
      <c r="AQ72" s="469"/>
      <c r="AR72" s="469"/>
      <c r="AS72" s="470"/>
      <c r="AU72" s="471" t="s">
        <v>54</v>
      </c>
      <c r="AV72" s="469"/>
      <c r="AW72" s="469"/>
      <c r="AX72" s="470"/>
      <c r="AY72" s="93"/>
      <c r="AZ72" s="94"/>
      <c r="BA72" s="471" t="s">
        <v>54</v>
      </c>
      <c r="BB72" s="469"/>
      <c r="BC72" s="469"/>
      <c r="BD72" s="470"/>
      <c r="BF72" s="95"/>
      <c r="BG72" s="471" t="s">
        <v>50</v>
      </c>
      <c r="BH72" s="469"/>
      <c r="BI72" s="469"/>
      <c r="BJ72" s="470"/>
      <c r="BL72" s="471" t="s">
        <v>50</v>
      </c>
      <c r="BM72" s="469"/>
      <c r="BN72" s="469"/>
      <c r="BO72" s="470"/>
      <c r="BQ72" s="471" t="s">
        <v>50</v>
      </c>
      <c r="BR72" s="469"/>
      <c r="BS72" s="469"/>
      <c r="BT72" s="470"/>
      <c r="BU72" s="102"/>
      <c r="BV72" s="10"/>
    </row>
    <row r="73" spans="1:74" s="8" customFormat="1" ht="16.5" customHeight="1" x14ac:dyDescent="0.3">
      <c r="A73" s="9"/>
      <c r="H73" s="61"/>
      <c r="I73" s="73">
        <v>1</v>
      </c>
      <c r="J73" s="468" t="s">
        <v>97</v>
      </c>
      <c r="K73" s="469"/>
      <c r="L73" s="470"/>
      <c r="N73" s="73">
        <v>1</v>
      </c>
      <c r="O73" s="468" t="s">
        <v>98</v>
      </c>
      <c r="P73" s="469"/>
      <c r="Q73" s="470"/>
      <c r="S73" s="73">
        <v>1</v>
      </c>
      <c r="T73" s="468" t="s">
        <v>99</v>
      </c>
      <c r="U73" s="469"/>
      <c r="V73" s="470"/>
      <c r="Y73" s="73">
        <v>1</v>
      </c>
      <c r="Z73" s="479"/>
      <c r="AA73" s="469"/>
      <c r="AB73" s="470"/>
      <c r="AD73" s="73">
        <v>1</v>
      </c>
      <c r="AE73" s="479"/>
      <c r="AF73" s="469"/>
      <c r="AG73" s="470"/>
      <c r="AI73" s="73">
        <v>1</v>
      </c>
      <c r="AJ73" s="479"/>
      <c r="AK73" s="469"/>
      <c r="AL73" s="470"/>
      <c r="AM73" s="62"/>
      <c r="AO73" s="99"/>
      <c r="AP73" s="74">
        <v>1</v>
      </c>
      <c r="AQ73" s="499" t="s">
        <v>100</v>
      </c>
      <c r="AR73" s="500"/>
      <c r="AS73" s="501"/>
      <c r="AU73" s="74">
        <v>1</v>
      </c>
      <c r="AV73" s="499" t="s">
        <v>101</v>
      </c>
      <c r="AW73" s="500"/>
      <c r="AX73" s="501"/>
      <c r="AY73" s="106"/>
      <c r="AZ73" s="94"/>
      <c r="BA73" s="74">
        <v>1</v>
      </c>
      <c r="BB73" s="471" t="s">
        <v>102</v>
      </c>
      <c r="BC73" s="469"/>
      <c r="BD73" s="470"/>
      <c r="BF73" s="95"/>
      <c r="BG73" s="74">
        <v>1</v>
      </c>
      <c r="BH73" s="471" t="s">
        <v>103</v>
      </c>
      <c r="BI73" s="469"/>
      <c r="BJ73" s="470"/>
      <c r="BL73" s="74">
        <v>1</v>
      </c>
      <c r="BM73" s="471" t="s">
        <v>104</v>
      </c>
      <c r="BN73" s="469"/>
      <c r="BO73" s="470"/>
      <c r="BQ73" s="74">
        <v>1</v>
      </c>
      <c r="BR73" s="471" t="s">
        <v>105</v>
      </c>
      <c r="BS73" s="469"/>
      <c r="BT73" s="470"/>
      <c r="BU73" s="102"/>
      <c r="BV73" s="10"/>
    </row>
    <row r="74" spans="1:74" s="8" customFormat="1" ht="16.5" customHeight="1" x14ac:dyDescent="0.25">
      <c r="A74" s="9"/>
      <c r="H74" s="61"/>
      <c r="Y74" s="29"/>
      <c r="Z74" s="63"/>
      <c r="AA74" s="29"/>
      <c r="AB74" s="29"/>
      <c r="AD74" s="29"/>
      <c r="AE74" s="63"/>
      <c r="AF74" s="29"/>
      <c r="AG74" s="29"/>
      <c r="AI74" s="29"/>
      <c r="AJ74" s="63"/>
      <c r="AK74" s="29"/>
      <c r="AL74" s="29"/>
      <c r="AM74" s="62"/>
      <c r="AO74" s="99"/>
      <c r="AY74" s="94"/>
      <c r="AZ74" s="94"/>
      <c r="BF74" s="95"/>
      <c r="BU74" s="100"/>
      <c r="BV74" s="10"/>
    </row>
    <row r="75" spans="1:74" s="8" customFormat="1" ht="16.5" customHeight="1" x14ac:dyDescent="0.3">
      <c r="A75" s="9"/>
      <c r="H75" s="61"/>
      <c r="I75" s="468" t="s">
        <v>106</v>
      </c>
      <c r="J75" s="469"/>
      <c r="K75" s="469"/>
      <c r="L75" s="470"/>
      <c r="N75" s="468" t="s">
        <v>106</v>
      </c>
      <c r="O75" s="469"/>
      <c r="P75" s="469"/>
      <c r="Q75" s="470"/>
      <c r="S75" s="468" t="s">
        <v>106</v>
      </c>
      <c r="T75" s="469"/>
      <c r="U75" s="469"/>
      <c r="V75" s="470"/>
      <c r="Y75" s="468" t="s">
        <v>107</v>
      </c>
      <c r="Z75" s="469"/>
      <c r="AA75" s="469"/>
      <c r="AB75" s="470"/>
      <c r="AD75" s="468" t="s">
        <v>107</v>
      </c>
      <c r="AE75" s="469"/>
      <c r="AF75" s="469"/>
      <c r="AG75" s="470"/>
      <c r="AI75" s="468" t="s">
        <v>107</v>
      </c>
      <c r="AJ75" s="469"/>
      <c r="AK75" s="469"/>
      <c r="AL75" s="470"/>
      <c r="AM75" s="62"/>
      <c r="AO75" s="99"/>
      <c r="AP75" s="471" t="s">
        <v>60</v>
      </c>
      <c r="AQ75" s="469"/>
      <c r="AR75" s="469"/>
      <c r="AS75" s="470"/>
      <c r="AU75" s="471" t="s">
        <v>60</v>
      </c>
      <c r="AV75" s="469"/>
      <c r="AW75" s="469"/>
      <c r="AX75" s="470"/>
      <c r="AY75" s="93"/>
      <c r="AZ75" s="94"/>
      <c r="BA75" s="471" t="s">
        <v>60</v>
      </c>
      <c r="BB75" s="469"/>
      <c r="BC75" s="469"/>
      <c r="BD75" s="470"/>
      <c r="BF75" s="95"/>
      <c r="BG75" s="471" t="s">
        <v>108</v>
      </c>
      <c r="BH75" s="469"/>
      <c r="BI75" s="469"/>
      <c r="BJ75" s="470"/>
      <c r="BL75" s="471" t="s">
        <v>108</v>
      </c>
      <c r="BM75" s="469"/>
      <c r="BN75" s="469"/>
      <c r="BO75" s="470"/>
      <c r="BQ75" s="471" t="s">
        <v>108</v>
      </c>
      <c r="BR75" s="469"/>
      <c r="BS75" s="469"/>
      <c r="BT75" s="470"/>
      <c r="BU75" s="102"/>
      <c r="BV75" s="10"/>
    </row>
    <row r="76" spans="1:74" s="8" customFormat="1" ht="16.5" customHeight="1" x14ac:dyDescent="0.3">
      <c r="A76" s="9"/>
      <c r="H76" s="61"/>
      <c r="I76" s="73">
        <v>1</v>
      </c>
      <c r="J76" s="468" t="s">
        <v>109</v>
      </c>
      <c r="K76" s="469"/>
      <c r="L76" s="470"/>
      <c r="N76" s="73">
        <v>1</v>
      </c>
      <c r="O76" s="468" t="s">
        <v>110</v>
      </c>
      <c r="P76" s="469"/>
      <c r="Q76" s="470"/>
      <c r="S76" s="73">
        <v>1</v>
      </c>
      <c r="T76" s="468" t="s">
        <v>67</v>
      </c>
      <c r="U76" s="469"/>
      <c r="V76" s="470"/>
      <c r="Y76" s="73">
        <v>2</v>
      </c>
      <c r="Z76" s="479"/>
      <c r="AA76" s="469"/>
      <c r="AB76" s="470"/>
      <c r="AD76" s="73">
        <v>1</v>
      </c>
      <c r="AE76" s="479"/>
      <c r="AF76" s="469"/>
      <c r="AG76" s="470"/>
      <c r="AI76" s="73">
        <v>1</v>
      </c>
      <c r="AJ76" s="479"/>
      <c r="AK76" s="469"/>
      <c r="AL76" s="470"/>
      <c r="AM76" s="62"/>
      <c r="AO76" s="99"/>
      <c r="AP76" s="74">
        <v>1</v>
      </c>
      <c r="AQ76" s="499" t="s">
        <v>111</v>
      </c>
      <c r="AR76" s="500"/>
      <c r="AS76" s="501"/>
      <c r="AU76" s="74">
        <v>1</v>
      </c>
      <c r="AV76" s="499" t="s">
        <v>112</v>
      </c>
      <c r="AW76" s="500"/>
      <c r="AX76" s="501"/>
      <c r="AY76" s="106"/>
      <c r="AZ76" s="94"/>
      <c r="BA76" s="74">
        <v>1</v>
      </c>
      <c r="BB76" s="499" t="s">
        <v>113</v>
      </c>
      <c r="BC76" s="500"/>
      <c r="BD76" s="501"/>
      <c r="BF76" s="95"/>
      <c r="BG76" s="74">
        <v>1</v>
      </c>
      <c r="BH76" s="471" t="s">
        <v>114</v>
      </c>
      <c r="BI76" s="469"/>
      <c r="BJ76" s="470"/>
      <c r="BL76" s="74">
        <v>1</v>
      </c>
      <c r="BM76" s="471" t="s">
        <v>115</v>
      </c>
      <c r="BN76" s="469"/>
      <c r="BO76" s="470"/>
      <c r="BQ76" s="74">
        <v>1</v>
      </c>
      <c r="BR76" s="530" t="s">
        <v>116</v>
      </c>
      <c r="BS76" s="531"/>
      <c r="BT76" s="532"/>
      <c r="BU76" s="104"/>
      <c r="BV76" s="10"/>
    </row>
    <row r="77" spans="1:74" s="8" customFormat="1" ht="16.5" customHeight="1" x14ac:dyDescent="0.25">
      <c r="A77" s="9"/>
      <c r="H77" s="61"/>
      <c r="Z77" s="45"/>
      <c r="AE77" s="45"/>
      <c r="AJ77" s="45"/>
      <c r="AM77" s="62"/>
      <c r="AO77" s="99"/>
      <c r="AY77" s="94"/>
      <c r="AZ77" s="94"/>
      <c r="BF77" s="95"/>
      <c r="BU77" s="100"/>
      <c r="BV77" s="10"/>
    </row>
    <row r="78" spans="1:74" s="8" customFormat="1" ht="16.5" customHeight="1" x14ac:dyDescent="0.3">
      <c r="A78" s="9"/>
      <c r="H78" s="61"/>
      <c r="I78" s="468" t="s">
        <v>117</v>
      </c>
      <c r="J78" s="469"/>
      <c r="K78" s="469"/>
      <c r="L78" s="470"/>
      <c r="N78" s="468" t="s">
        <v>117</v>
      </c>
      <c r="O78" s="469"/>
      <c r="P78" s="469"/>
      <c r="Q78" s="470"/>
      <c r="S78" s="468" t="s">
        <v>117</v>
      </c>
      <c r="T78" s="469"/>
      <c r="U78" s="469"/>
      <c r="V78" s="470"/>
      <c r="Y78" s="468" t="s">
        <v>118</v>
      </c>
      <c r="Z78" s="469"/>
      <c r="AA78" s="469"/>
      <c r="AB78" s="470"/>
      <c r="AD78" s="468" t="s">
        <v>118</v>
      </c>
      <c r="AE78" s="469"/>
      <c r="AF78" s="469"/>
      <c r="AG78" s="470"/>
      <c r="AI78" s="468" t="s">
        <v>118</v>
      </c>
      <c r="AJ78" s="469"/>
      <c r="AK78" s="469"/>
      <c r="AL78" s="470"/>
      <c r="AM78" s="62"/>
      <c r="AO78" s="99"/>
      <c r="AP78" s="471" t="s">
        <v>70</v>
      </c>
      <c r="AQ78" s="469"/>
      <c r="AR78" s="469"/>
      <c r="AS78" s="470"/>
      <c r="AU78" s="471" t="s">
        <v>70</v>
      </c>
      <c r="AV78" s="469"/>
      <c r="AW78" s="469"/>
      <c r="AX78" s="470"/>
      <c r="AY78" s="78"/>
      <c r="BA78" s="471" t="s">
        <v>70</v>
      </c>
      <c r="BB78" s="469"/>
      <c r="BC78" s="469"/>
      <c r="BD78" s="470"/>
      <c r="BF78" s="95"/>
      <c r="BG78" s="471" t="s">
        <v>70</v>
      </c>
      <c r="BH78" s="469"/>
      <c r="BI78" s="469"/>
      <c r="BJ78" s="470"/>
      <c r="BL78" s="471" t="s">
        <v>70</v>
      </c>
      <c r="BM78" s="469"/>
      <c r="BN78" s="469"/>
      <c r="BO78" s="470"/>
      <c r="BQ78" s="471" t="s">
        <v>70</v>
      </c>
      <c r="BR78" s="469"/>
      <c r="BS78" s="469"/>
      <c r="BT78" s="470"/>
      <c r="BU78" s="102"/>
      <c r="BV78" s="10"/>
    </row>
    <row r="79" spans="1:74" s="8" customFormat="1" ht="16.5" customHeight="1" x14ac:dyDescent="0.3">
      <c r="A79" s="9"/>
      <c r="H79" s="61"/>
      <c r="I79" s="73">
        <v>3</v>
      </c>
      <c r="J79" s="479"/>
      <c r="K79" s="469"/>
      <c r="L79" s="470"/>
      <c r="N79" s="73">
        <v>3</v>
      </c>
      <c r="O79" s="479"/>
      <c r="P79" s="469"/>
      <c r="Q79" s="470"/>
      <c r="S79" s="73">
        <v>3</v>
      </c>
      <c r="T79" s="479"/>
      <c r="U79" s="469"/>
      <c r="V79" s="470"/>
      <c r="Y79" s="73">
        <v>5</v>
      </c>
      <c r="Z79" s="479"/>
      <c r="AA79" s="469"/>
      <c r="AB79" s="470"/>
      <c r="AD79" s="73">
        <v>3</v>
      </c>
      <c r="AE79" s="479"/>
      <c r="AF79" s="469"/>
      <c r="AG79" s="470"/>
      <c r="AI79" s="73">
        <v>3</v>
      </c>
      <c r="AJ79" s="479"/>
      <c r="AK79" s="469"/>
      <c r="AL79" s="470"/>
      <c r="AM79" s="62"/>
      <c r="AO79" s="99"/>
      <c r="AP79" s="74">
        <v>1</v>
      </c>
      <c r="AQ79" s="520"/>
      <c r="AR79" s="469"/>
      <c r="AS79" s="470"/>
      <c r="AU79" s="74">
        <v>1</v>
      </c>
      <c r="AV79" s="520"/>
      <c r="AW79" s="469"/>
      <c r="AX79" s="470"/>
      <c r="AY79" s="78"/>
      <c r="BA79" s="74">
        <v>1</v>
      </c>
      <c r="BB79" s="520"/>
      <c r="BC79" s="469"/>
      <c r="BD79" s="470"/>
      <c r="BF79" s="95"/>
      <c r="BG79" s="74">
        <v>1</v>
      </c>
      <c r="BH79" s="471" t="s">
        <v>119</v>
      </c>
      <c r="BI79" s="469"/>
      <c r="BJ79" s="470"/>
      <c r="BL79" s="74">
        <v>1</v>
      </c>
      <c r="BM79" s="471" t="s">
        <v>120</v>
      </c>
      <c r="BN79" s="469"/>
      <c r="BO79" s="470"/>
      <c r="BQ79" s="74">
        <v>1</v>
      </c>
      <c r="BR79" s="471" t="s">
        <v>121</v>
      </c>
      <c r="BS79" s="469"/>
      <c r="BT79" s="470"/>
      <c r="BU79" s="102"/>
      <c r="BV79" s="10"/>
    </row>
    <row r="80" spans="1:74" s="8" customFormat="1" ht="16.5" customHeight="1" x14ac:dyDescent="0.25">
      <c r="A80" s="9"/>
      <c r="H80" s="61"/>
      <c r="Z80" s="56"/>
      <c r="AE80" s="56"/>
      <c r="AJ80" s="56"/>
      <c r="AM80" s="62"/>
      <c r="AO80" s="99"/>
      <c r="BF80" s="95"/>
      <c r="BO80" s="5"/>
      <c r="BU80" s="100"/>
      <c r="BV80" s="10"/>
    </row>
    <row r="81" spans="1:74" s="8" customFormat="1" ht="16.5" customHeight="1" x14ac:dyDescent="0.3">
      <c r="A81" s="9"/>
      <c r="H81" s="61"/>
      <c r="I81" s="468" t="s">
        <v>221</v>
      </c>
      <c r="J81" s="469"/>
      <c r="K81" s="469"/>
      <c r="L81" s="470"/>
      <c r="N81" s="468" t="s">
        <v>221</v>
      </c>
      <c r="O81" s="469"/>
      <c r="P81" s="469"/>
      <c r="Q81" s="470"/>
      <c r="S81" s="468" t="s">
        <v>221</v>
      </c>
      <c r="T81" s="469"/>
      <c r="U81" s="469"/>
      <c r="V81" s="470"/>
      <c r="Y81" s="468" t="s">
        <v>122</v>
      </c>
      <c r="Z81" s="469"/>
      <c r="AA81" s="469"/>
      <c r="AB81" s="470"/>
      <c r="AD81" s="468" t="s">
        <v>122</v>
      </c>
      <c r="AE81" s="469"/>
      <c r="AF81" s="469"/>
      <c r="AG81" s="470"/>
      <c r="AI81" s="468" t="s">
        <v>122</v>
      </c>
      <c r="AJ81" s="469"/>
      <c r="AK81" s="469"/>
      <c r="AL81" s="470"/>
      <c r="AM81" s="62"/>
      <c r="AO81" s="99"/>
      <c r="AQ81" s="105"/>
      <c r="AR81" s="105"/>
      <c r="AS81" s="105"/>
      <c r="AT81" s="94"/>
      <c r="AU81" s="480"/>
      <c r="AV81" s="481"/>
      <c r="AW81" s="481"/>
      <c r="AX81" s="481"/>
      <c r="AZ81" s="94"/>
      <c r="BA81" s="480"/>
      <c r="BB81" s="481"/>
      <c r="BC81" s="481"/>
      <c r="BD81" s="481"/>
      <c r="BF81" s="95"/>
      <c r="BO81" s="95"/>
      <c r="BU81" s="100"/>
      <c r="BV81" s="10"/>
    </row>
    <row r="82" spans="1:74" s="8" customFormat="1" ht="16.5" customHeight="1" x14ac:dyDescent="0.3">
      <c r="A82" s="9"/>
      <c r="H82" s="61"/>
      <c r="I82" s="73">
        <v>3</v>
      </c>
      <c r="J82" s="468" t="s">
        <v>123</v>
      </c>
      <c r="K82" s="469"/>
      <c r="L82" s="470"/>
      <c r="N82" s="73">
        <v>3</v>
      </c>
      <c r="O82" s="479"/>
      <c r="P82" s="469"/>
      <c r="Q82" s="470"/>
      <c r="S82" s="73">
        <v>3</v>
      </c>
      <c r="T82" s="479"/>
      <c r="U82" s="469"/>
      <c r="V82" s="470"/>
      <c r="Y82" s="73">
        <v>2</v>
      </c>
      <c r="Z82" s="479"/>
      <c r="AA82" s="469"/>
      <c r="AB82" s="470"/>
      <c r="AD82" s="73">
        <v>1</v>
      </c>
      <c r="AE82" s="479"/>
      <c r="AF82" s="469"/>
      <c r="AG82" s="470"/>
      <c r="AI82" s="73">
        <v>1</v>
      </c>
      <c r="AJ82" s="479"/>
      <c r="AK82" s="469"/>
      <c r="AL82" s="470"/>
      <c r="AM82" s="62"/>
      <c r="AO82" s="99"/>
      <c r="AQ82" s="498"/>
      <c r="AR82" s="481"/>
      <c r="AS82" s="481"/>
      <c r="AT82" s="94"/>
      <c r="AU82" s="107"/>
      <c r="AV82" s="498"/>
      <c r="AW82" s="481"/>
      <c r="AX82" s="481"/>
      <c r="AZ82" s="94"/>
      <c r="BA82" s="107"/>
      <c r="BB82" s="498"/>
      <c r="BC82" s="481"/>
      <c r="BD82" s="481"/>
      <c r="BF82" s="95"/>
      <c r="BO82" s="77"/>
      <c r="BU82" s="100"/>
      <c r="BV82" s="10"/>
    </row>
    <row r="83" spans="1:74" s="8" customFormat="1" ht="16.5" customHeight="1" x14ac:dyDescent="0.3">
      <c r="A83" s="9"/>
      <c r="H83" s="61"/>
      <c r="AM83" s="62"/>
      <c r="AO83" s="99"/>
      <c r="AP83" s="471" t="s">
        <v>124</v>
      </c>
      <c r="AQ83" s="469"/>
      <c r="AR83" s="469"/>
      <c r="AS83" s="469"/>
      <c r="AT83" s="469"/>
      <c r="AU83" s="469"/>
      <c r="AV83" s="469"/>
      <c r="AW83" s="469"/>
      <c r="AX83" s="469"/>
      <c r="AY83" s="469"/>
      <c r="AZ83" s="469"/>
      <c r="BA83" s="469"/>
      <c r="BB83" s="469"/>
      <c r="BC83" s="469"/>
      <c r="BD83" s="470"/>
      <c r="BF83" s="95"/>
      <c r="BK83" s="471" t="s">
        <v>125</v>
      </c>
      <c r="BL83" s="469"/>
      <c r="BM83" s="469"/>
      <c r="BN83" s="469"/>
      <c r="BO83" s="470"/>
      <c r="BU83" s="100"/>
      <c r="BV83" s="10"/>
    </row>
    <row r="84" spans="1:74" s="8" customFormat="1" ht="16.5" customHeight="1" x14ac:dyDescent="0.3">
      <c r="A84" s="9"/>
      <c r="H84" s="61"/>
      <c r="I84" s="468" t="s">
        <v>126</v>
      </c>
      <c r="J84" s="469"/>
      <c r="K84" s="469"/>
      <c r="L84" s="470"/>
      <c r="N84" s="468" t="s">
        <v>126</v>
      </c>
      <c r="O84" s="469"/>
      <c r="P84" s="469"/>
      <c r="Q84" s="470"/>
      <c r="S84" s="468" t="s">
        <v>126</v>
      </c>
      <c r="T84" s="469"/>
      <c r="U84" s="469"/>
      <c r="V84" s="470"/>
      <c r="Y84" s="76" t="s">
        <v>127</v>
      </c>
      <c r="Z84" s="76" t="s">
        <v>128</v>
      </c>
      <c r="AD84" s="493" t="s">
        <v>129</v>
      </c>
      <c r="AE84" s="469"/>
      <c r="AF84" s="469"/>
      <c r="AG84" s="470"/>
      <c r="AM84" s="62"/>
      <c r="AO84" s="99"/>
      <c r="AP84" s="74">
        <v>5</v>
      </c>
      <c r="AQ84" s="90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45"/>
      <c r="BF84" s="95"/>
      <c r="BK84" s="74">
        <v>1</v>
      </c>
      <c r="BL84" s="471" t="s">
        <v>130</v>
      </c>
      <c r="BM84" s="469"/>
      <c r="BN84" s="469"/>
      <c r="BO84" s="470"/>
      <c r="BU84" s="100"/>
      <c r="BV84" s="10"/>
    </row>
    <row r="85" spans="1:74" s="8" customFormat="1" ht="16.5" customHeight="1" x14ac:dyDescent="0.3">
      <c r="A85" s="9"/>
      <c r="H85" s="61"/>
      <c r="I85" s="73">
        <v>6</v>
      </c>
      <c r="J85" s="31"/>
      <c r="K85" s="66"/>
      <c r="L85" s="32"/>
      <c r="N85" s="73">
        <v>6</v>
      </c>
      <c r="O85" s="31"/>
      <c r="P85" s="66"/>
      <c r="Q85" s="32"/>
      <c r="S85" s="73">
        <v>6</v>
      </c>
      <c r="T85" s="31"/>
      <c r="U85" s="66"/>
      <c r="V85" s="32"/>
      <c r="Y85" s="76" t="s">
        <v>131</v>
      </c>
      <c r="Z85" s="76" t="s">
        <v>132</v>
      </c>
      <c r="AD85" s="73">
        <v>1</v>
      </c>
      <c r="AE85" s="479"/>
      <c r="AF85" s="469"/>
      <c r="AG85" s="470"/>
      <c r="AM85" s="62"/>
      <c r="AO85" s="99"/>
      <c r="AU85" s="544" t="s">
        <v>133</v>
      </c>
      <c r="AV85" s="487"/>
      <c r="AW85" s="487"/>
      <c r="AX85" s="488"/>
      <c r="AY85" s="78"/>
      <c r="BF85" s="95"/>
      <c r="BK85" s="518"/>
      <c r="BL85" s="469"/>
      <c r="BM85" s="469"/>
      <c r="BN85" s="469"/>
      <c r="BO85" s="470"/>
      <c r="BU85" s="100"/>
      <c r="BV85" s="10"/>
    </row>
    <row r="86" spans="1:74" s="8" customFormat="1" ht="16.5" customHeight="1" x14ac:dyDescent="0.3">
      <c r="A86" s="9"/>
      <c r="H86" s="61"/>
      <c r="AM86" s="62"/>
      <c r="AO86" s="99"/>
      <c r="AU86" s="74">
        <v>1</v>
      </c>
      <c r="AV86" s="471" t="s">
        <v>134</v>
      </c>
      <c r="AW86" s="469"/>
      <c r="AX86" s="470"/>
      <c r="AY86" s="78"/>
      <c r="BF86" s="95"/>
      <c r="BK86" s="517" t="s">
        <v>108</v>
      </c>
      <c r="BL86" s="469"/>
      <c r="BM86" s="469"/>
      <c r="BN86" s="469"/>
      <c r="BO86" s="470"/>
      <c r="BU86" s="100"/>
      <c r="BV86" s="10"/>
    </row>
    <row r="87" spans="1:74" s="8" customFormat="1" ht="16.5" customHeight="1" x14ac:dyDescent="0.3">
      <c r="A87" s="9"/>
      <c r="H87" s="61"/>
      <c r="I87" s="468" t="s">
        <v>135</v>
      </c>
      <c r="J87" s="469"/>
      <c r="K87" s="469"/>
      <c r="L87" s="470"/>
      <c r="N87" s="468" t="s">
        <v>135</v>
      </c>
      <c r="O87" s="469"/>
      <c r="P87" s="469"/>
      <c r="Q87" s="470"/>
      <c r="S87" s="468" t="s">
        <v>135</v>
      </c>
      <c r="T87" s="469"/>
      <c r="U87" s="469"/>
      <c r="V87" s="470"/>
      <c r="Y87" s="468" t="s">
        <v>136</v>
      </c>
      <c r="Z87" s="469"/>
      <c r="AA87" s="469"/>
      <c r="AB87" s="470"/>
      <c r="AD87" s="468" t="s">
        <v>137</v>
      </c>
      <c r="AE87" s="469"/>
      <c r="AF87" s="469"/>
      <c r="AG87" s="470"/>
      <c r="AI87" s="468" t="s">
        <v>137</v>
      </c>
      <c r="AJ87" s="469"/>
      <c r="AK87" s="469"/>
      <c r="AL87" s="470"/>
      <c r="AM87" s="62"/>
      <c r="AO87" s="99"/>
      <c r="AS87" s="27"/>
      <c r="AT87" s="27"/>
      <c r="AU87" s="27"/>
      <c r="AV87" s="27"/>
      <c r="AW87" s="45"/>
      <c r="AX87" s="27"/>
      <c r="AY87" s="27"/>
      <c r="AZ87" s="27"/>
      <c r="BA87" s="27"/>
      <c r="BB87" s="27"/>
      <c r="BC87" s="27"/>
      <c r="BF87" s="95"/>
      <c r="BK87" s="74">
        <v>1</v>
      </c>
      <c r="BL87" s="471" t="s">
        <v>138</v>
      </c>
      <c r="BM87" s="469"/>
      <c r="BN87" s="469"/>
      <c r="BO87" s="470"/>
      <c r="BU87" s="100"/>
      <c r="BV87" s="10"/>
    </row>
    <row r="88" spans="1:74" s="8" customFormat="1" ht="16.5" customHeight="1" x14ac:dyDescent="0.3">
      <c r="A88" s="9"/>
      <c r="H88" s="61"/>
      <c r="I88" s="73">
        <v>3</v>
      </c>
      <c r="J88" s="468" t="s">
        <v>139</v>
      </c>
      <c r="K88" s="469"/>
      <c r="L88" s="470"/>
      <c r="N88" s="73">
        <v>1</v>
      </c>
      <c r="O88" s="479"/>
      <c r="P88" s="469"/>
      <c r="Q88" s="470"/>
      <c r="S88" s="73">
        <v>1</v>
      </c>
      <c r="T88" s="479"/>
      <c r="U88" s="469"/>
      <c r="V88" s="470"/>
      <c r="Y88" s="73">
        <v>1</v>
      </c>
      <c r="Z88" s="489"/>
      <c r="AA88" s="469"/>
      <c r="AB88" s="470"/>
      <c r="AD88" s="73">
        <v>1</v>
      </c>
      <c r="AE88" s="468" t="s">
        <v>140</v>
      </c>
      <c r="AF88" s="469"/>
      <c r="AG88" s="470"/>
      <c r="AI88" s="73">
        <v>1</v>
      </c>
      <c r="AJ88" s="468" t="s">
        <v>141</v>
      </c>
      <c r="AK88" s="469"/>
      <c r="AL88" s="470"/>
      <c r="AM88" s="62"/>
      <c r="AO88" s="99"/>
      <c r="AS88" s="90"/>
      <c r="AW88" s="28"/>
      <c r="AZ88" s="5"/>
      <c r="BD88" s="77"/>
      <c r="BF88" s="95"/>
      <c r="BK88" s="471" t="s">
        <v>142</v>
      </c>
      <c r="BL88" s="559"/>
      <c r="BM88" s="559"/>
      <c r="BN88" s="559"/>
      <c r="BO88" s="560"/>
      <c r="BU88" s="100"/>
      <c r="BV88" s="10"/>
    </row>
    <row r="89" spans="1:74" s="78" customFormat="1" ht="21.6" customHeight="1" x14ac:dyDescent="0.3">
      <c r="A89" s="80"/>
      <c r="H89" s="81"/>
      <c r="AM89" s="82"/>
      <c r="AO89" s="108"/>
      <c r="AP89" s="535" t="s">
        <v>143</v>
      </c>
      <c r="AQ89" s="469"/>
      <c r="AR89" s="469"/>
      <c r="AS89" s="470"/>
      <c r="AU89" s="535" t="s">
        <v>144</v>
      </c>
      <c r="AV89" s="469"/>
      <c r="AW89" s="469"/>
      <c r="AX89" s="470"/>
      <c r="AZ89" s="109"/>
      <c r="BA89" s="535" t="s">
        <v>143</v>
      </c>
      <c r="BB89" s="469"/>
      <c r="BC89" s="469"/>
      <c r="BD89" s="470"/>
      <c r="BF89" s="109"/>
      <c r="BK89" s="471">
        <v>3</v>
      </c>
      <c r="BL89" s="471" t="s">
        <v>218</v>
      </c>
      <c r="BM89" s="568"/>
      <c r="BN89" s="568"/>
      <c r="BO89" s="569"/>
      <c r="BU89" s="102"/>
      <c r="BV89" s="75"/>
    </row>
    <row r="90" spans="1:74" s="8" customFormat="1" ht="16.5" customHeight="1" x14ac:dyDescent="0.3">
      <c r="A90" s="9"/>
      <c r="H90" s="61"/>
      <c r="I90" s="468" t="s">
        <v>145</v>
      </c>
      <c r="J90" s="469"/>
      <c r="K90" s="469"/>
      <c r="L90" s="470"/>
      <c r="N90" s="468" t="s">
        <v>145</v>
      </c>
      <c r="O90" s="469"/>
      <c r="P90" s="469"/>
      <c r="Q90" s="470"/>
      <c r="S90" s="468" t="s">
        <v>145</v>
      </c>
      <c r="T90" s="469"/>
      <c r="U90" s="469"/>
      <c r="V90" s="470"/>
      <c r="Y90" s="468" t="s">
        <v>146</v>
      </c>
      <c r="Z90" s="469"/>
      <c r="AA90" s="469"/>
      <c r="AB90" s="470"/>
      <c r="AD90" s="468" t="s">
        <v>147</v>
      </c>
      <c r="AE90" s="469"/>
      <c r="AF90" s="469"/>
      <c r="AG90" s="470"/>
      <c r="AI90" s="468" t="s">
        <v>147</v>
      </c>
      <c r="AJ90" s="469"/>
      <c r="AK90" s="469"/>
      <c r="AL90" s="470"/>
      <c r="AM90" s="62"/>
      <c r="AO90" s="99"/>
      <c r="AP90" s="74">
        <v>1</v>
      </c>
      <c r="AQ90" s="499" t="s">
        <v>148</v>
      </c>
      <c r="AR90" s="500"/>
      <c r="AS90" s="501"/>
      <c r="AU90" s="74">
        <v>1</v>
      </c>
      <c r="AV90" s="471" t="s">
        <v>149</v>
      </c>
      <c r="AW90" s="469"/>
      <c r="AX90" s="470"/>
      <c r="AY90" s="78"/>
      <c r="AZ90" s="95"/>
      <c r="BA90" s="74">
        <v>1</v>
      </c>
      <c r="BB90" s="471" t="s">
        <v>150</v>
      </c>
      <c r="BC90" s="469"/>
      <c r="BD90" s="470"/>
      <c r="BF90" s="95"/>
      <c r="BK90" s="533"/>
      <c r="BL90" s="471" t="s">
        <v>151</v>
      </c>
      <c r="BM90" s="469"/>
      <c r="BN90" s="469"/>
      <c r="BO90" s="470"/>
      <c r="BU90" s="100"/>
      <c r="BV90" s="10"/>
    </row>
    <row r="91" spans="1:74" s="8" customFormat="1" ht="16.5" customHeight="1" x14ac:dyDescent="0.3">
      <c r="A91" s="9"/>
      <c r="H91" s="61"/>
      <c r="I91" s="73">
        <v>3</v>
      </c>
      <c r="J91" s="479"/>
      <c r="K91" s="469"/>
      <c r="L91" s="470"/>
      <c r="N91" s="73">
        <v>1</v>
      </c>
      <c r="O91" s="479"/>
      <c r="P91" s="469"/>
      <c r="Q91" s="470"/>
      <c r="S91" s="73">
        <v>1</v>
      </c>
      <c r="T91" s="479"/>
      <c r="U91" s="469"/>
      <c r="V91" s="470"/>
      <c r="Y91" s="73">
        <v>2</v>
      </c>
      <c r="Z91" s="479"/>
      <c r="AA91" s="469"/>
      <c r="AB91" s="470"/>
      <c r="AD91" s="73">
        <v>3</v>
      </c>
      <c r="AE91" s="479"/>
      <c r="AF91" s="469"/>
      <c r="AG91" s="470"/>
      <c r="AI91" s="73">
        <v>3</v>
      </c>
      <c r="AJ91" s="479"/>
      <c r="AK91" s="469"/>
      <c r="AL91" s="470"/>
      <c r="AN91" s="61"/>
      <c r="AO91" s="99"/>
      <c r="AQ91" s="94"/>
      <c r="AR91" s="94"/>
      <c r="AS91" s="94"/>
      <c r="AX91" s="5"/>
      <c r="AZ91" s="95"/>
      <c r="BA91" s="94"/>
      <c r="BB91" s="94"/>
      <c r="BC91" s="94"/>
      <c r="BD91" s="94"/>
      <c r="BF91" s="95"/>
      <c r="BK91" s="534"/>
      <c r="BL91" s="471" t="s">
        <v>219</v>
      </c>
      <c r="BM91" s="469"/>
      <c r="BN91" s="469"/>
      <c r="BO91" s="470"/>
      <c r="BU91" s="100"/>
      <c r="BV91" s="10"/>
    </row>
    <row r="92" spans="1:74" s="8" customFormat="1" ht="16.5" customHeight="1" x14ac:dyDescent="0.3">
      <c r="A92" s="9"/>
      <c r="H92" s="61"/>
      <c r="AM92" s="62"/>
      <c r="AO92" s="99"/>
      <c r="AQ92" s="105"/>
      <c r="AR92" s="105"/>
      <c r="AS92" s="105"/>
      <c r="AU92" s="471" t="s">
        <v>144</v>
      </c>
      <c r="AV92" s="469"/>
      <c r="AW92" s="469"/>
      <c r="AX92" s="470"/>
      <c r="AY92" s="78"/>
      <c r="AZ92" s="95"/>
      <c r="BA92" s="480"/>
      <c r="BB92" s="481"/>
      <c r="BC92" s="481"/>
      <c r="BD92" s="481"/>
      <c r="BF92" s="95"/>
      <c r="BU92" s="100"/>
      <c r="BV92" s="10"/>
    </row>
    <row r="93" spans="1:74" s="8" customFormat="1" ht="16.5" customHeight="1" x14ac:dyDescent="0.3">
      <c r="A93" s="9"/>
      <c r="H93" s="61"/>
      <c r="Y93" s="468" t="s">
        <v>152</v>
      </c>
      <c r="Z93" s="469"/>
      <c r="AA93" s="469"/>
      <c r="AB93" s="470"/>
      <c r="AD93" s="468" t="s">
        <v>153</v>
      </c>
      <c r="AE93" s="469"/>
      <c r="AF93" s="469"/>
      <c r="AG93" s="470"/>
      <c r="AI93" s="468" t="s">
        <v>153</v>
      </c>
      <c r="AJ93" s="469"/>
      <c r="AK93" s="469"/>
      <c r="AL93" s="470"/>
      <c r="AM93" s="62"/>
      <c r="AO93" s="99"/>
      <c r="AQ93" s="498"/>
      <c r="AR93" s="481"/>
      <c r="AS93" s="481"/>
      <c r="AU93" s="74">
        <v>1</v>
      </c>
      <c r="AV93" s="471" t="s">
        <v>154</v>
      </c>
      <c r="AW93" s="469"/>
      <c r="AX93" s="470"/>
      <c r="AY93" s="78"/>
      <c r="AZ93" s="95"/>
      <c r="BA93" s="107"/>
      <c r="BB93" s="498"/>
      <c r="BC93" s="481"/>
      <c r="BD93" s="481"/>
      <c r="BF93" s="95"/>
      <c r="BU93" s="100"/>
      <c r="BV93" s="10"/>
    </row>
    <row r="94" spans="1:74" s="8" customFormat="1" ht="16.5" customHeight="1" x14ac:dyDescent="0.3">
      <c r="A94" s="9"/>
      <c r="H94" s="61"/>
      <c r="Y94" s="73">
        <v>2</v>
      </c>
      <c r="Z94" s="479"/>
      <c r="AA94" s="469"/>
      <c r="AB94" s="470"/>
      <c r="AD94" s="73">
        <v>1</v>
      </c>
      <c r="AE94" s="479"/>
      <c r="AF94" s="469"/>
      <c r="AG94" s="470"/>
      <c r="AI94" s="73">
        <v>1</v>
      </c>
      <c r="AJ94" s="479"/>
      <c r="AK94" s="469"/>
      <c r="AL94" s="470"/>
      <c r="AM94" s="62"/>
      <c r="AO94" s="99"/>
      <c r="AZ94" s="95"/>
      <c r="BF94" s="95"/>
      <c r="BU94" s="100"/>
      <c r="BV94" s="10"/>
    </row>
    <row r="95" spans="1:74" s="8" customFormat="1" ht="7.8" customHeight="1" x14ac:dyDescent="0.25">
      <c r="A95" s="9"/>
      <c r="H95" s="61"/>
      <c r="AM95" s="62"/>
      <c r="AO95" s="99"/>
      <c r="AX95" s="27"/>
      <c r="AY95" s="28"/>
      <c r="AZ95" s="95"/>
      <c r="BF95" s="95"/>
      <c r="BU95" s="100"/>
      <c r="BV95" s="10"/>
    </row>
    <row r="96" spans="1:74" s="8" customFormat="1" ht="16.5" customHeight="1" x14ac:dyDescent="0.25">
      <c r="A96" s="9"/>
      <c r="H96" s="61"/>
      <c r="AM96" s="62"/>
      <c r="AO96" s="99"/>
      <c r="AX96" s="90"/>
      <c r="BF96" s="95"/>
      <c r="BU96" s="100"/>
      <c r="BV96" s="10"/>
    </row>
    <row r="97" spans="1:74" s="8" customFormat="1" ht="16.5" customHeight="1" x14ac:dyDescent="0.3">
      <c r="A97" s="9"/>
      <c r="H97" s="61"/>
      <c r="AM97" s="62"/>
      <c r="AO97" s="99"/>
      <c r="AU97" s="471" t="s">
        <v>155</v>
      </c>
      <c r="AV97" s="469"/>
      <c r="AW97" s="469"/>
      <c r="AX97" s="470"/>
      <c r="AY97" s="78"/>
      <c r="BF97" s="95"/>
      <c r="BU97" s="100"/>
      <c r="BV97" s="10"/>
    </row>
    <row r="98" spans="1:74" s="8" customFormat="1" ht="16.5" customHeight="1" x14ac:dyDescent="0.3">
      <c r="A98" s="9"/>
      <c r="H98" s="61"/>
      <c r="AM98" s="62"/>
      <c r="AO98" s="99"/>
      <c r="AU98" s="74">
        <v>1</v>
      </c>
      <c r="AV98" s="471" t="s">
        <v>156</v>
      </c>
      <c r="AW98" s="469"/>
      <c r="AX98" s="470"/>
      <c r="AY98" s="78"/>
      <c r="BF98" s="6"/>
      <c r="BG98" s="101"/>
      <c r="BU98" s="100"/>
      <c r="BV98" s="10"/>
    </row>
    <row r="99" spans="1:74" s="8" customFormat="1" ht="15.75" customHeight="1" x14ac:dyDescent="0.25">
      <c r="A99" s="9"/>
      <c r="H99" s="61"/>
      <c r="U99" s="506"/>
      <c r="V99" s="481"/>
      <c r="W99" s="481"/>
      <c r="X99" s="481"/>
      <c r="Y99" s="481"/>
      <c r="Z99" s="481"/>
      <c r="AA99" s="481"/>
      <c r="AM99" s="62"/>
      <c r="AO99" s="99"/>
      <c r="AU99" s="95"/>
      <c r="AV99" s="555"/>
      <c r="AW99" s="555"/>
      <c r="AX99" s="528"/>
      <c r="AY99" s="29"/>
      <c r="BG99" s="10"/>
      <c r="BU99" s="100"/>
      <c r="BV99" s="10"/>
    </row>
    <row r="100" spans="1:74" s="8" customFormat="1" x14ac:dyDescent="0.3">
      <c r="A100" s="9"/>
      <c r="H100" s="61"/>
      <c r="V100" s="482"/>
      <c r="W100" s="481"/>
      <c r="X100" s="481"/>
      <c r="Y100" s="481"/>
      <c r="Z100" s="481"/>
      <c r="AA100" s="481"/>
      <c r="AM100" s="62"/>
      <c r="AO100" s="99"/>
      <c r="AU100" s="471" t="s">
        <v>72</v>
      </c>
      <c r="AV100" s="469"/>
      <c r="AW100" s="469"/>
      <c r="AX100" s="470"/>
      <c r="AY100" s="78"/>
      <c r="BD100" s="27"/>
      <c r="BE100" s="27"/>
      <c r="BF100" s="27"/>
      <c r="BG100" s="28"/>
      <c r="BH100" s="27"/>
      <c r="BI100" s="27"/>
      <c r="BJ100" s="27"/>
      <c r="BK100" s="27"/>
      <c r="BU100" s="100"/>
      <c r="BV100" s="10"/>
    </row>
    <row r="101" spans="1:74" s="8" customFormat="1" x14ac:dyDescent="0.25">
      <c r="A101" s="9"/>
      <c r="H101" s="61"/>
      <c r="AM101" s="62"/>
      <c r="AO101" s="99"/>
      <c r="AU101" s="74">
        <v>5</v>
      </c>
      <c r="AV101" s="110"/>
      <c r="AW101" s="67"/>
      <c r="AX101" s="68"/>
      <c r="AY101" s="107"/>
      <c r="BD101" s="90"/>
      <c r="BL101" s="77"/>
      <c r="BU101" s="100"/>
      <c r="BV101" s="10"/>
    </row>
    <row r="102" spans="1:74" s="8" customFormat="1" x14ac:dyDescent="0.3">
      <c r="A102" s="9"/>
      <c r="H102" s="61"/>
      <c r="AM102" s="62"/>
      <c r="AO102" s="99"/>
      <c r="AU102" s="471" t="s">
        <v>157</v>
      </c>
      <c r="AV102" s="469"/>
      <c r="AW102" s="469"/>
      <c r="AX102" s="470"/>
      <c r="AY102" s="78"/>
      <c r="BB102" s="471" t="s">
        <v>158</v>
      </c>
      <c r="BC102" s="469"/>
      <c r="BD102" s="469"/>
      <c r="BE102" s="470"/>
      <c r="BJ102" s="471" t="s">
        <v>159</v>
      </c>
      <c r="BK102" s="469"/>
      <c r="BL102" s="469"/>
      <c r="BM102" s="470"/>
      <c r="BU102" s="100"/>
      <c r="BV102" s="10"/>
    </row>
    <row r="103" spans="1:74" s="8" customFormat="1" x14ac:dyDescent="0.3">
      <c r="A103" s="9"/>
      <c r="H103" s="61"/>
      <c r="V103" s="506"/>
      <c r="W103" s="481"/>
      <c r="X103" s="481"/>
      <c r="Y103" s="481"/>
      <c r="AM103" s="62"/>
      <c r="AO103" s="99"/>
      <c r="AU103" s="471" t="s">
        <v>160</v>
      </c>
      <c r="AV103" s="469"/>
      <c r="AW103" s="469"/>
      <c r="AX103" s="470"/>
      <c r="AY103" s="78"/>
      <c r="BB103" s="74">
        <v>1</v>
      </c>
      <c r="BC103" s="471" t="s">
        <v>161</v>
      </c>
      <c r="BD103" s="469"/>
      <c r="BE103" s="470"/>
      <c r="BJ103" s="74">
        <v>2</v>
      </c>
      <c r="BK103" s="471" t="s">
        <v>162</v>
      </c>
      <c r="BL103" s="469"/>
      <c r="BM103" s="470"/>
      <c r="BU103" s="100"/>
      <c r="BV103" s="10"/>
    </row>
    <row r="104" spans="1:74" s="8" customFormat="1" x14ac:dyDescent="0.3">
      <c r="A104" s="9"/>
      <c r="H104" s="61"/>
      <c r="V104" s="29"/>
      <c r="W104" s="482"/>
      <c r="X104" s="481"/>
      <c r="Y104" s="481"/>
      <c r="AM104" s="62"/>
      <c r="AO104" s="99"/>
      <c r="AU104" s="471" t="s">
        <v>163</v>
      </c>
      <c r="AV104" s="469"/>
      <c r="AW104" s="469"/>
      <c r="AX104" s="470"/>
      <c r="AY104" s="78"/>
      <c r="BB104" s="518"/>
      <c r="BC104" s="469"/>
      <c r="BD104" s="469"/>
      <c r="BE104" s="470"/>
      <c r="BJ104" s="519"/>
      <c r="BK104" s="477"/>
      <c r="BL104" s="477"/>
      <c r="BM104" s="478"/>
      <c r="BU104" s="100"/>
      <c r="BV104" s="10"/>
    </row>
    <row r="105" spans="1:74" s="8" customFormat="1" x14ac:dyDescent="0.3">
      <c r="A105" s="9"/>
      <c r="H105" s="61"/>
      <c r="AM105" s="62"/>
      <c r="AO105" s="99"/>
      <c r="AU105" s="471" t="s">
        <v>164</v>
      </c>
      <c r="AV105" s="469"/>
      <c r="AW105" s="469"/>
      <c r="AX105" s="470"/>
      <c r="AY105" s="78"/>
      <c r="BB105" s="471" t="s">
        <v>165</v>
      </c>
      <c r="BC105" s="469"/>
      <c r="BD105" s="469"/>
      <c r="BE105" s="470"/>
      <c r="BJ105" s="570"/>
      <c r="BK105" s="477"/>
      <c r="BL105" s="477"/>
      <c r="BM105" s="477"/>
      <c r="BU105" s="100"/>
      <c r="BV105" s="10"/>
    </row>
    <row r="106" spans="1:74" s="8" customFormat="1" x14ac:dyDescent="0.3">
      <c r="A106" s="9"/>
      <c r="H106" s="61"/>
      <c r="AM106" s="62"/>
      <c r="AO106" s="99"/>
      <c r="AU106" s="471" t="s">
        <v>166</v>
      </c>
      <c r="AV106" s="469"/>
      <c r="AW106" s="469"/>
      <c r="AX106" s="470"/>
      <c r="AY106" s="78"/>
      <c r="BB106" s="74">
        <v>2</v>
      </c>
      <c r="BC106" s="520"/>
      <c r="BD106" s="469"/>
      <c r="BE106" s="470"/>
      <c r="BJ106" s="29"/>
      <c r="BK106" s="482"/>
      <c r="BL106" s="481"/>
      <c r="BM106" s="481"/>
      <c r="BU106" s="100"/>
      <c r="BV106" s="10"/>
    </row>
    <row r="107" spans="1:74" s="8" customFormat="1" x14ac:dyDescent="0.25">
      <c r="A107" s="9"/>
      <c r="H107" s="61"/>
      <c r="S107" s="506"/>
      <c r="T107" s="481"/>
      <c r="U107" s="481"/>
      <c r="V107" s="481"/>
      <c r="Y107" s="506"/>
      <c r="Z107" s="481"/>
      <c r="AA107" s="481"/>
      <c r="AB107" s="481"/>
      <c r="AM107" s="62"/>
      <c r="AO107" s="99"/>
      <c r="AU107" s="94"/>
      <c r="AV107" s="94"/>
      <c r="AW107" s="94"/>
      <c r="AX107" s="94"/>
      <c r="AY107" s="107"/>
      <c r="BU107" s="100"/>
      <c r="BV107" s="10"/>
    </row>
    <row r="108" spans="1:74" s="8" customFormat="1" x14ac:dyDescent="0.25">
      <c r="A108" s="9"/>
      <c r="H108" s="61"/>
      <c r="S108" s="29"/>
      <c r="T108" s="29"/>
      <c r="U108" s="29"/>
      <c r="V108" s="29"/>
      <c r="Y108" s="29"/>
      <c r="Z108" s="29"/>
      <c r="AA108" s="29"/>
      <c r="AB108" s="29"/>
      <c r="AM108" s="62"/>
      <c r="AO108" s="99"/>
      <c r="AU108" s="480"/>
      <c r="AV108" s="481"/>
      <c r="AW108" s="481"/>
      <c r="AX108" s="481"/>
      <c r="BU108" s="100"/>
      <c r="BV108" s="10"/>
    </row>
    <row r="109" spans="1:74" s="8" customFormat="1" ht="16.2" customHeight="1" thickBot="1" x14ac:dyDescent="0.3">
      <c r="A109" s="9"/>
      <c r="H109" s="70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2"/>
      <c r="AO109" s="111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112"/>
      <c r="BV109" s="10"/>
    </row>
    <row r="110" spans="1:74" s="8" customFormat="1" ht="16.2" customHeight="1" thickTop="1" x14ac:dyDescent="0.25">
      <c r="A110" s="9"/>
      <c r="BV110" s="10"/>
    </row>
    <row r="111" spans="1:74" s="8" customFormat="1" ht="16.5" customHeight="1" x14ac:dyDescent="0.25">
      <c r="A111" s="33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8"/>
    </row>
    <row r="112" spans="1:74" s="8" customFormat="1" x14ac:dyDescent="0.25"/>
    <row r="113" spans="35:43" s="8" customFormat="1" x14ac:dyDescent="0.25"/>
    <row r="114" spans="35:43" s="8" customFormat="1" x14ac:dyDescent="0.25"/>
    <row r="115" spans="35:43" s="8" customFormat="1" x14ac:dyDescent="0.25"/>
    <row r="116" spans="35:43" s="8" customFormat="1" x14ac:dyDescent="0.25"/>
    <row r="117" spans="35:43" s="8" customFormat="1" x14ac:dyDescent="0.25"/>
    <row r="118" spans="35:43" s="8" customFormat="1" x14ac:dyDescent="0.25"/>
    <row r="119" spans="35:43" s="8" customFormat="1" x14ac:dyDescent="0.25"/>
    <row r="120" spans="35:43" s="8" customFormat="1" x14ac:dyDescent="0.25"/>
    <row r="121" spans="35:43" s="8" customFormat="1" x14ac:dyDescent="0.25"/>
    <row r="122" spans="35:43" s="8" customFormat="1" x14ac:dyDescent="0.25"/>
    <row r="123" spans="35:43" s="8" customFormat="1" x14ac:dyDescent="0.25"/>
    <row r="124" spans="35:43" s="8" customFormat="1" x14ac:dyDescent="0.25">
      <c r="AI124" s="506"/>
      <c r="AJ124" s="481"/>
      <c r="AK124" s="481"/>
      <c r="AL124" s="481"/>
      <c r="AN124" s="506"/>
      <c r="AO124" s="481"/>
      <c r="AP124" s="481"/>
      <c r="AQ124" s="481"/>
    </row>
    <row r="125" spans="35:43" s="8" customFormat="1" x14ac:dyDescent="0.25">
      <c r="AI125" s="29"/>
      <c r="AJ125" s="482"/>
      <c r="AK125" s="481"/>
      <c r="AL125" s="481"/>
      <c r="AN125" s="29"/>
      <c r="AO125" s="482"/>
      <c r="AP125" s="481"/>
      <c r="AQ125" s="481"/>
    </row>
    <row r="126" spans="35:43" s="8" customFormat="1" x14ac:dyDescent="0.25">
      <c r="AI126" s="43"/>
      <c r="AJ126" s="43"/>
      <c r="AK126" s="43"/>
      <c r="AL126" s="43"/>
      <c r="AN126" s="43"/>
      <c r="AO126" s="43"/>
      <c r="AP126" s="43"/>
      <c r="AQ126" s="43"/>
    </row>
    <row r="127" spans="35:43" s="8" customFormat="1" x14ac:dyDescent="0.25">
      <c r="AI127" s="506"/>
      <c r="AJ127" s="481"/>
      <c r="AK127" s="481"/>
      <c r="AL127" s="481"/>
      <c r="AN127" s="506"/>
      <c r="AO127" s="481"/>
      <c r="AP127" s="481"/>
      <c r="AQ127" s="481"/>
    </row>
    <row r="128" spans="35:43" s="8" customFormat="1" x14ac:dyDescent="0.25">
      <c r="AI128" s="482"/>
      <c r="AJ128" s="482"/>
      <c r="AK128" s="481"/>
      <c r="AL128" s="481"/>
      <c r="AN128" s="482"/>
      <c r="AO128" s="482"/>
      <c r="AP128" s="481"/>
      <c r="AQ128" s="481"/>
    </row>
    <row r="129" spans="35:43" s="8" customFormat="1" x14ac:dyDescent="0.25">
      <c r="AI129" s="481"/>
      <c r="AJ129" s="482"/>
      <c r="AK129" s="481"/>
      <c r="AL129" s="481"/>
      <c r="AN129" s="481"/>
      <c r="AO129" s="482"/>
      <c r="AP129" s="481"/>
      <c r="AQ129" s="481"/>
    </row>
    <row r="130" spans="35:43" s="8" customFormat="1" x14ac:dyDescent="0.25">
      <c r="AI130" s="481"/>
      <c r="AJ130" s="482"/>
      <c r="AK130" s="481"/>
      <c r="AL130" s="481"/>
      <c r="AN130" s="481"/>
      <c r="AO130" s="482"/>
      <c r="AP130" s="481"/>
      <c r="AQ130" s="481"/>
    </row>
    <row r="131" spans="35:43" s="8" customFormat="1" x14ac:dyDescent="0.25"/>
    <row r="132" spans="35:43" s="8" customFormat="1" x14ac:dyDescent="0.25">
      <c r="AI132" s="506"/>
      <c r="AJ132" s="481"/>
      <c r="AK132" s="481"/>
      <c r="AL132" s="481"/>
      <c r="AN132" s="506"/>
      <c r="AO132" s="481"/>
      <c r="AP132" s="481"/>
      <c r="AQ132" s="481"/>
    </row>
    <row r="133" spans="35:43" s="8" customFormat="1" x14ac:dyDescent="0.25">
      <c r="AI133" s="482"/>
      <c r="AN133" s="29"/>
      <c r="AO133" s="482"/>
      <c r="AP133" s="481"/>
      <c r="AQ133" s="481"/>
    </row>
    <row r="134" spans="35:43" s="8" customFormat="1" x14ac:dyDescent="0.25">
      <c r="AI134" s="481"/>
      <c r="AN134" s="29"/>
      <c r="AO134" s="482"/>
      <c r="AP134" s="481"/>
      <c r="AQ134" s="481"/>
    </row>
    <row r="135" spans="35:43" s="8" customFormat="1" x14ac:dyDescent="0.25">
      <c r="AI135" s="481"/>
      <c r="AN135" s="29"/>
      <c r="AO135" s="482"/>
      <c r="AP135" s="481"/>
      <c r="AQ135" s="481"/>
    </row>
    <row r="136" spans="35:43" s="8" customFormat="1" x14ac:dyDescent="0.25">
      <c r="AI136" s="29"/>
      <c r="AN136" s="29"/>
      <c r="AO136" s="482"/>
      <c r="AP136" s="481"/>
      <c r="AQ136" s="481"/>
    </row>
    <row r="137" spans="35:43" s="8" customFormat="1" x14ac:dyDescent="0.25">
      <c r="AI137" s="29"/>
      <c r="AN137" s="29"/>
      <c r="AO137" s="482"/>
      <c r="AP137" s="481"/>
      <c r="AQ137" s="481"/>
    </row>
    <row r="138" spans="35:43" x14ac:dyDescent="0.25">
      <c r="AI138" s="496"/>
      <c r="AJ138" s="472"/>
      <c r="AK138" s="472"/>
      <c r="AL138" s="472"/>
      <c r="AN138" s="1"/>
      <c r="AO138" s="496"/>
      <c r="AP138" s="472"/>
      <c r="AQ138" s="472"/>
    </row>
    <row r="139" spans="35:43" x14ac:dyDescent="0.25">
      <c r="AI139" s="472"/>
      <c r="AJ139" s="472"/>
      <c r="AK139" s="472"/>
      <c r="AL139" s="472"/>
      <c r="AN139" s="1"/>
      <c r="AO139" s="496"/>
      <c r="AP139" s="472"/>
      <c r="AQ139" s="472"/>
    </row>
    <row r="140" spans="35:43" x14ac:dyDescent="0.25">
      <c r="AI140" s="1"/>
      <c r="AJ140" s="496"/>
      <c r="AK140" s="472"/>
      <c r="AL140" s="472"/>
      <c r="AN140" s="1"/>
      <c r="AO140" s="496"/>
      <c r="AP140" s="472"/>
      <c r="AQ140" s="472"/>
    </row>
    <row r="141" spans="35:43" x14ac:dyDescent="0.25">
      <c r="AI141" s="1"/>
      <c r="AJ141" s="1"/>
      <c r="AK141" s="1"/>
      <c r="AL141" s="1"/>
      <c r="AN141" s="1"/>
      <c r="AO141" s="496"/>
      <c r="AP141" s="472"/>
      <c r="AQ141" s="472"/>
    </row>
    <row r="143" spans="35:43" x14ac:dyDescent="0.25">
      <c r="AI143" s="403"/>
      <c r="AJ143" s="472"/>
      <c r="AK143" s="472"/>
      <c r="AL143" s="472"/>
      <c r="AN143" s="403"/>
      <c r="AO143" s="472"/>
      <c r="AP143" s="472"/>
      <c r="AQ143" s="472"/>
    </row>
    <row r="144" spans="35:43" x14ac:dyDescent="0.25">
      <c r="AI144" s="1"/>
      <c r="AJ144" s="1"/>
      <c r="AK144" s="1"/>
      <c r="AL144" s="1"/>
      <c r="AN144" s="1"/>
      <c r="AO144" s="496"/>
      <c r="AP144" s="472"/>
      <c r="AQ144" s="472"/>
    </row>
    <row r="145" spans="35:43" x14ac:dyDescent="0.25">
      <c r="AN145" s="1"/>
      <c r="AO145" s="496"/>
      <c r="AP145" s="472"/>
      <c r="AQ145" s="472"/>
    </row>
    <row r="146" spans="35:43" x14ac:dyDescent="0.25">
      <c r="AI146" s="403"/>
      <c r="AJ146" s="472"/>
      <c r="AK146" s="472"/>
      <c r="AL146" s="472"/>
      <c r="AN146" s="1"/>
      <c r="AO146" s="496"/>
      <c r="AP146" s="472"/>
      <c r="AQ146" s="472"/>
    </row>
    <row r="147" spans="35:43" x14ac:dyDescent="0.25">
      <c r="AI147" s="1"/>
      <c r="AJ147" s="496"/>
      <c r="AK147" s="472"/>
      <c r="AL147" s="472"/>
      <c r="AO147" s="496"/>
      <c r="AP147" s="472"/>
      <c r="AQ147" s="472"/>
    </row>
    <row r="148" spans="35:43" x14ac:dyDescent="0.25">
      <c r="AN148" s="403"/>
      <c r="AO148" s="472"/>
      <c r="AP148" s="472"/>
      <c r="AQ148" s="472"/>
    </row>
    <row r="149" spans="35:43" x14ac:dyDescent="0.25">
      <c r="AI149" s="403"/>
      <c r="AJ149" s="472"/>
      <c r="AK149" s="472"/>
      <c r="AL149" s="472"/>
      <c r="AN149" s="1"/>
      <c r="AO149" s="496"/>
      <c r="AP149" s="472"/>
      <c r="AQ149" s="472"/>
    </row>
    <row r="150" spans="35:43" x14ac:dyDescent="0.25">
      <c r="AI150" s="1"/>
      <c r="AJ150" s="1"/>
      <c r="AK150" s="1"/>
      <c r="AL150" s="1"/>
      <c r="AN150" s="1"/>
      <c r="AO150" s="496"/>
      <c r="AP150" s="472"/>
      <c r="AQ150" s="472"/>
    </row>
    <row r="151" spans="35:43" x14ac:dyDescent="0.25">
      <c r="AN151" s="1"/>
      <c r="AO151" s="496"/>
      <c r="AP151" s="472"/>
      <c r="AQ151" s="472"/>
    </row>
    <row r="152" spans="35:43" x14ac:dyDescent="0.25">
      <c r="AI152" s="403"/>
      <c r="AJ152" s="472"/>
      <c r="AK152" s="472"/>
      <c r="AL152" s="472"/>
    </row>
    <row r="153" spans="35:43" x14ac:dyDescent="0.25">
      <c r="AI153" s="1"/>
      <c r="AJ153" s="1"/>
      <c r="AK153" s="1"/>
      <c r="AL153" s="1"/>
    </row>
    <row r="155" spans="35:43" x14ac:dyDescent="0.25">
      <c r="AI155" s="403"/>
      <c r="AJ155" s="472"/>
      <c r="AK155" s="472"/>
      <c r="AL155" s="472"/>
    </row>
    <row r="156" spans="35:43" x14ac:dyDescent="0.25">
      <c r="AI156" s="1"/>
      <c r="AJ156" s="1"/>
      <c r="AK156" s="1"/>
      <c r="AL156" s="1"/>
    </row>
    <row r="157" spans="35:43" x14ac:dyDescent="0.25">
      <c r="AI157" s="403"/>
      <c r="AJ157" s="472"/>
      <c r="AK157" s="472"/>
      <c r="AL157" s="472"/>
    </row>
    <row r="158" spans="35:43" x14ac:dyDescent="0.25">
      <c r="AI158" s="1"/>
      <c r="AJ158" s="496"/>
      <c r="AK158" s="472"/>
      <c r="AL158" s="472"/>
    </row>
    <row r="162" spans="40:43" x14ac:dyDescent="0.25">
      <c r="AN162" s="403"/>
      <c r="AO162" s="472"/>
      <c r="AP162" s="472"/>
      <c r="AQ162" s="472"/>
    </row>
    <row r="163" spans="40:43" x14ac:dyDescent="0.25">
      <c r="AN163" s="1"/>
      <c r="AO163" s="496"/>
      <c r="AP163" s="472"/>
      <c r="AQ163" s="472"/>
    </row>
    <row r="165" spans="40:43" x14ac:dyDescent="0.25">
      <c r="AN165" s="403"/>
      <c r="AO165" s="472"/>
      <c r="AP165" s="472"/>
      <c r="AQ165" s="472"/>
    </row>
    <row r="166" spans="40:43" x14ac:dyDescent="0.25">
      <c r="AN166" s="1"/>
      <c r="AO166" s="496"/>
      <c r="AP166" s="472"/>
      <c r="AQ166" s="472"/>
    </row>
  </sheetData>
  <mergeCells count="428">
    <mergeCell ref="H1:BR1"/>
    <mergeCell ref="Y93:AB93"/>
    <mergeCell ref="BA44:BD44"/>
    <mergeCell ref="AI90:AL90"/>
    <mergeCell ref="J62:L62"/>
    <mergeCell ref="N72:Q72"/>
    <mergeCell ref="BG42:BT42"/>
    <mergeCell ref="BL91:BO91"/>
    <mergeCell ref="I42:V42"/>
    <mergeCell ref="V32:V33"/>
    <mergeCell ref="N26:P26"/>
    <mergeCell ref="S66:V66"/>
    <mergeCell ref="T82:V82"/>
    <mergeCell ref="BM48:BO48"/>
    <mergeCell ref="BG47:BJ47"/>
    <mergeCell ref="O45:Q45"/>
    <mergeCell ref="S84:V84"/>
    <mergeCell ref="BA32:BI32"/>
    <mergeCell ref="H2:BR2"/>
    <mergeCell ref="AQ57:AS57"/>
    <mergeCell ref="BL44:BO44"/>
    <mergeCell ref="T4:AA4"/>
    <mergeCell ref="BL69:BO69"/>
    <mergeCell ref="BL84:BO84"/>
    <mergeCell ref="AO140:AQ140"/>
    <mergeCell ref="J35:J37"/>
    <mergeCell ref="B7:E7"/>
    <mergeCell ref="AQ60:AS60"/>
    <mergeCell ref="AJ147:AL147"/>
    <mergeCell ref="BA89:BD89"/>
    <mergeCell ref="AV54:AX54"/>
    <mergeCell ref="AI124:AL124"/>
    <mergeCell ref="AU59:AX59"/>
    <mergeCell ref="AP50:AS50"/>
    <mergeCell ref="S78:V78"/>
    <mergeCell ref="Z91:AB91"/>
    <mergeCell ref="AJ82:AL82"/>
    <mergeCell ref="AO125:AQ125"/>
    <mergeCell ref="AI72:AL72"/>
    <mergeCell ref="O88:Q88"/>
    <mergeCell ref="AU81:AX81"/>
    <mergeCell ref="AQ73:AS73"/>
    <mergeCell ref="S19:U19"/>
    <mergeCell ref="AQ48:AS48"/>
    <mergeCell ref="AU105:AX105"/>
    <mergeCell ref="AJ130:AL130"/>
    <mergeCell ref="AP29:BT29"/>
    <mergeCell ref="BL38:BP38"/>
    <mergeCell ref="AJ158:AL158"/>
    <mergeCell ref="AQ70:AS70"/>
    <mergeCell ref="AE94:AG94"/>
    <mergeCell ref="AQ45:AS45"/>
    <mergeCell ref="AD84:AG84"/>
    <mergeCell ref="Y90:AB90"/>
    <mergeCell ref="AV51:AX51"/>
    <mergeCell ref="N69:Q69"/>
    <mergeCell ref="AU104:AX104"/>
    <mergeCell ref="AI138:AL139"/>
    <mergeCell ref="N87:Q87"/>
    <mergeCell ref="AU106:AX106"/>
    <mergeCell ref="AJ62:AL62"/>
    <mergeCell ref="T70:V70"/>
    <mergeCell ref="AP47:AS47"/>
    <mergeCell ref="AI146:AL146"/>
    <mergeCell ref="AI149:AL149"/>
    <mergeCell ref="AU100:AX100"/>
    <mergeCell ref="AI132:AL132"/>
    <mergeCell ref="AO135:AQ135"/>
    <mergeCell ref="AN132:AQ132"/>
    <mergeCell ref="AJ128:AL128"/>
    <mergeCell ref="AO129:AQ129"/>
    <mergeCell ref="N56:Q56"/>
    <mergeCell ref="AO166:AQ166"/>
    <mergeCell ref="Y72:AB72"/>
    <mergeCell ref="AI69:AL69"/>
    <mergeCell ref="AJ76:AL76"/>
    <mergeCell ref="AO163:AQ163"/>
    <mergeCell ref="AO141:AQ141"/>
    <mergeCell ref="AP72:AS72"/>
    <mergeCell ref="I84:L84"/>
    <mergeCell ref="AI61:AL61"/>
    <mergeCell ref="S75:V75"/>
    <mergeCell ref="AO130:AQ130"/>
    <mergeCell ref="N90:Q90"/>
    <mergeCell ref="AO145:AQ145"/>
    <mergeCell ref="AO133:AQ133"/>
    <mergeCell ref="AI155:AL155"/>
    <mergeCell ref="AN162:AQ162"/>
    <mergeCell ref="AO150:AQ150"/>
    <mergeCell ref="AI152:AL152"/>
    <mergeCell ref="AN148:AQ148"/>
    <mergeCell ref="AO137:AQ137"/>
    <mergeCell ref="AI157:AL157"/>
    <mergeCell ref="J67:L67"/>
    <mergeCell ref="AI133:AI135"/>
    <mergeCell ref="AO146:AQ146"/>
    <mergeCell ref="S107:V107"/>
    <mergeCell ref="BC103:BE103"/>
    <mergeCell ref="BJ102:BM102"/>
    <mergeCell ref="AK18:AN19"/>
    <mergeCell ref="AA19:AC19"/>
    <mergeCell ref="BB102:BE102"/>
    <mergeCell ref="Z22:Z23"/>
    <mergeCell ref="AE57:AG57"/>
    <mergeCell ref="AJ45:AL45"/>
    <mergeCell ref="AE35:AE37"/>
    <mergeCell ref="S56:V56"/>
    <mergeCell ref="Z94:AB94"/>
    <mergeCell ref="AA23:AC23"/>
    <mergeCell ref="AE79:AG79"/>
    <mergeCell ref="T45:V45"/>
    <mergeCell ref="T88:V88"/>
    <mergeCell ref="BB48:BD48"/>
    <mergeCell ref="BL89:BO89"/>
    <mergeCell ref="BM39:BP39"/>
    <mergeCell ref="BJ105:BM105"/>
    <mergeCell ref="BR79:BT79"/>
    <mergeCell ref="BQ78:BT78"/>
    <mergeCell ref="BH54:BJ54"/>
    <mergeCell ref="I90:L90"/>
    <mergeCell ref="BR70:BT70"/>
    <mergeCell ref="I61:L61"/>
    <mergeCell ref="U8:Z9"/>
    <mergeCell ref="BA56:BD56"/>
    <mergeCell ref="AU53:AX53"/>
    <mergeCell ref="AD81:AG81"/>
    <mergeCell ref="R18:U18"/>
    <mergeCell ref="AE18:AH19"/>
    <mergeCell ref="Z73:AB73"/>
    <mergeCell ref="T76:V76"/>
    <mergeCell ref="AJ88:AL88"/>
    <mergeCell ref="BR48:BT48"/>
    <mergeCell ref="BK88:BO88"/>
    <mergeCell ref="M18:P18"/>
    <mergeCell ref="AP89:AS89"/>
    <mergeCell ref="BG75:BJ75"/>
    <mergeCell ref="BQ75:BT75"/>
    <mergeCell ref="AD78:AG78"/>
    <mergeCell ref="N61:Q61"/>
    <mergeCell ref="AP44:AS44"/>
    <mergeCell ref="C25:F26"/>
    <mergeCell ref="BA92:BD92"/>
    <mergeCell ref="BL50:BO50"/>
    <mergeCell ref="BM70:BO70"/>
    <mergeCell ref="BL90:BO90"/>
    <mergeCell ref="BM45:BO45"/>
    <mergeCell ref="BL47:BO47"/>
    <mergeCell ref="BR54:BT54"/>
    <mergeCell ref="AV99:AX99"/>
    <mergeCell ref="AP30:AQ30"/>
    <mergeCell ref="Z82:AB82"/>
    <mergeCell ref="S44:V44"/>
    <mergeCell ref="BM76:BO76"/>
    <mergeCell ref="Y87:AB87"/>
    <mergeCell ref="J91:L91"/>
    <mergeCell ref="I75:L75"/>
    <mergeCell ref="J88:L88"/>
    <mergeCell ref="Y69:AB69"/>
    <mergeCell ref="AJ73:AL73"/>
    <mergeCell ref="I78:L78"/>
    <mergeCell ref="AU72:AX72"/>
    <mergeCell ref="AP42:BD42"/>
    <mergeCell ref="AE88:AG88"/>
    <mergeCell ref="AE82:AG82"/>
    <mergeCell ref="B1:D1"/>
    <mergeCell ref="AU56:AX56"/>
    <mergeCell ref="BR51:BT51"/>
    <mergeCell ref="AP67:BD67"/>
    <mergeCell ref="Y66:AB66"/>
    <mergeCell ref="I69:L69"/>
    <mergeCell ref="AD56:AG56"/>
    <mergeCell ref="Z79:AB79"/>
    <mergeCell ref="AV98:AX98"/>
    <mergeCell ref="AI44:AL44"/>
    <mergeCell ref="AF35:AH35"/>
    <mergeCell ref="BG72:BJ72"/>
    <mergeCell ref="T67:V67"/>
    <mergeCell ref="S22:U22"/>
    <mergeCell ref="AU69:AX69"/>
    <mergeCell ref="BL53:BO53"/>
    <mergeCell ref="AF36:AH36"/>
    <mergeCell ref="D20:F20"/>
    <mergeCell ref="J82:L82"/>
    <mergeCell ref="BM73:BO73"/>
    <mergeCell ref="J57:L57"/>
    <mergeCell ref="Z18:AC18"/>
    <mergeCell ref="Z76:AB76"/>
    <mergeCell ref="I87:L87"/>
    <mergeCell ref="AN128:AN130"/>
    <mergeCell ref="AJ125:AL125"/>
    <mergeCell ref="AJ129:AL129"/>
    <mergeCell ref="BB79:BD79"/>
    <mergeCell ref="BB70:BD70"/>
    <mergeCell ref="Y81:AB81"/>
    <mergeCell ref="AE62:AG62"/>
    <mergeCell ref="AV82:AX82"/>
    <mergeCell ref="AN127:AQ127"/>
    <mergeCell ref="BB104:BE104"/>
    <mergeCell ref="AD75:AG75"/>
    <mergeCell ref="BB76:BD76"/>
    <mergeCell ref="AI127:AL127"/>
    <mergeCell ref="BB73:BD73"/>
    <mergeCell ref="AI87:AL87"/>
    <mergeCell ref="Y107:AB107"/>
    <mergeCell ref="AD87:AG87"/>
    <mergeCell ref="BC106:BE106"/>
    <mergeCell ref="AQ93:AS93"/>
    <mergeCell ref="V103:Y103"/>
    <mergeCell ref="AJ94:AL94"/>
    <mergeCell ref="AE91:AG91"/>
    <mergeCell ref="BA81:BD81"/>
    <mergeCell ref="AD93:AG93"/>
    <mergeCell ref="J73:L73"/>
    <mergeCell ref="I44:L44"/>
    <mergeCell ref="AL20:AN20"/>
    <mergeCell ref="V31:Y31"/>
    <mergeCell ref="AP53:AS53"/>
    <mergeCell ref="AU85:AX85"/>
    <mergeCell ref="AI66:AL66"/>
    <mergeCell ref="AU78:AX78"/>
    <mergeCell ref="AU75:AX75"/>
    <mergeCell ref="AE34:AH34"/>
    <mergeCell ref="W32:Y32"/>
    <mergeCell ref="AU38:AX38"/>
    <mergeCell ref="Z45:AB45"/>
    <mergeCell ref="Z70:AB70"/>
    <mergeCell ref="AU47:AX47"/>
    <mergeCell ref="T62:V62"/>
    <mergeCell ref="AD61:AG61"/>
    <mergeCell ref="I81:L81"/>
    <mergeCell ref="J34:M34"/>
    <mergeCell ref="I56:L56"/>
    <mergeCell ref="N44:Q44"/>
    <mergeCell ref="J70:L70"/>
    <mergeCell ref="O76:Q76"/>
    <mergeCell ref="AE85:AG85"/>
    <mergeCell ref="BI5:BJ5"/>
    <mergeCell ref="BA31:BI31"/>
    <mergeCell ref="AF20:AH20"/>
    <mergeCell ref="BI7:BJ7"/>
    <mergeCell ref="T5:AA5"/>
    <mergeCell ref="BM79:BO79"/>
    <mergeCell ref="V10:Z10"/>
    <mergeCell ref="S72:V72"/>
    <mergeCell ref="BI15:BJ15"/>
    <mergeCell ref="BA50:BD50"/>
    <mergeCell ref="BB57:BD57"/>
    <mergeCell ref="BA53:BD53"/>
    <mergeCell ref="BB54:BD54"/>
    <mergeCell ref="BB60:BD60"/>
    <mergeCell ref="BL72:BO72"/>
    <mergeCell ref="Y44:AB44"/>
    <mergeCell ref="AV76:AX76"/>
    <mergeCell ref="AV73:AX73"/>
    <mergeCell ref="AV48:AX48"/>
    <mergeCell ref="AP75:AS75"/>
    <mergeCell ref="AJ79:AL79"/>
    <mergeCell ref="BI9:BJ9"/>
    <mergeCell ref="BH51:BJ51"/>
    <mergeCell ref="BI11:BJ11"/>
    <mergeCell ref="BQ53:BT53"/>
    <mergeCell ref="BB93:BD93"/>
    <mergeCell ref="AD69:AG69"/>
    <mergeCell ref="BB105:BE105"/>
    <mergeCell ref="AE76:AG76"/>
    <mergeCell ref="AP78:AS78"/>
    <mergeCell ref="BA75:BD75"/>
    <mergeCell ref="AJ70:AL70"/>
    <mergeCell ref="AO149:AQ149"/>
    <mergeCell ref="BB82:BD82"/>
    <mergeCell ref="BA72:BD72"/>
    <mergeCell ref="AI75:AL75"/>
    <mergeCell ref="BR76:BT76"/>
    <mergeCell ref="AO139:AQ139"/>
    <mergeCell ref="AO144:AQ144"/>
    <mergeCell ref="BK89:BK91"/>
    <mergeCell ref="AU92:AX92"/>
    <mergeCell ref="BH70:BJ70"/>
    <mergeCell ref="AU89:AX89"/>
    <mergeCell ref="AQ54:AS54"/>
    <mergeCell ref="AP59:AS59"/>
    <mergeCell ref="AD72:AG72"/>
    <mergeCell ref="AQ79:AS79"/>
    <mergeCell ref="AI78:AL78"/>
    <mergeCell ref="AN165:AQ165"/>
    <mergeCell ref="U29:Z29"/>
    <mergeCell ref="N75:Q75"/>
    <mergeCell ref="AO151:AQ151"/>
    <mergeCell ref="V100:AA100"/>
    <mergeCell ref="BH45:BJ45"/>
    <mergeCell ref="BB45:BD45"/>
    <mergeCell ref="S61:V61"/>
    <mergeCell ref="AU44:AX44"/>
    <mergeCell ref="W33:Y33"/>
    <mergeCell ref="BH48:BJ48"/>
    <mergeCell ref="AF37:AH37"/>
    <mergeCell ref="BA47:BD47"/>
    <mergeCell ref="AU50:AX50"/>
    <mergeCell ref="Y56:AB56"/>
    <mergeCell ref="S81:V81"/>
    <mergeCell ref="AU64:AX64"/>
    <mergeCell ref="AJ91:AL91"/>
    <mergeCell ref="AV57:AX57"/>
    <mergeCell ref="AV93:AX93"/>
    <mergeCell ref="AO147:AQ147"/>
    <mergeCell ref="AI143:AL143"/>
    <mergeCell ref="AO128:AQ128"/>
    <mergeCell ref="AQ51:AS51"/>
    <mergeCell ref="BQ44:BT44"/>
    <mergeCell ref="BQ72:BT72"/>
    <mergeCell ref="AV60:AX60"/>
    <mergeCell ref="AV45:AX45"/>
    <mergeCell ref="AD90:AG90"/>
    <mergeCell ref="AV90:AX90"/>
    <mergeCell ref="BB51:BD51"/>
    <mergeCell ref="S69:V69"/>
    <mergeCell ref="Z57:AB57"/>
    <mergeCell ref="BH73:BJ73"/>
    <mergeCell ref="BR45:BT45"/>
    <mergeCell ref="BQ47:BT47"/>
    <mergeCell ref="BK86:BO86"/>
    <mergeCell ref="Z88:AB88"/>
    <mergeCell ref="BL75:BO75"/>
    <mergeCell ref="BM65:BO65"/>
    <mergeCell ref="BB90:BD90"/>
    <mergeCell ref="AJ67:AL67"/>
    <mergeCell ref="AD66:AG66"/>
    <mergeCell ref="AI56:AL56"/>
    <mergeCell ref="AE73:AG73"/>
    <mergeCell ref="BG69:BJ69"/>
    <mergeCell ref="S90:V90"/>
    <mergeCell ref="BA69:BD69"/>
    <mergeCell ref="BQ50:BT50"/>
    <mergeCell ref="AI128:AI130"/>
    <mergeCell ref="BL87:BO87"/>
    <mergeCell ref="BK103:BM103"/>
    <mergeCell ref="S87:V87"/>
    <mergeCell ref="AP69:AS69"/>
    <mergeCell ref="BG53:BJ53"/>
    <mergeCell ref="BH79:BJ79"/>
    <mergeCell ref="BG67:BT67"/>
    <mergeCell ref="AI81:AL81"/>
    <mergeCell ref="BL64:BO64"/>
    <mergeCell ref="BA59:BD59"/>
    <mergeCell ref="BK83:BO83"/>
    <mergeCell ref="BK85:BO85"/>
    <mergeCell ref="BG50:BJ50"/>
    <mergeCell ref="T79:V79"/>
    <mergeCell ref="T73:V73"/>
    <mergeCell ref="Y61:AB61"/>
    <mergeCell ref="BJ104:BM104"/>
    <mergeCell ref="BQ69:BT69"/>
    <mergeCell ref="BR73:BT73"/>
    <mergeCell ref="AQ90:AS90"/>
    <mergeCell ref="AV79:AX79"/>
    <mergeCell ref="AV65:AX65"/>
    <mergeCell ref="N19:P19"/>
    <mergeCell ref="AV86:AX86"/>
    <mergeCell ref="Z67:AB67"/>
    <mergeCell ref="O73:Q73"/>
    <mergeCell ref="K35:M37"/>
    <mergeCell ref="BK106:BM106"/>
    <mergeCell ref="BM51:BO51"/>
    <mergeCell ref="AU103:AX103"/>
    <mergeCell ref="N66:Q66"/>
    <mergeCell ref="AD44:AG44"/>
    <mergeCell ref="AE70:AG70"/>
    <mergeCell ref="N84:Q84"/>
    <mergeCell ref="N78:Q78"/>
    <mergeCell ref="O57:Q57"/>
    <mergeCell ref="Y78:AB78"/>
    <mergeCell ref="AE67:AG67"/>
    <mergeCell ref="AJ57:AL57"/>
    <mergeCell ref="BL78:BO78"/>
    <mergeCell ref="O70:Q70"/>
    <mergeCell ref="N81:Q81"/>
    <mergeCell ref="U99:AA99"/>
    <mergeCell ref="BM54:BO54"/>
    <mergeCell ref="AP56:AS56"/>
    <mergeCell ref="BA78:BD78"/>
    <mergeCell ref="AJ140:AL140"/>
    <mergeCell ref="AO136:AQ136"/>
    <mergeCell ref="AO138:AQ138"/>
    <mergeCell ref="Z21:AC21"/>
    <mergeCell ref="R21:U21"/>
    <mergeCell ref="M25:P25"/>
    <mergeCell ref="D27:F27"/>
    <mergeCell ref="I72:L72"/>
    <mergeCell ref="M21:P21"/>
    <mergeCell ref="AO134:AQ134"/>
    <mergeCell ref="J76:L76"/>
    <mergeCell ref="O67:Q67"/>
    <mergeCell ref="O91:Q91"/>
    <mergeCell ref="O82:Q82"/>
    <mergeCell ref="AQ82:AS82"/>
    <mergeCell ref="Z62:AB62"/>
    <mergeCell ref="AI93:AL93"/>
    <mergeCell ref="T57:V57"/>
    <mergeCell ref="AQ76:AS76"/>
    <mergeCell ref="D23:F23"/>
    <mergeCell ref="N23:P23"/>
    <mergeCell ref="J79:L79"/>
    <mergeCell ref="AN124:AQ124"/>
    <mergeCell ref="AE45:AG45"/>
    <mergeCell ref="B12:G12"/>
    <mergeCell ref="BG78:BJ78"/>
    <mergeCell ref="AN143:AQ143"/>
    <mergeCell ref="AV39:AX39"/>
    <mergeCell ref="AV70:AX70"/>
    <mergeCell ref="BG44:BJ44"/>
    <mergeCell ref="BH76:BJ76"/>
    <mergeCell ref="BB33:BI33"/>
    <mergeCell ref="T91:V91"/>
    <mergeCell ref="AU108:AX108"/>
    <mergeCell ref="W104:Y104"/>
    <mergeCell ref="AU97:AX97"/>
    <mergeCell ref="B16:I16"/>
    <mergeCell ref="J45:L45"/>
    <mergeCell ref="M22:P22"/>
    <mergeCell ref="AP83:BD83"/>
    <mergeCell ref="O62:Q62"/>
    <mergeCell ref="I66:L66"/>
    <mergeCell ref="O79:Q79"/>
    <mergeCell ref="C19:F19"/>
    <mergeCell ref="AU102:AX102"/>
    <mergeCell ref="Y75:AB75"/>
    <mergeCell ref="C22:F22"/>
    <mergeCell ref="Y42:AL42"/>
  </mergeCells>
  <pageMargins left="0.25" right="0.25" top="0.75" bottom="0.75" header="0.3" footer="0.3"/>
  <pageSetup paperSize="8" scale="3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85A9-2CAB-44D5-A0C0-71379188D8E1}">
  <dimension ref="A1:BB82"/>
  <sheetViews>
    <sheetView showGridLines="0" tabSelected="1" zoomScale="85" zoomScaleNormal="85" workbookViewId="0">
      <selection activeCell="J9" sqref="J9"/>
    </sheetView>
  </sheetViews>
  <sheetFormatPr defaultColWidth="9.109375" defaultRowHeight="15.6" x14ac:dyDescent="0.25"/>
  <cols>
    <col min="1" max="1" width="2.33203125" style="2" customWidth="1"/>
    <col min="2" max="6" width="5.6640625" style="2" customWidth="1"/>
    <col min="7" max="7" width="6.5546875" style="2" customWidth="1"/>
    <col min="8" max="8" width="5.77734375" style="2" customWidth="1"/>
    <col min="9" max="10" width="5.6640625" style="2" customWidth="1"/>
    <col min="11" max="13" width="9.5546875" style="2" customWidth="1"/>
    <col min="14" max="14" width="5.6640625" style="2" customWidth="1"/>
    <col min="15" max="15" width="9.44140625" style="2" customWidth="1"/>
    <col min="16" max="16" width="16.6640625" style="2" customWidth="1"/>
    <col min="17" max="19" width="5.6640625" style="2" customWidth="1"/>
    <col min="20" max="22" width="7.6640625" style="2" customWidth="1"/>
    <col min="23" max="23" width="5.6640625" style="2" customWidth="1"/>
    <col min="24" max="24" width="1.6640625" style="2" customWidth="1"/>
    <col min="25" max="26" width="5.6640625" style="2" customWidth="1"/>
    <col min="27" max="29" width="8.6640625" style="2" customWidth="1"/>
    <col min="30" max="30" width="7.5546875" style="2" customWidth="1"/>
    <col min="31" max="31" width="5.6640625" style="2" customWidth="1"/>
    <col min="32" max="34" width="8.88671875" style="2" customWidth="1"/>
    <col min="35" max="36" width="5.6640625" style="2" customWidth="1"/>
    <col min="37" max="37" width="11.6640625" style="2" customWidth="1"/>
    <col min="38" max="38" width="6.88671875" style="2" customWidth="1"/>
    <col min="39" max="39" width="11.6640625" style="2" customWidth="1"/>
    <col min="40" max="40" width="5.77734375" style="2" customWidth="1"/>
    <col min="41" max="41" width="5.6640625" style="2" customWidth="1"/>
    <col min="42" max="42" width="8.109375" style="2" customWidth="1"/>
    <col min="43" max="44" width="5.6640625" style="2" customWidth="1"/>
    <col min="45" max="47" width="8.6640625" style="2" customWidth="1"/>
    <col min="48" max="49" width="5.6640625" style="2" customWidth="1"/>
    <col min="50" max="52" width="7.6640625" style="2" customWidth="1"/>
    <col min="53" max="53" width="5.6640625" style="2" customWidth="1"/>
    <col min="54" max="54" width="4" style="2" customWidth="1"/>
    <col min="55" max="55" width="5.6640625" style="2" customWidth="1"/>
    <col min="56" max="16384" width="9.109375" style="2"/>
  </cols>
  <sheetData>
    <row r="1" spans="1:54" s="8" customFormat="1" ht="28.5" customHeight="1" x14ac:dyDescent="0.3">
      <c r="A1" s="5"/>
      <c r="B1" s="646" t="s">
        <v>0</v>
      </c>
      <c r="C1" s="647"/>
      <c r="D1" s="647"/>
      <c r="E1" s="6"/>
      <c r="F1" s="6"/>
      <c r="G1" s="101"/>
      <c r="H1" s="648" t="s">
        <v>167</v>
      </c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49"/>
      <c r="AQ1" s="649"/>
      <c r="AR1" s="649"/>
      <c r="AS1" s="649"/>
      <c r="AT1" s="649"/>
      <c r="AU1" s="649"/>
      <c r="AV1" s="649"/>
      <c r="AW1" s="649"/>
      <c r="AX1" s="649"/>
      <c r="AY1" s="649"/>
      <c r="AZ1" s="649"/>
      <c r="BA1" s="649"/>
      <c r="BB1" s="650"/>
    </row>
    <row r="2" spans="1:54" s="8" customFormat="1" ht="25.5" customHeight="1" x14ac:dyDescent="0.3">
      <c r="A2" s="95"/>
      <c r="H2" s="648" t="s">
        <v>2</v>
      </c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49"/>
      <c r="AD2" s="649"/>
      <c r="AE2" s="649"/>
      <c r="AF2" s="649"/>
      <c r="AG2" s="649"/>
      <c r="AH2" s="649"/>
      <c r="AI2" s="649"/>
      <c r="AJ2" s="649"/>
      <c r="AK2" s="649"/>
      <c r="AL2" s="649"/>
      <c r="AM2" s="649"/>
      <c r="AN2" s="649"/>
      <c r="AO2" s="649"/>
      <c r="AP2" s="649"/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49"/>
      <c r="BB2" s="650"/>
    </row>
    <row r="3" spans="1:54" s="8" customFormat="1" ht="16.5" customHeight="1" x14ac:dyDescent="0.25">
      <c r="A3" s="95"/>
      <c r="BB3" s="10"/>
    </row>
    <row r="4" spans="1:54" s="8" customFormat="1" ht="16.5" customHeight="1" thickBot="1" x14ac:dyDescent="0.35">
      <c r="A4" s="95"/>
      <c r="T4" s="651" t="s">
        <v>3</v>
      </c>
      <c r="U4" s="477"/>
      <c r="V4" s="477"/>
      <c r="W4" s="477"/>
      <c r="X4" s="477"/>
      <c r="Y4" s="477"/>
      <c r="Z4" s="477"/>
      <c r="AA4" s="477"/>
      <c r="AB4" s="478"/>
      <c r="BB4" s="10"/>
    </row>
    <row r="5" spans="1:54" s="8" customFormat="1" ht="16.5" customHeight="1" x14ac:dyDescent="0.3">
      <c r="A5" s="95"/>
      <c r="T5" s="652" t="s">
        <v>4</v>
      </c>
      <c r="U5" s="487"/>
      <c r="V5" s="487"/>
      <c r="W5" s="487"/>
      <c r="X5" s="487"/>
      <c r="Y5" s="487"/>
      <c r="Z5" s="487"/>
      <c r="AA5" s="487"/>
      <c r="AB5" s="488"/>
      <c r="AQ5" s="11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0"/>
    </row>
    <row r="6" spans="1:54" s="8" customFormat="1" ht="16.2" customHeight="1" thickBot="1" x14ac:dyDescent="0.35">
      <c r="A6" s="95"/>
      <c r="Y6" s="95"/>
      <c r="AQ6" s="14"/>
      <c r="AR6" s="591"/>
      <c r="AS6" s="477"/>
      <c r="AT6" s="139">
        <v>9</v>
      </c>
      <c r="AU6" s="140" t="s">
        <v>5</v>
      </c>
      <c r="AV6" s="141"/>
      <c r="AW6" s="141"/>
      <c r="AX6" s="141"/>
      <c r="AY6" s="15"/>
      <c r="AZ6" s="15"/>
      <c r="BA6" s="16"/>
      <c r="BB6" s="10"/>
    </row>
    <row r="7" spans="1:54" s="8" customFormat="1" ht="16.5" customHeight="1" x14ac:dyDescent="0.25">
      <c r="A7" s="95"/>
      <c r="B7" s="641" t="s">
        <v>6</v>
      </c>
      <c r="C7" s="481"/>
      <c r="D7" s="481"/>
      <c r="E7" s="481"/>
      <c r="L7" s="1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21"/>
      <c r="AQ7" s="14"/>
      <c r="AT7" s="26"/>
      <c r="BA7" s="17"/>
      <c r="BB7" s="10"/>
    </row>
    <row r="8" spans="1:54" s="8" customFormat="1" ht="14.4" customHeight="1" x14ac:dyDescent="0.3">
      <c r="A8" s="95"/>
      <c r="L8" s="22"/>
      <c r="U8" s="591" t="s">
        <v>168</v>
      </c>
      <c r="V8" s="477"/>
      <c r="W8" s="477"/>
      <c r="X8" s="477"/>
      <c r="Y8" s="477"/>
      <c r="Z8" s="477"/>
      <c r="AA8" s="478"/>
      <c r="AJ8" s="23"/>
      <c r="AQ8" s="14"/>
      <c r="AR8" s="642"/>
      <c r="AS8" s="643"/>
      <c r="AT8" s="139">
        <v>2</v>
      </c>
      <c r="AU8" s="140" t="s">
        <v>7</v>
      </c>
      <c r="AV8" s="141"/>
      <c r="AW8" s="141"/>
      <c r="AX8" s="141"/>
      <c r="AY8" s="141"/>
      <c r="AZ8" s="15"/>
      <c r="BA8" s="16"/>
      <c r="BB8" s="10"/>
    </row>
    <row r="9" spans="1:54" s="8" customFormat="1" ht="17.399999999999999" customHeight="1" x14ac:dyDescent="0.25">
      <c r="A9" s="95"/>
      <c r="L9" s="22"/>
      <c r="U9" s="554"/>
      <c r="V9" s="487"/>
      <c r="W9" s="487"/>
      <c r="X9" s="487"/>
      <c r="Y9" s="487"/>
      <c r="Z9" s="487"/>
      <c r="AA9" s="488"/>
      <c r="AB9" s="6"/>
      <c r="AC9" s="6"/>
      <c r="AD9" s="6"/>
      <c r="AE9" s="6"/>
      <c r="AF9" s="6"/>
      <c r="AG9" s="6"/>
      <c r="AH9" s="6"/>
      <c r="AI9" s="6"/>
      <c r="AJ9" s="24"/>
      <c r="AK9" s="6"/>
      <c r="AL9" s="6"/>
      <c r="AM9" s="101"/>
      <c r="AQ9" s="14"/>
      <c r="AT9" s="26"/>
      <c r="BA9" s="17"/>
      <c r="BB9" s="10"/>
    </row>
    <row r="10" spans="1:54" s="8" customFormat="1" ht="16.5" customHeight="1" x14ac:dyDescent="0.3">
      <c r="A10" s="95"/>
      <c r="L10" s="22"/>
      <c r="U10" s="143">
        <v>1</v>
      </c>
      <c r="V10" s="518"/>
      <c r="W10" s="469"/>
      <c r="X10" s="469"/>
      <c r="Y10" s="469"/>
      <c r="Z10" s="469"/>
      <c r="AA10" s="470"/>
      <c r="AJ10" s="23"/>
      <c r="AM10" s="10"/>
      <c r="AQ10" s="14"/>
      <c r="AR10" s="144"/>
      <c r="AS10" s="145"/>
      <c r="AT10" s="139">
        <f>M15+M19+M22+R15+R18+AA18+J30+J33+Q30+AB30+N49+S49+S52+N52+I52+I58+N58+S58+S61+N61+I61+S67+N67+I67+I70+N70+S70+S73+N73+I73+I76+N76+S76+S79+N79+I79+Z43+AE43+AJ43+AJ46+AE46+Z46+Z49+AE49+AJ49+AJ52+AE52+Z52+Z55+AE55+AJ55+AJ61+AE61+Z61+Z64+AE64+AJ64+AE67+Z70+AE70+AJ70+AJ73+AE73+Z73+Z76+AE76+AJ76+AW31+AW34+AR34+AR39+AW39+AW42+AW45+AR45+AR48+AR51+AR54+AW51+AW54+AW57+AR58+Z58+AE58+AJ58</f>
        <v>165</v>
      </c>
      <c r="AU10" s="140" t="s">
        <v>8</v>
      </c>
      <c r="AV10" s="141"/>
      <c r="AW10" s="141"/>
      <c r="AX10" s="15"/>
      <c r="AY10" s="15"/>
      <c r="AZ10" s="15"/>
      <c r="BA10" s="16"/>
      <c r="BB10" s="10"/>
    </row>
    <row r="11" spans="1:54" s="8" customFormat="1" ht="16.5" customHeight="1" x14ac:dyDescent="0.25">
      <c r="A11" s="95"/>
      <c r="L11" s="22"/>
      <c r="Y11" s="95"/>
      <c r="AJ11" s="23"/>
      <c r="AM11" s="10"/>
      <c r="AQ11" s="14"/>
      <c r="AT11" s="26"/>
      <c r="BA11" s="17"/>
      <c r="BB11" s="10"/>
    </row>
    <row r="12" spans="1:54" s="8" customFormat="1" ht="16.5" customHeight="1" x14ac:dyDescent="0.3">
      <c r="A12" s="124"/>
      <c r="B12" s="644" t="s">
        <v>10</v>
      </c>
      <c r="C12" s="469"/>
      <c r="D12" s="469"/>
      <c r="E12" s="469"/>
      <c r="F12" s="469"/>
      <c r="G12" s="470"/>
      <c r="H12" s="26"/>
      <c r="I12" s="26"/>
      <c r="J12" s="26"/>
      <c r="K12" s="26"/>
      <c r="L12" s="22"/>
      <c r="O12" s="27"/>
      <c r="P12" s="27"/>
      <c r="Q12" s="27"/>
      <c r="R12" s="27"/>
      <c r="S12" s="27"/>
      <c r="T12" s="27"/>
      <c r="U12" s="27"/>
      <c r="Y12" s="95"/>
      <c r="AJ12" s="23"/>
      <c r="AM12" s="10"/>
      <c r="AQ12" s="14"/>
      <c r="AR12" s="645"/>
      <c r="AS12" s="601"/>
      <c r="AT12" s="139">
        <v>7</v>
      </c>
      <c r="AU12" s="140" t="s">
        <v>9</v>
      </c>
      <c r="AV12" s="141"/>
      <c r="AW12" s="141"/>
      <c r="AX12" s="15"/>
      <c r="AY12" s="15"/>
      <c r="AZ12" s="15"/>
      <c r="BA12" s="16"/>
      <c r="BB12" s="10"/>
    </row>
    <row r="13" spans="1:54" s="8" customFormat="1" ht="16.5" customHeight="1" thickBot="1" x14ac:dyDescent="0.3">
      <c r="A13" s="124"/>
      <c r="B13" s="582" t="s">
        <v>13</v>
      </c>
      <c r="C13" s="582"/>
      <c r="D13" s="582"/>
      <c r="E13" s="582"/>
      <c r="F13" s="582"/>
      <c r="G13" s="582"/>
      <c r="J13" s="26"/>
      <c r="K13" s="26"/>
      <c r="L13" s="22"/>
      <c r="O13" s="95"/>
      <c r="V13" s="6"/>
      <c r="W13" s="6"/>
      <c r="X13" s="101"/>
      <c r="Y13" s="5"/>
      <c r="Z13" s="6"/>
      <c r="AA13" s="6"/>
      <c r="AB13" s="101"/>
      <c r="AC13" s="5"/>
      <c r="AD13" s="6"/>
      <c r="AE13" s="6"/>
      <c r="AF13" s="6"/>
      <c r="AG13" s="101"/>
      <c r="AJ13" s="23"/>
      <c r="AM13" s="10"/>
      <c r="AQ13" s="14"/>
      <c r="BA13" s="17"/>
      <c r="BB13" s="10"/>
    </row>
    <row r="14" spans="1:54" s="8" customFormat="1" ht="16.5" customHeight="1" thickTop="1" x14ac:dyDescent="0.3">
      <c r="A14" s="95"/>
      <c r="B14" s="34"/>
      <c r="C14" s="35"/>
      <c r="D14" s="35"/>
      <c r="E14" s="35"/>
      <c r="F14" s="35"/>
      <c r="G14" s="36"/>
      <c r="L14" s="22"/>
      <c r="M14" s="588" t="s">
        <v>15</v>
      </c>
      <c r="N14" s="589"/>
      <c r="O14" s="589"/>
      <c r="P14" s="590"/>
      <c r="R14" s="588" t="s">
        <v>16</v>
      </c>
      <c r="S14" s="589"/>
      <c r="T14" s="589"/>
      <c r="U14" s="590"/>
      <c r="Y14" s="95"/>
      <c r="AA14" s="591" t="s">
        <v>17</v>
      </c>
      <c r="AB14" s="469"/>
      <c r="AC14" s="469"/>
      <c r="AD14" s="470"/>
      <c r="AF14" s="591" t="s">
        <v>18</v>
      </c>
      <c r="AG14" s="477"/>
      <c r="AH14" s="477"/>
      <c r="AI14" s="478"/>
      <c r="AJ14" s="23"/>
      <c r="AL14" s="634" t="s">
        <v>169</v>
      </c>
      <c r="AM14" s="635"/>
      <c r="AN14" s="635"/>
      <c r="AO14" s="636"/>
      <c r="AQ14" s="14"/>
      <c r="AT14" s="136">
        <f>AT6+AT8+AT10+AT12</f>
        <v>183</v>
      </c>
      <c r="AU14" s="137" t="s">
        <v>14</v>
      </c>
      <c r="AV14" s="138"/>
      <c r="AW14" s="138"/>
      <c r="AX14" s="138"/>
      <c r="AY14" s="138"/>
      <c r="AZ14" s="15"/>
      <c r="BA14" s="16"/>
      <c r="BB14" s="10"/>
    </row>
    <row r="15" spans="1:54" s="8" customFormat="1" ht="16.2" customHeight="1" thickBot="1" x14ac:dyDescent="0.35">
      <c r="A15" s="125"/>
      <c r="B15" s="41"/>
      <c r="C15" s="591" t="s">
        <v>20</v>
      </c>
      <c r="D15" s="469"/>
      <c r="E15" s="469"/>
      <c r="F15" s="470"/>
      <c r="G15" s="42"/>
      <c r="H15" s="43"/>
      <c r="I15" s="43"/>
      <c r="J15" s="43"/>
      <c r="K15" s="43"/>
      <c r="L15" s="22"/>
      <c r="M15" s="142">
        <v>1</v>
      </c>
      <c r="N15" s="640"/>
      <c r="O15" s="504"/>
      <c r="P15" s="505"/>
      <c r="R15" s="142">
        <v>3</v>
      </c>
      <c r="S15" s="640"/>
      <c r="T15" s="504"/>
      <c r="U15" s="505"/>
      <c r="Y15" s="95"/>
      <c r="AA15" s="143">
        <v>1</v>
      </c>
      <c r="AB15" s="518"/>
      <c r="AC15" s="469"/>
      <c r="AD15" s="470"/>
      <c r="AF15" s="554"/>
      <c r="AG15" s="487"/>
      <c r="AH15" s="487"/>
      <c r="AI15" s="488"/>
      <c r="AJ15" s="23"/>
      <c r="AL15" s="637"/>
      <c r="AM15" s="638"/>
      <c r="AN15" s="638"/>
      <c r="AO15" s="639"/>
      <c r="AQ15" s="37"/>
      <c r="AR15" s="38"/>
      <c r="AS15" s="38"/>
      <c r="AT15" s="38"/>
      <c r="AU15" s="38"/>
      <c r="AV15" s="38"/>
      <c r="AW15" s="38"/>
      <c r="AX15" s="38"/>
      <c r="AY15" s="38"/>
      <c r="AZ15" s="38"/>
      <c r="BA15" s="39"/>
      <c r="BB15" s="10"/>
    </row>
    <row r="16" spans="1:54" s="8" customFormat="1" ht="16.5" customHeight="1" x14ac:dyDescent="0.3">
      <c r="A16" s="126"/>
      <c r="B16" s="41"/>
      <c r="C16" s="123">
        <v>1</v>
      </c>
      <c r="D16" s="518"/>
      <c r="E16" s="469"/>
      <c r="F16" s="470"/>
      <c r="G16" s="42"/>
      <c r="H16" s="29"/>
      <c r="I16" s="29"/>
      <c r="J16" s="29"/>
      <c r="K16" s="29"/>
      <c r="L16" s="22"/>
      <c r="Y16" s="95"/>
      <c r="AB16" s="45"/>
      <c r="AF16" s="143">
        <v>1</v>
      </c>
      <c r="AG16" s="518"/>
      <c r="AH16" s="469"/>
      <c r="AI16" s="470"/>
      <c r="AJ16" s="23"/>
      <c r="AL16" s="143">
        <v>2</v>
      </c>
      <c r="AM16" s="518"/>
      <c r="AN16" s="469"/>
      <c r="AO16" s="470"/>
      <c r="BB16" s="10"/>
    </row>
    <row r="17" spans="1:54" s="8" customFormat="1" ht="16.5" customHeight="1" x14ac:dyDescent="0.3">
      <c r="A17" s="126"/>
      <c r="B17" s="41"/>
      <c r="D17" s="46"/>
      <c r="E17" s="46"/>
      <c r="F17" s="46"/>
      <c r="G17" s="47"/>
      <c r="H17" s="29"/>
      <c r="I17" s="29"/>
      <c r="J17" s="29"/>
      <c r="K17" s="29"/>
      <c r="L17" s="22"/>
      <c r="M17" s="630" t="s">
        <v>21</v>
      </c>
      <c r="N17" s="594"/>
      <c r="O17" s="594"/>
      <c r="P17" s="595"/>
      <c r="R17" s="588" t="s">
        <v>22</v>
      </c>
      <c r="S17" s="589"/>
      <c r="T17" s="589"/>
      <c r="U17" s="590"/>
      <c r="Y17" s="95"/>
      <c r="AA17" s="631" t="s">
        <v>23</v>
      </c>
      <c r="AB17" s="632"/>
      <c r="AC17" s="632"/>
      <c r="AD17" s="633"/>
      <c r="AJ17" s="23"/>
      <c r="BB17" s="10"/>
    </row>
    <row r="18" spans="1:54" s="8" customFormat="1" ht="16.5" customHeight="1" x14ac:dyDescent="0.3">
      <c r="A18" s="125"/>
      <c r="B18" s="41"/>
      <c r="C18" s="591" t="s">
        <v>24</v>
      </c>
      <c r="D18" s="469"/>
      <c r="E18" s="469"/>
      <c r="F18" s="470"/>
      <c r="G18" s="42"/>
      <c r="H18" s="43"/>
      <c r="I18" s="43"/>
      <c r="J18" s="43"/>
      <c r="K18" s="43"/>
      <c r="L18" s="22"/>
      <c r="M18" s="624" t="s">
        <v>25</v>
      </c>
      <c r="N18" s="597"/>
      <c r="O18" s="597"/>
      <c r="P18" s="598"/>
      <c r="R18" s="142">
        <v>3</v>
      </c>
      <c r="S18" s="518"/>
      <c r="T18" s="469"/>
      <c r="U18" s="470"/>
      <c r="Y18" s="95"/>
      <c r="AA18" s="625">
        <v>2</v>
      </c>
      <c r="AB18" s="583"/>
      <c r="AC18" s="570"/>
      <c r="AD18" s="584"/>
      <c r="AJ18" s="23"/>
      <c r="BB18" s="10"/>
    </row>
    <row r="19" spans="1:54" s="8" customFormat="1" ht="31.5" customHeight="1" x14ac:dyDescent="0.3">
      <c r="A19" s="126"/>
      <c r="B19" s="41"/>
      <c r="C19" s="123">
        <v>1</v>
      </c>
      <c r="D19" s="518"/>
      <c r="E19" s="469"/>
      <c r="F19" s="470"/>
      <c r="G19" s="42"/>
      <c r="H19" s="29"/>
      <c r="I19" s="29"/>
      <c r="J19" s="29"/>
      <c r="K19" s="29"/>
      <c r="L19" s="22"/>
      <c r="M19" s="142">
        <v>2</v>
      </c>
      <c r="N19" s="627"/>
      <c r="O19" s="628"/>
      <c r="P19" s="629"/>
      <c r="Y19" s="95"/>
      <c r="AA19" s="626"/>
      <c r="AB19" s="585"/>
      <c r="AC19" s="586"/>
      <c r="AD19" s="587"/>
      <c r="AJ19" s="23"/>
      <c r="BB19" s="10"/>
    </row>
    <row r="20" spans="1:54" s="8" customFormat="1" ht="16.5" customHeight="1" x14ac:dyDescent="0.25">
      <c r="A20" s="95"/>
      <c r="B20" s="41"/>
      <c r="D20" s="29"/>
      <c r="G20" s="42"/>
      <c r="L20" s="22"/>
      <c r="M20" s="29"/>
      <c r="N20" s="29"/>
      <c r="O20" s="29"/>
      <c r="P20" s="29"/>
      <c r="Y20" s="95"/>
      <c r="AJ20" s="23"/>
      <c r="BB20" s="10"/>
    </row>
    <row r="21" spans="1:54" s="8" customFormat="1" ht="16.5" customHeight="1" x14ac:dyDescent="0.3">
      <c r="A21" s="125"/>
      <c r="B21" s="41"/>
      <c r="C21" s="591" t="s">
        <v>18</v>
      </c>
      <c r="D21" s="477"/>
      <c r="E21" s="477"/>
      <c r="F21" s="478"/>
      <c r="G21" s="42"/>
      <c r="H21" s="43"/>
      <c r="I21" s="43"/>
      <c r="J21" s="43"/>
      <c r="K21" s="43"/>
      <c r="L21" s="22"/>
      <c r="M21" s="588" t="s">
        <v>26</v>
      </c>
      <c r="N21" s="589"/>
      <c r="O21" s="589"/>
      <c r="P21" s="590"/>
      <c r="Y21" s="95"/>
      <c r="AJ21" s="23"/>
      <c r="BB21" s="10"/>
    </row>
    <row r="22" spans="1:54" s="8" customFormat="1" ht="16.5" customHeight="1" x14ac:dyDescent="0.3">
      <c r="A22" s="125"/>
      <c r="B22" s="41"/>
      <c r="C22" s="554"/>
      <c r="D22" s="487"/>
      <c r="E22" s="487"/>
      <c r="F22" s="488"/>
      <c r="G22" s="42"/>
      <c r="H22" s="43"/>
      <c r="I22" s="43"/>
      <c r="J22" s="43"/>
      <c r="K22" s="43"/>
      <c r="L22" s="22"/>
      <c r="M22" s="142">
        <v>1</v>
      </c>
      <c r="N22" s="518"/>
      <c r="O22" s="469"/>
      <c r="P22" s="470"/>
      <c r="Y22" s="95"/>
      <c r="AJ22" s="23"/>
      <c r="BB22" s="10"/>
    </row>
    <row r="23" spans="1:54" s="8" customFormat="1" ht="16.5" customHeight="1" thickBot="1" x14ac:dyDescent="0.35">
      <c r="A23" s="126"/>
      <c r="B23" s="41"/>
      <c r="C23" s="123">
        <v>1</v>
      </c>
      <c r="D23" s="518"/>
      <c r="E23" s="469"/>
      <c r="F23" s="470"/>
      <c r="G23" s="42"/>
      <c r="H23" s="29"/>
      <c r="I23" s="29"/>
      <c r="J23" s="29"/>
      <c r="K23" s="29"/>
      <c r="L23" s="48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50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51"/>
      <c r="BB23" s="10"/>
    </row>
    <row r="24" spans="1:54" s="8" customFormat="1" ht="16.5" customHeight="1" thickBot="1" x14ac:dyDescent="0.3">
      <c r="A24" s="95"/>
      <c r="B24" s="52"/>
      <c r="C24" s="53"/>
      <c r="D24" s="53"/>
      <c r="E24" s="53"/>
      <c r="F24" s="53"/>
      <c r="G24" s="54"/>
      <c r="Y24" s="55"/>
      <c r="BB24" s="10"/>
    </row>
    <row r="25" spans="1:54" s="8" customFormat="1" ht="16.5" customHeight="1" thickTop="1" thickBot="1" x14ac:dyDescent="0.35">
      <c r="A25" s="95"/>
      <c r="U25" s="620" t="s">
        <v>27</v>
      </c>
      <c r="V25" s="523"/>
      <c r="W25" s="523"/>
      <c r="X25" s="523"/>
      <c r="Y25" s="523"/>
      <c r="Z25" s="523"/>
      <c r="AA25" s="524"/>
      <c r="AQ25" s="621" t="s">
        <v>28</v>
      </c>
      <c r="AR25" s="622"/>
      <c r="AS25" s="622"/>
      <c r="AT25" s="622"/>
      <c r="AU25" s="622"/>
      <c r="AV25" s="622"/>
      <c r="AW25" s="622"/>
      <c r="AX25" s="622"/>
      <c r="AY25" s="622"/>
      <c r="AZ25" s="622"/>
      <c r="BA25" s="623"/>
      <c r="BB25" s="10"/>
    </row>
    <row r="26" spans="1:54" s="8" customFormat="1" ht="16.5" customHeight="1" thickTop="1" x14ac:dyDescent="0.25">
      <c r="A26" s="95"/>
      <c r="H26" s="57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9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60"/>
      <c r="AQ26" s="127"/>
      <c r="BA26" s="128"/>
      <c r="BB26" s="10"/>
    </row>
    <row r="27" spans="1:54" s="8" customFormat="1" ht="16.5" customHeight="1" x14ac:dyDescent="0.3">
      <c r="A27" s="95"/>
      <c r="H27" s="61"/>
      <c r="V27" s="591" t="s">
        <v>20</v>
      </c>
      <c r="W27" s="469"/>
      <c r="X27" s="469"/>
      <c r="Y27" s="469"/>
      <c r="Z27" s="470"/>
      <c r="AN27" s="62"/>
      <c r="AQ27" s="127"/>
      <c r="AR27" s="591" t="s">
        <v>170</v>
      </c>
      <c r="AS27" s="469"/>
      <c r="AT27" s="469"/>
      <c r="AU27" s="469"/>
      <c r="AV27" s="469"/>
      <c r="AW27" s="469"/>
      <c r="AX27" s="469"/>
      <c r="AY27" s="469"/>
      <c r="AZ27" s="470"/>
      <c r="BA27" s="128"/>
      <c r="BB27" s="10"/>
    </row>
    <row r="28" spans="1:54" s="8" customFormat="1" ht="16.5" customHeight="1" x14ac:dyDescent="0.3">
      <c r="A28" s="95"/>
      <c r="H28" s="61"/>
      <c r="S28" s="5"/>
      <c r="T28" s="6"/>
      <c r="U28" s="101"/>
      <c r="V28" s="143">
        <v>1</v>
      </c>
      <c r="W28" s="518"/>
      <c r="X28" s="555"/>
      <c r="Y28" s="469"/>
      <c r="Z28" s="470"/>
      <c r="AN28" s="62"/>
      <c r="AQ28" s="127"/>
      <c r="AR28" s="122">
        <v>1</v>
      </c>
      <c r="AS28" s="518"/>
      <c r="AT28" s="469"/>
      <c r="AU28" s="469"/>
      <c r="AV28" s="469"/>
      <c r="AW28" s="469"/>
      <c r="AX28" s="469"/>
      <c r="AY28" s="469"/>
      <c r="AZ28" s="470"/>
      <c r="BA28" s="128"/>
      <c r="BB28" s="10"/>
    </row>
    <row r="29" spans="1:54" s="8" customFormat="1" ht="16.5" customHeight="1" x14ac:dyDescent="0.3">
      <c r="A29" s="95"/>
      <c r="H29" s="61"/>
      <c r="J29" s="617" t="s">
        <v>171</v>
      </c>
      <c r="K29" s="618"/>
      <c r="L29" s="618"/>
      <c r="M29" s="619"/>
      <c r="Q29" s="591" t="s">
        <v>172</v>
      </c>
      <c r="R29" s="469"/>
      <c r="S29" s="469"/>
      <c r="T29" s="470"/>
      <c r="AB29" s="588" t="s">
        <v>33</v>
      </c>
      <c r="AC29" s="589"/>
      <c r="AD29" s="589"/>
      <c r="AE29" s="590"/>
      <c r="AN29" s="62"/>
      <c r="AQ29" s="127"/>
      <c r="AS29" s="45"/>
      <c r="AX29" s="45"/>
      <c r="BA29" s="128"/>
      <c r="BB29" s="10"/>
    </row>
    <row r="30" spans="1:54" s="8" customFormat="1" ht="16.5" customHeight="1" x14ac:dyDescent="0.3">
      <c r="A30" s="95"/>
      <c r="H30" s="61"/>
      <c r="J30" s="143">
        <v>1</v>
      </c>
      <c r="K30" s="518" t="s">
        <v>173</v>
      </c>
      <c r="L30" s="469"/>
      <c r="M30" s="470"/>
      <c r="N30" s="5"/>
      <c r="O30" s="6"/>
      <c r="P30" s="101"/>
      <c r="Q30" s="143">
        <v>1</v>
      </c>
      <c r="R30" s="616"/>
      <c r="S30" s="555"/>
      <c r="T30" s="528"/>
      <c r="U30" s="5"/>
      <c r="V30" s="6"/>
      <c r="W30" s="6"/>
      <c r="X30" s="6"/>
      <c r="Y30" s="6"/>
      <c r="Z30" s="6"/>
      <c r="AA30" s="6"/>
      <c r="AB30" s="592">
        <v>1</v>
      </c>
      <c r="AC30" s="519" t="s">
        <v>174</v>
      </c>
      <c r="AD30" s="477"/>
      <c r="AE30" s="478"/>
      <c r="AN30" s="62"/>
      <c r="AQ30" s="127"/>
      <c r="AR30" s="588" t="s">
        <v>175</v>
      </c>
      <c r="AS30" s="589"/>
      <c r="AT30" s="589"/>
      <c r="AU30" s="590"/>
      <c r="AW30" s="591" t="s">
        <v>176</v>
      </c>
      <c r="AX30" s="469"/>
      <c r="AY30" s="469"/>
      <c r="AZ30" s="470"/>
      <c r="BA30" s="128"/>
      <c r="BB30" s="10"/>
    </row>
    <row r="31" spans="1:54" s="8" customFormat="1" ht="16.5" customHeight="1" x14ac:dyDescent="0.3">
      <c r="A31" s="95"/>
      <c r="H31" s="61"/>
      <c r="J31" s="29"/>
      <c r="K31" s="63"/>
      <c r="L31" s="64"/>
      <c r="M31" s="29"/>
      <c r="Q31" s="29"/>
      <c r="R31" s="29"/>
      <c r="S31" s="29"/>
      <c r="T31" s="29"/>
      <c r="AB31" s="613"/>
      <c r="AC31" s="518" t="s">
        <v>177</v>
      </c>
      <c r="AD31" s="568"/>
      <c r="AE31" s="470"/>
      <c r="AN31" s="62"/>
      <c r="AQ31" s="127"/>
      <c r="AR31" s="142">
        <v>1</v>
      </c>
      <c r="AS31" s="518"/>
      <c r="AT31" s="469"/>
      <c r="AU31" s="470"/>
      <c r="AW31" s="122">
        <v>1</v>
      </c>
      <c r="AX31" s="83"/>
      <c r="AY31" s="83"/>
      <c r="AZ31" s="84"/>
      <c r="BA31" s="128"/>
      <c r="BB31" s="10"/>
    </row>
    <row r="32" spans="1:54" s="8" customFormat="1" ht="16.5" customHeight="1" x14ac:dyDescent="0.3">
      <c r="A32" s="95"/>
      <c r="H32" s="61"/>
      <c r="J32" s="588" t="s">
        <v>178</v>
      </c>
      <c r="K32" s="589"/>
      <c r="L32" s="589"/>
      <c r="M32" s="590"/>
      <c r="Q32" s="29"/>
      <c r="R32" s="29"/>
      <c r="S32" s="29"/>
      <c r="T32" s="29"/>
      <c r="AB32" s="593"/>
      <c r="AC32" s="529" t="s">
        <v>179</v>
      </c>
      <c r="AD32" s="487"/>
      <c r="AE32" s="488"/>
      <c r="AN32" s="62"/>
      <c r="AQ32" s="127"/>
      <c r="AR32" s="43"/>
      <c r="AS32" s="43"/>
      <c r="AT32" s="43"/>
      <c r="AU32" s="43"/>
      <c r="AW32" s="69"/>
      <c r="AX32" s="69"/>
      <c r="AY32" s="69"/>
      <c r="AZ32" s="69"/>
      <c r="BA32" s="128"/>
      <c r="BB32" s="10"/>
    </row>
    <row r="33" spans="1:54" s="8" customFormat="1" ht="16.5" customHeight="1" x14ac:dyDescent="0.3">
      <c r="A33" s="95"/>
      <c r="H33" s="61"/>
      <c r="J33" s="592">
        <v>3</v>
      </c>
      <c r="K33" s="614" t="s">
        <v>180</v>
      </c>
      <c r="L33" s="477"/>
      <c r="M33" s="478"/>
      <c r="Q33" s="29"/>
      <c r="R33" s="29"/>
      <c r="S33" s="29"/>
      <c r="T33" s="29"/>
      <c r="AB33" s="29"/>
      <c r="AC33" s="29"/>
      <c r="AD33" s="29"/>
      <c r="AE33" s="29"/>
      <c r="AN33" s="62"/>
      <c r="AQ33" s="127"/>
      <c r="AR33" s="588" t="s">
        <v>181</v>
      </c>
      <c r="AS33" s="589"/>
      <c r="AT33" s="589"/>
      <c r="AU33" s="590"/>
      <c r="AW33" s="588" t="s">
        <v>182</v>
      </c>
      <c r="AX33" s="589"/>
      <c r="AY33" s="589"/>
      <c r="AZ33" s="590"/>
      <c r="BA33" s="128"/>
      <c r="BB33" s="10"/>
    </row>
    <row r="34" spans="1:54" s="8" customFormat="1" ht="16.5" customHeight="1" x14ac:dyDescent="0.3">
      <c r="A34" s="95"/>
      <c r="H34" s="61"/>
      <c r="J34" s="613"/>
      <c r="K34" s="615" t="s">
        <v>183</v>
      </c>
      <c r="L34" s="568"/>
      <c r="M34" s="470"/>
      <c r="Q34" s="29"/>
      <c r="R34" s="29"/>
      <c r="S34" s="29"/>
      <c r="AB34" s="29"/>
      <c r="AC34" s="29"/>
      <c r="AD34" s="29"/>
      <c r="AE34" s="29"/>
      <c r="AN34" s="62"/>
      <c r="AQ34" s="127"/>
      <c r="AR34" s="592">
        <v>3</v>
      </c>
      <c r="AS34" s="519" t="s">
        <v>184</v>
      </c>
      <c r="AT34" s="477"/>
      <c r="AU34" s="478"/>
      <c r="AW34" s="592">
        <v>3</v>
      </c>
      <c r="AX34" s="519" t="s">
        <v>185</v>
      </c>
      <c r="AY34" s="477"/>
      <c r="AZ34" s="478"/>
      <c r="BA34" s="128"/>
      <c r="BB34" s="10"/>
    </row>
    <row r="35" spans="1:54" s="8" customFormat="1" ht="16.5" customHeight="1" x14ac:dyDescent="0.3">
      <c r="A35" s="95"/>
      <c r="H35" s="61"/>
      <c r="J35" s="593"/>
      <c r="K35" s="609" t="s">
        <v>186</v>
      </c>
      <c r="L35" s="487"/>
      <c r="M35" s="488"/>
      <c r="Q35" s="29"/>
      <c r="R35" s="29"/>
      <c r="S35" s="29"/>
      <c r="T35" s="29"/>
      <c r="AB35" s="29"/>
      <c r="AC35" s="29"/>
      <c r="AD35" s="29"/>
      <c r="AE35" s="29"/>
      <c r="AN35" s="62"/>
      <c r="AQ35" s="127"/>
      <c r="AR35" s="613"/>
      <c r="AS35" s="518" t="s">
        <v>187</v>
      </c>
      <c r="AT35" s="568"/>
      <c r="AU35" s="470"/>
      <c r="AW35" s="613"/>
      <c r="AX35" s="518" t="s">
        <v>188</v>
      </c>
      <c r="AY35" s="568"/>
      <c r="AZ35" s="470"/>
      <c r="BA35" s="128"/>
      <c r="BB35" s="129" t="s">
        <v>189</v>
      </c>
    </row>
    <row r="36" spans="1:54" s="8" customFormat="1" ht="16.5" customHeight="1" x14ac:dyDescent="0.3">
      <c r="A36" s="95"/>
      <c r="H36" s="61"/>
      <c r="L36" s="27"/>
      <c r="AD36" s="27"/>
      <c r="AN36" s="62"/>
      <c r="AQ36" s="127"/>
      <c r="AR36" s="593"/>
      <c r="AS36" s="529" t="s">
        <v>190</v>
      </c>
      <c r="AT36" s="487"/>
      <c r="AU36" s="488"/>
      <c r="AW36" s="593"/>
      <c r="AX36" s="513"/>
      <c r="AY36" s="514"/>
      <c r="AZ36" s="515"/>
      <c r="BA36" s="128"/>
      <c r="BB36" s="10"/>
    </row>
    <row r="37" spans="1:54" s="8" customFormat="1" ht="16.5" customHeight="1" x14ac:dyDescent="0.3">
      <c r="A37" s="95"/>
      <c r="H37" s="61"/>
      <c r="I37" s="610" t="s">
        <v>38</v>
      </c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2"/>
      <c r="Z37" s="610" t="s">
        <v>39</v>
      </c>
      <c r="AA37" s="611"/>
      <c r="AB37" s="611"/>
      <c r="AC37" s="611"/>
      <c r="AD37" s="611"/>
      <c r="AE37" s="611"/>
      <c r="AF37" s="611"/>
      <c r="AG37" s="611"/>
      <c r="AH37" s="611"/>
      <c r="AI37" s="611"/>
      <c r="AJ37" s="611"/>
      <c r="AK37" s="611"/>
      <c r="AL37" s="611"/>
      <c r="AM37" s="612"/>
      <c r="AN37" s="62"/>
      <c r="AQ37" s="127"/>
      <c r="AT37" s="95"/>
      <c r="AX37" s="10"/>
      <c r="BA37" s="128"/>
      <c r="BB37" s="10"/>
    </row>
    <row r="38" spans="1:54" s="8" customFormat="1" ht="16.5" customHeight="1" x14ac:dyDescent="0.3">
      <c r="A38" s="95"/>
      <c r="H38" s="61"/>
      <c r="J38" s="28"/>
      <c r="O38" s="28"/>
      <c r="T38" s="28"/>
      <c r="AA38" s="28"/>
      <c r="AF38" s="28"/>
      <c r="AK38" s="28"/>
      <c r="AN38" s="62"/>
      <c r="AQ38" s="127"/>
      <c r="AR38" s="588" t="s">
        <v>142</v>
      </c>
      <c r="AS38" s="589"/>
      <c r="AT38" s="589"/>
      <c r="AU38" s="590"/>
      <c r="AW38" s="588" t="s">
        <v>72</v>
      </c>
      <c r="AX38" s="589"/>
      <c r="AY38" s="589"/>
      <c r="AZ38" s="590"/>
      <c r="BA38" s="128"/>
      <c r="BB38" s="10"/>
    </row>
    <row r="39" spans="1:54" s="8" customFormat="1" ht="16.5" customHeight="1" x14ac:dyDescent="0.3">
      <c r="A39" s="95"/>
      <c r="H39" s="61"/>
      <c r="I39" s="606" t="s">
        <v>42</v>
      </c>
      <c r="J39" s="607"/>
      <c r="K39" s="607"/>
      <c r="L39" s="608"/>
      <c r="N39" s="606" t="s">
        <v>42</v>
      </c>
      <c r="O39" s="607"/>
      <c r="P39" s="607"/>
      <c r="Q39" s="608"/>
      <c r="S39" s="606" t="s">
        <v>42</v>
      </c>
      <c r="T39" s="607"/>
      <c r="U39" s="607"/>
      <c r="V39" s="608"/>
      <c r="Z39" s="606" t="s">
        <v>42</v>
      </c>
      <c r="AA39" s="607"/>
      <c r="AB39" s="607"/>
      <c r="AC39" s="608"/>
      <c r="AE39" s="606" t="s">
        <v>42</v>
      </c>
      <c r="AF39" s="607"/>
      <c r="AG39" s="607"/>
      <c r="AH39" s="608"/>
      <c r="AJ39" s="606" t="s">
        <v>42</v>
      </c>
      <c r="AK39" s="607"/>
      <c r="AL39" s="607"/>
      <c r="AM39" s="608"/>
      <c r="AN39" s="62"/>
      <c r="AQ39" s="127"/>
      <c r="AR39" s="142">
        <v>3</v>
      </c>
      <c r="AS39" s="518"/>
      <c r="AT39" s="469"/>
      <c r="AU39" s="470"/>
      <c r="AW39" s="142">
        <v>3</v>
      </c>
      <c r="AX39" s="518"/>
      <c r="AY39" s="469"/>
      <c r="AZ39" s="470"/>
      <c r="BA39" s="128"/>
      <c r="BB39" s="10"/>
    </row>
    <row r="40" spans="1:54" s="8" customFormat="1" ht="16.5" customHeight="1" x14ac:dyDescent="0.3">
      <c r="A40" s="95"/>
      <c r="H40" s="61"/>
      <c r="I40" s="146">
        <v>16</v>
      </c>
      <c r="J40" s="603" t="s">
        <v>48</v>
      </c>
      <c r="K40" s="604"/>
      <c r="L40" s="605"/>
      <c r="N40" s="146">
        <v>16</v>
      </c>
      <c r="O40" s="603" t="s">
        <v>46</v>
      </c>
      <c r="P40" s="604"/>
      <c r="Q40" s="605"/>
      <c r="S40" s="146">
        <v>16</v>
      </c>
      <c r="T40" s="603" t="s">
        <v>47</v>
      </c>
      <c r="U40" s="604"/>
      <c r="V40" s="605"/>
      <c r="Z40" s="146">
        <v>12</v>
      </c>
      <c r="AA40" s="603" t="s">
        <v>48</v>
      </c>
      <c r="AB40" s="604"/>
      <c r="AC40" s="605"/>
      <c r="AE40" s="146">
        <v>12</v>
      </c>
      <c r="AF40" s="603" t="s">
        <v>46</v>
      </c>
      <c r="AG40" s="604"/>
      <c r="AH40" s="605"/>
      <c r="AJ40" s="146">
        <v>12</v>
      </c>
      <c r="AK40" s="603" t="s">
        <v>47</v>
      </c>
      <c r="AL40" s="604"/>
      <c r="AM40" s="605"/>
      <c r="AN40" s="62"/>
      <c r="AQ40" s="127"/>
      <c r="AX40" s="45"/>
      <c r="BA40" s="128"/>
      <c r="BB40" s="10"/>
    </row>
    <row r="41" spans="1:54" s="8" customFormat="1" ht="16.5" customHeight="1" x14ac:dyDescent="0.3">
      <c r="A41" s="95"/>
      <c r="H41" s="61"/>
      <c r="AN41" s="62"/>
      <c r="AQ41" s="127"/>
      <c r="AW41" s="588" t="s">
        <v>191</v>
      </c>
      <c r="AX41" s="589"/>
      <c r="AY41" s="589"/>
      <c r="AZ41" s="590"/>
      <c r="BA41" s="128"/>
      <c r="BB41" s="10"/>
    </row>
    <row r="42" spans="1:54" s="8" customFormat="1" ht="16.5" customHeight="1" x14ac:dyDescent="0.3">
      <c r="A42" s="95"/>
      <c r="H42" s="61"/>
      <c r="I42" s="592" t="s">
        <v>68</v>
      </c>
      <c r="J42" s="589"/>
      <c r="K42" s="589"/>
      <c r="L42" s="590"/>
      <c r="N42" s="592" t="s">
        <v>68</v>
      </c>
      <c r="O42" s="589"/>
      <c r="P42" s="589"/>
      <c r="Q42" s="590"/>
      <c r="S42" s="592" t="s">
        <v>68</v>
      </c>
      <c r="T42" s="589"/>
      <c r="U42" s="589"/>
      <c r="V42" s="590"/>
      <c r="Z42" s="592" t="s">
        <v>69</v>
      </c>
      <c r="AA42" s="589"/>
      <c r="AB42" s="589"/>
      <c r="AC42" s="590"/>
      <c r="AE42" s="592" t="s">
        <v>69</v>
      </c>
      <c r="AF42" s="589"/>
      <c r="AG42" s="589"/>
      <c r="AH42" s="590"/>
      <c r="AJ42" s="592" t="s">
        <v>69</v>
      </c>
      <c r="AK42" s="589"/>
      <c r="AL42" s="589"/>
      <c r="AM42" s="590"/>
      <c r="AN42" s="62"/>
      <c r="AQ42" s="127"/>
      <c r="AW42" s="142">
        <v>3</v>
      </c>
      <c r="AX42" s="518"/>
      <c r="AY42" s="469"/>
      <c r="AZ42" s="470"/>
      <c r="BA42" s="128"/>
      <c r="BB42" s="129" t="s">
        <v>192</v>
      </c>
    </row>
    <row r="43" spans="1:54" s="8" customFormat="1" ht="16.5" customHeight="1" x14ac:dyDescent="0.3">
      <c r="A43" s="95"/>
      <c r="H43" s="61"/>
      <c r="I43" s="142">
        <v>1</v>
      </c>
      <c r="J43" s="518"/>
      <c r="K43" s="469"/>
      <c r="L43" s="470"/>
      <c r="N43" s="142">
        <v>1</v>
      </c>
      <c r="O43" s="518"/>
      <c r="P43" s="469"/>
      <c r="Q43" s="470"/>
      <c r="S43" s="142">
        <v>1</v>
      </c>
      <c r="T43" s="518"/>
      <c r="U43" s="469"/>
      <c r="V43" s="470"/>
      <c r="Z43" s="142">
        <v>1</v>
      </c>
      <c r="AA43" s="518" t="s">
        <v>71</v>
      </c>
      <c r="AB43" s="469"/>
      <c r="AC43" s="470"/>
      <c r="AE43" s="142">
        <v>1</v>
      </c>
      <c r="AF43" s="518"/>
      <c r="AG43" s="469"/>
      <c r="AH43" s="470"/>
      <c r="AJ43" s="142">
        <v>1</v>
      </c>
      <c r="AK43" s="518"/>
      <c r="AL43" s="469"/>
      <c r="AM43" s="470"/>
      <c r="AN43" s="62"/>
      <c r="AQ43" s="127"/>
      <c r="BA43" s="128"/>
      <c r="BB43" s="10"/>
    </row>
    <row r="44" spans="1:54" s="8" customFormat="1" ht="16.5" customHeight="1" x14ac:dyDescent="0.3">
      <c r="A44" s="95"/>
      <c r="H44" s="61"/>
      <c r="AN44" s="62"/>
      <c r="AQ44" s="127"/>
      <c r="AR44" s="591" t="s">
        <v>193</v>
      </c>
      <c r="AS44" s="469"/>
      <c r="AT44" s="469"/>
      <c r="AU44" s="470"/>
      <c r="AW44" s="588" t="s">
        <v>194</v>
      </c>
      <c r="AX44" s="589"/>
      <c r="AY44" s="589"/>
      <c r="AZ44" s="590"/>
      <c r="BA44" s="128"/>
      <c r="BB44" s="10"/>
    </row>
    <row r="45" spans="1:54" s="8" customFormat="1" ht="16.5" customHeight="1" x14ac:dyDescent="0.3">
      <c r="A45" s="95"/>
      <c r="H45" s="61"/>
      <c r="I45" s="599" t="s">
        <v>76</v>
      </c>
      <c r="J45" s="600"/>
      <c r="K45" s="600"/>
      <c r="L45" s="601"/>
      <c r="N45" s="599" t="s">
        <v>76</v>
      </c>
      <c r="O45" s="600"/>
      <c r="P45" s="600"/>
      <c r="Q45" s="601"/>
      <c r="S45" s="599" t="s">
        <v>76</v>
      </c>
      <c r="T45" s="600"/>
      <c r="U45" s="600"/>
      <c r="V45" s="601"/>
      <c r="Z45" s="588" t="s">
        <v>106</v>
      </c>
      <c r="AA45" s="589"/>
      <c r="AB45" s="589"/>
      <c r="AC45" s="590"/>
      <c r="AE45" s="588" t="s">
        <v>106</v>
      </c>
      <c r="AF45" s="589"/>
      <c r="AG45" s="589"/>
      <c r="AH45" s="590"/>
      <c r="AJ45" s="588" t="s">
        <v>106</v>
      </c>
      <c r="AK45" s="589"/>
      <c r="AL45" s="589"/>
      <c r="AM45" s="590"/>
      <c r="AN45" s="62"/>
      <c r="AQ45" s="127"/>
      <c r="AR45" s="122">
        <v>1</v>
      </c>
      <c r="AS45" s="518" t="s">
        <v>195</v>
      </c>
      <c r="AT45" s="469"/>
      <c r="AU45" s="470"/>
      <c r="AW45" s="602">
        <v>2</v>
      </c>
      <c r="AX45" s="518" t="s">
        <v>196</v>
      </c>
      <c r="AY45" s="469"/>
      <c r="AZ45" s="470"/>
      <c r="BA45" s="128"/>
      <c r="BB45" s="129" t="s">
        <v>189</v>
      </c>
    </row>
    <row r="46" spans="1:54" s="8" customFormat="1" ht="16.5" customHeight="1" x14ac:dyDescent="0.3">
      <c r="A46" s="95"/>
      <c r="H46" s="61"/>
      <c r="I46" s="147">
        <v>1</v>
      </c>
      <c r="J46" s="518"/>
      <c r="K46" s="469"/>
      <c r="L46" s="470"/>
      <c r="N46" s="147">
        <v>1</v>
      </c>
      <c r="O46" s="518"/>
      <c r="P46" s="469"/>
      <c r="Q46" s="470"/>
      <c r="S46" s="147">
        <v>1</v>
      </c>
      <c r="T46" s="518"/>
      <c r="U46" s="469"/>
      <c r="V46" s="470"/>
      <c r="Y46" s="121" t="s">
        <v>192</v>
      </c>
      <c r="Z46" s="142">
        <v>1</v>
      </c>
      <c r="AA46" s="518"/>
      <c r="AB46" s="469"/>
      <c r="AC46" s="470"/>
      <c r="AE46" s="142">
        <v>1</v>
      </c>
      <c r="AF46" s="518"/>
      <c r="AG46" s="469"/>
      <c r="AH46" s="470"/>
      <c r="AJ46" s="142">
        <v>1</v>
      </c>
      <c r="AK46" s="518"/>
      <c r="AL46" s="469"/>
      <c r="AM46" s="470"/>
      <c r="AN46" s="62"/>
      <c r="AQ46" s="127"/>
      <c r="AS46" s="45"/>
      <c r="AW46" s="596"/>
      <c r="AX46" s="529"/>
      <c r="AY46" s="487"/>
      <c r="AZ46" s="488"/>
      <c r="BA46" s="128"/>
      <c r="BB46" s="10"/>
    </row>
    <row r="47" spans="1:54" s="8" customFormat="1" ht="16.5" customHeight="1" x14ac:dyDescent="0.3">
      <c r="A47" s="95"/>
      <c r="H47" s="61"/>
      <c r="AN47" s="62"/>
      <c r="AQ47" s="127"/>
      <c r="AR47" s="591" t="s">
        <v>197</v>
      </c>
      <c r="AS47" s="469"/>
      <c r="AT47" s="469"/>
      <c r="AU47" s="470"/>
      <c r="BA47" s="128"/>
      <c r="BB47" s="10"/>
    </row>
    <row r="48" spans="1:54" s="8" customFormat="1" ht="16.5" customHeight="1" x14ac:dyDescent="0.3">
      <c r="A48" s="95"/>
      <c r="H48" s="61"/>
      <c r="I48" s="592" t="s">
        <v>198</v>
      </c>
      <c r="J48" s="589"/>
      <c r="K48" s="589"/>
      <c r="L48" s="590"/>
      <c r="N48" s="588" t="s">
        <v>198</v>
      </c>
      <c r="O48" s="589"/>
      <c r="P48" s="589"/>
      <c r="Q48" s="590"/>
      <c r="S48" s="588" t="s">
        <v>198</v>
      </c>
      <c r="T48" s="589"/>
      <c r="U48" s="589"/>
      <c r="V48" s="590"/>
      <c r="Z48" s="588" t="s">
        <v>83</v>
      </c>
      <c r="AA48" s="589"/>
      <c r="AB48" s="589"/>
      <c r="AC48" s="590"/>
      <c r="AE48" s="588" t="s">
        <v>83</v>
      </c>
      <c r="AF48" s="589"/>
      <c r="AG48" s="589"/>
      <c r="AH48" s="590"/>
      <c r="AJ48" s="588" t="s">
        <v>83</v>
      </c>
      <c r="AK48" s="589"/>
      <c r="AL48" s="589"/>
      <c r="AM48" s="590"/>
      <c r="AN48" s="62"/>
      <c r="AQ48" s="130" t="s">
        <v>192</v>
      </c>
      <c r="AR48" s="122">
        <v>3</v>
      </c>
      <c r="AS48" s="518"/>
      <c r="AT48" s="469"/>
      <c r="AU48" s="470"/>
      <c r="BA48" s="128"/>
      <c r="BB48" s="10"/>
    </row>
    <row r="49" spans="1:54" s="8" customFormat="1" ht="16.5" customHeight="1" x14ac:dyDescent="0.3">
      <c r="A49" s="95"/>
      <c r="G49" s="121" t="s">
        <v>199</v>
      </c>
      <c r="H49" s="61"/>
      <c r="I49" s="142">
        <v>1</v>
      </c>
      <c r="J49" s="518"/>
      <c r="K49" s="469"/>
      <c r="L49" s="470"/>
      <c r="N49" s="142">
        <v>1</v>
      </c>
      <c r="O49" s="518" t="s">
        <v>200</v>
      </c>
      <c r="P49" s="469"/>
      <c r="Q49" s="470"/>
      <c r="S49" s="142">
        <v>1</v>
      </c>
      <c r="T49" s="518" t="s">
        <v>200</v>
      </c>
      <c r="U49" s="469"/>
      <c r="V49" s="470"/>
      <c r="Y49" s="121" t="s">
        <v>201</v>
      </c>
      <c r="Z49" s="142">
        <v>3</v>
      </c>
      <c r="AA49" s="518"/>
      <c r="AB49" s="469"/>
      <c r="AC49" s="470"/>
      <c r="AE49" s="142">
        <v>3</v>
      </c>
      <c r="AF49" s="518"/>
      <c r="AG49" s="469"/>
      <c r="AH49" s="470"/>
      <c r="AJ49" s="142">
        <v>3</v>
      </c>
      <c r="AK49" s="518"/>
      <c r="AL49" s="469"/>
      <c r="AM49" s="470"/>
      <c r="AN49" s="62"/>
      <c r="AQ49" s="127"/>
      <c r="AS49" s="45"/>
      <c r="BA49" s="128"/>
      <c r="BB49" s="10"/>
    </row>
    <row r="50" spans="1:54" s="8" customFormat="1" ht="16.5" customHeight="1" x14ac:dyDescent="0.3">
      <c r="A50" s="95"/>
      <c r="H50" s="61"/>
      <c r="AN50" s="62"/>
      <c r="AQ50" s="127"/>
      <c r="AR50" s="588" t="s">
        <v>202</v>
      </c>
      <c r="AS50" s="589"/>
      <c r="AT50" s="589"/>
      <c r="AU50" s="590"/>
      <c r="AW50" s="588" t="s">
        <v>158</v>
      </c>
      <c r="AX50" s="589"/>
      <c r="AY50" s="589"/>
      <c r="AZ50" s="590"/>
      <c r="BA50" s="128"/>
      <c r="BB50" s="10"/>
    </row>
    <row r="51" spans="1:54" s="8" customFormat="1" ht="16.5" customHeight="1" x14ac:dyDescent="0.3">
      <c r="A51" s="95"/>
      <c r="H51" s="61"/>
      <c r="I51" s="588" t="s">
        <v>203</v>
      </c>
      <c r="J51" s="589"/>
      <c r="K51" s="589"/>
      <c r="L51" s="590"/>
      <c r="N51" s="588" t="s">
        <v>203</v>
      </c>
      <c r="O51" s="589"/>
      <c r="P51" s="589"/>
      <c r="Q51" s="590"/>
      <c r="S51" s="588" t="s">
        <v>203</v>
      </c>
      <c r="T51" s="589"/>
      <c r="U51" s="589"/>
      <c r="V51" s="590"/>
      <c r="Z51" s="588" t="s">
        <v>89</v>
      </c>
      <c r="AA51" s="589"/>
      <c r="AB51" s="589"/>
      <c r="AC51" s="590"/>
      <c r="AE51" s="588" t="s">
        <v>89</v>
      </c>
      <c r="AF51" s="589"/>
      <c r="AG51" s="589"/>
      <c r="AH51" s="590"/>
      <c r="AJ51" s="588" t="s">
        <v>89</v>
      </c>
      <c r="AK51" s="589"/>
      <c r="AL51" s="589"/>
      <c r="AM51" s="590"/>
      <c r="AN51" s="62"/>
      <c r="AQ51" s="130" t="s">
        <v>201</v>
      </c>
      <c r="AR51" s="142">
        <v>9</v>
      </c>
      <c r="AS51" s="518"/>
      <c r="AT51" s="469"/>
      <c r="AU51" s="470"/>
      <c r="AW51" s="142">
        <v>1</v>
      </c>
      <c r="AX51" s="518"/>
      <c r="AY51" s="469"/>
      <c r="AZ51" s="470"/>
      <c r="BA51" s="128"/>
      <c r="BB51" s="10"/>
    </row>
    <row r="52" spans="1:54" s="8" customFormat="1" ht="16.5" customHeight="1" x14ac:dyDescent="0.3">
      <c r="A52" s="95"/>
      <c r="H52" s="61"/>
      <c r="I52" s="142">
        <v>1</v>
      </c>
      <c r="J52" s="518" t="s">
        <v>109</v>
      </c>
      <c r="K52" s="469"/>
      <c r="L52" s="470"/>
      <c r="N52" s="142">
        <v>1</v>
      </c>
      <c r="O52" s="518" t="s">
        <v>110</v>
      </c>
      <c r="P52" s="469"/>
      <c r="Q52" s="470"/>
      <c r="S52" s="142">
        <v>1</v>
      </c>
      <c r="T52" s="518" t="s">
        <v>67</v>
      </c>
      <c r="U52" s="469"/>
      <c r="V52" s="470"/>
      <c r="Y52" s="121" t="s">
        <v>201</v>
      </c>
      <c r="Z52" s="142">
        <v>3</v>
      </c>
      <c r="AA52" s="518"/>
      <c r="AB52" s="469"/>
      <c r="AC52" s="470"/>
      <c r="AE52" s="142">
        <v>3</v>
      </c>
      <c r="AF52" s="518"/>
      <c r="AG52" s="469"/>
      <c r="AH52" s="470"/>
      <c r="AJ52" s="142">
        <v>3</v>
      </c>
      <c r="AK52" s="518"/>
      <c r="AL52" s="469"/>
      <c r="AM52" s="470"/>
      <c r="AN52" s="62"/>
      <c r="AQ52" s="127"/>
      <c r="AS52" s="45"/>
      <c r="BA52" s="128"/>
      <c r="BB52" s="10"/>
    </row>
    <row r="53" spans="1:54" s="8" customFormat="1" ht="16.5" customHeight="1" x14ac:dyDescent="0.3">
      <c r="A53" s="95"/>
      <c r="H53" s="61"/>
      <c r="AN53" s="62"/>
      <c r="AQ53" s="131"/>
      <c r="AR53" s="588" t="s">
        <v>204</v>
      </c>
      <c r="AS53" s="589"/>
      <c r="AT53" s="589"/>
      <c r="AU53" s="590"/>
      <c r="AW53" s="588" t="s">
        <v>165</v>
      </c>
      <c r="AX53" s="589"/>
      <c r="AY53" s="589"/>
      <c r="AZ53" s="590"/>
      <c r="BA53" s="128"/>
      <c r="BB53" s="10"/>
    </row>
    <row r="54" spans="1:54" s="8" customFormat="1" ht="16.5" customHeight="1" x14ac:dyDescent="0.3">
      <c r="A54" s="95"/>
      <c r="H54" s="61"/>
      <c r="I54" s="599" t="s">
        <v>82</v>
      </c>
      <c r="J54" s="600"/>
      <c r="K54" s="600"/>
      <c r="L54" s="601"/>
      <c r="N54" s="599" t="s">
        <v>82</v>
      </c>
      <c r="O54" s="600"/>
      <c r="P54" s="600"/>
      <c r="Q54" s="601"/>
      <c r="S54" s="599" t="s">
        <v>82</v>
      </c>
      <c r="T54" s="600"/>
      <c r="U54" s="600"/>
      <c r="V54" s="601"/>
      <c r="Z54" s="588" t="s">
        <v>96</v>
      </c>
      <c r="AA54" s="589"/>
      <c r="AB54" s="589"/>
      <c r="AC54" s="590"/>
      <c r="AE54" s="588" t="s">
        <v>96</v>
      </c>
      <c r="AF54" s="589"/>
      <c r="AG54" s="589"/>
      <c r="AH54" s="590"/>
      <c r="AJ54" s="588" t="s">
        <v>96</v>
      </c>
      <c r="AK54" s="589"/>
      <c r="AL54" s="589"/>
      <c r="AM54" s="590"/>
      <c r="AN54" s="62"/>
      <c r="AQ54" s="130" t="s">
        <v>201</v>
      </c>
      <c r="AR54" s="142">
        <v>9</v>
      </c>
      <c r="AS54" s="518"/>
      <c r="AT54" s="469"/>
      <c r="AU54" s="470"/>
      <c r="AW54" s="142">
        <v>2</v>
      </c>
      <c r="AX54" s="518"/>
      <c r="AY54" s="469"/>
      <c r="AZ54" s="470"/>
      <c r="BA54" s="128"/>
      <c r="BB54" s="10"/>
    </row>
    <row r="55" spans="1:54" s="8" customFormat="1" ht="16.5" customHeight="1" x14ac:dyDescent="0.3">
      <c r="A55" s="95"/>
      <c r="H55" s="61"/>
      <c r="I55" s="147">
        <v>1</v>
      </c>
      <c r="J55" s="518"/>
      <c r="K55" s="469"/>
      <c r="L55" s="470"/>
      <c r="N55" s="147">
        <v>1</v>
      </c>
      <c r="O55" s="518"/>
      <c r="P55" s="469"/>
      <c r="Q55" s="470"/>
      <c r="S55" s="147">
        <v>1</v>
      </c>
      <c r="T55" s="518"/>
      <c r="U55" s="469"/>
      <c r="V55" s="470"/>
      <c r="Y55" s="121" t="s">
        <v>192</v>
      </c>
      <c r="Z55" s="142">
        <v>1</v>
      </c>
      <c r="AA55" s="518"/>
      <c r="AB55" s="469"/>
      <c r="AC55" s="470"/>
      <c r="AE55" s="142">
        <v>1</v>
      </c>
      <c r="AF55" s="518"/>
      <c r="AG55" s="469"/>
      <c r="AH55" s="470"/>
      <c r="AJ55" s="142">
        <v>1</v>
      </c>
      <c r="AK55" s="518"/>
      <c r="AL55" s="469"/>
      <c r="AM55" s="470"/>
      <c r="AN55" s="62"/>
      <c r="BA55" s="128"/>
      <c r="BB55" s="10"/>
    </row>
    <row r="56" spans="1:54" s="8" customFormat="1" ht="16.5" customHeight="1" x14ac:dyDescent="0.3">
      <c r="A56" s="95"/>
      <c r="H56" s="61"/>
      <c r="I56" s="29"/>
      <c r="J56" s="29"/>
      <c r="K56" s="29"/>
      <c r="L56" s="29"/>
      <c r="N56" s="29"/>
      <c r="O56" s="29"/>
      <c r="P56" s="29"/>
      <c r="Q56" s="29"/>
      <c r="S56" s="29"/>
      <c r="T56" s="29"/>
      <c r="U56" s="29"/>
      <c r="V56" s="29"/>
      <c r="Z56" s="29"/>
      <c r="AA56" s="29"/>
      <c r="AB56" s="29"/>
      <c r="AC56" s="29"/>
      <c r="AE56" s="29"/>
      <c r="AF56" s="29"/>
      <c r="AG56" s="29"/>
      <c r="AH56" s="29"/>
      <c r="AJ56" s="29"/>
      <c r="AK56" s="29"/>
      <c r="AL56" s="29"/>
      <c r="AM56" s="29"/>
      <c r="AN56" s="62"/>
      <c r="AQ56" s="127"/>
      <c r="AR56" s="588" t="s">
        <v>205</v>
      </c>
      <c r="AS56" s="594"/>
      <c r="AT56" s="594"/>
      <c r="AU56" s="595"/>
      <c r="AW56" s="588" t="s">
        <v>144</v>
      </c>
      <c r="AX56" s="589"/>
      <c r="AY56" s="589"/>
      <c r="AZ56" s="590"/>
      <c r="BA56" s="128"/>
      <c r="BB56" s="10"/>
    </row>
    <row r="57" spans="1:54" s="8" customFormat="1" ht="16.5" customHeight="1" x14ac:dyDescent="0.3">
      <c r="A57" s="95"/>
      <c r="H57" s="61"/>
      <c r="I57" s="592" t="s">
        <v>206</v>
      </c>
      <c r="J57" s="589"/>
      <c r="K57" s="589"/>
      <c r="L57" s="590"/>
      <c r="N57" s="592" t="s">
        <v>206</v>
      </c>
      <c r="O57" s="589"/>
      <c r="P57" s="589"/>
      <c r="Q57" s="590"/>
      <c r="S57" s="592" t="s">
        <v>206</v>
      </c>
      <c r="T57" s="589"/>
      <c r="U57" s="589"/>
      <c r="V57" s="590"/>
      <c r="Z57" s="588" t="s">
        <v>107</v>
      </c>
      <c r="AA57" s="589"/>
      <c r="AB57" s="589"/>
      <c r="AC57" s="590"/>
      <c r="AE57" s="588" t="s">
        <v>107</v>
      </c>
      <c r="AF57" s="589"/>
      <c r="AG57" s="589"/>
      <c r="AH57" s="590"/>
      <c r="AJ57" s="588" t="s">
        <v>107</v>
      </c>
      <c r="AK57" s="589"/>
      <c r="AL57" s="589"/>
      <c r="AM57" s="590"/>
      <c r="AN57" s="62"/>
      <c r="AQ57" s="131"/>
      <c r="AR57" s="596"/>
      <c r="AS57" s="597"/>
      <c r="AT57" s="597"/>
      <c r="AU57" s="598"/>
      <c r="AW57" s="142">
        <v>3</v>
      </c>
      <c r="AX57" s="518"/>
      <c r="AY57" s="469"/>
      <c r="AZ57" s="470"/>
      <c r="BA57" s="128"/>
      <c r="BB57" s="129" t="s">
        <v>192</v>
      </c>
    </row>
    <row r="58" spans="1:54" s="8" customFormat="1" ht="16.5" customHeight="1" x14ac:dyDescent="0.3">
      <c r="A58" s="95"/>
      <c r="G58" s="121" t="s">
        <v>192</v>
      </c>
      <c r="H58" s="61"/>
      <c r="I58" s="142">
        <v>1</v>
      </c>
      <c r="J58" s="518" t="s">
        <v>207</v>
      </c>
      <c r="K58" s="469"/>
      <c r="L58" s="470"/>
      <c r="N58" s="142">
        <v>1</v>
      </c>
      <c r="O58" s="518" t="s">
        <v>208</v>
      </c>
      <c r="P58" s="469"/>
      <c r="Q58" s="470"/>
      <c r="S58" s="142">
        <v>1</v>
      </c>
      <c r="T58" s="518"/>
      <c r="U58" s="469"/>
      <c r="V58" s="470"/>
      <c r="Y58" s="121" t="s">
        <v>192</v>
      </c>
      <c r="Z58" s="142">
        <v>1</v>
      </c>
      <c r="AA58" s="518"/>
      <c r="AB58" s="469"/>
      <c r="AC58" s="470"/>
      <c r="AE58" s="142">
        <v>1</v>
      </c>
      <c r="AF58" s="518"/>
      <c r="AG58" s="469"/>
      <c r="AH58" s="470"/>
      <c r="AJ58" s="142">
        <v>1</v>
      </c>
      <c r="AK58" s="518"/>
      <c r="AL58" s="469"/>
      <c r="AM58" s="470"/>
      <c r="AN58" s="62"/>
      <c r="AQ58" s="127"/>
      <c r="AR58" s="592">
        <v>2</v>
      </c>
      <c r="AS58" s="519" t="s">
        <v>209</v>
      </c>
      <c r="AT58" s="477"/>
      <c r="AU58" s="478"/>
      <c r="BA58" s="128"/>
      <c r="BB58" s="10"/>
    </row>
    <row r="59" spans="1:54" s="8" customFormat="1" ht="16.5" customHeight="1" x14ac:dyDescent="0.3">
      <c r="A59" s="95"/>
      <c r="H59" s="61"/>
      <c r="AA59" s="45"/>
      <c r="AF59" s="45"/>
      <c r="AK59" s="45"/>
      <c r="AN59" s="62"/>
      <c r="AQ59" s="131"/>
      <c r="AR59" s="593"/>
      <c r="AS59" s="529" t="s">
        <v>210</v>
      </c>
      <c r="AT59" s="487"/>
      <c r="AU59" s="488"/>
      <c r="BA59" s="128"/>
      <c r="BB59" s="10"/>
    </row>
    <row r="60" spans="1:54" s="8" customFormat="1" ht="16.5" customHeight="1" thickBot="1" x14ac:dyDescent="0.35">
      <c r="A60" s="95"/>
      <c r="H60" s="61"/>
      <c r="I60" s="588" t="s">
        <v>95</v>
      </c>
      <c r="J60" s="589"/>
      <c r="K60" s="589"/>
      <c r="L60" s="590"/>
      <c r="N60" s="588" t="s">
        <v>95</v>
      </c>
      <c r="O60" s="589"/>
      <c r="P60" s="589"/>
      <c r="Q60" s="590"/>
      <c r="S60" s="588" t="s">
        <v>95</v>
      </c>
      <c r="T60" s="589"/>
      <c r="U60" s="589"/>
      <c r="V60" s="590"/>
      <c r="Z60" s="588" t="s">
        <v>118</v>
      </c>
      <c r="AA60" s="589"/>
      <c r="AB60" s="589"/>
      <c r="AC60" s="590"/>
      <c r="AE60" s="588" t="s">
        <v>118</v>
      </c>
      <c r="AF60" s="589"/>
      <c r="AG60" s="589"/>
      <c r="AH60" s="590"/>
      <c r="AJ60" s="588" t="s">
        <v>118</v>
      </c>
      <c r="AK60" s="589"/>
      <c r="AL60" s="589"/>
      <c r="AM60" s="590"/>
      <c r="AN60" s="62"/>
      <c r="AQ60" s="132"/>
      <c r="AR60" s="133"/>
      <c r="AS60" s="133"/>
      <c r="AT60" s="133"/>
      <c r="AU60" s="133"/>
      <c r="AV60" s="133"/>
      <c r="AW60" s="133"/>
      <c r="AX60" s="133"/>
      <c r="AY60" s="133"/>
      <c r="AZ60" s="133"/>
      <c r="BA60" s="134"/>
      <c r="BB60" s="10"/>
    </row>
    <row r="61" spans="1:54" s="8" customFormat="1" ht="16.5" customHeight="1" thickTop="1" x14ac:dyDescent="0.3">
      <c r="A61" s="95"/>
      <c r="G61" s="121" t="s">
        <v>192</v>
      </c>
      <c r="H61" s="61"/>
      <c r="I61" s="142">
        <v>1</v>
      </c>
      <c r="J61" s="518"/>
      <c r="K61" s="469"/>
      <c r="L61" s="470"/>
      <c r="N61" s="142">
        <v>1</v>
      </c>
      <c r="O61" s="518"/>
      <c r="P61" s="469"/>
      <c r="Q61" s="470"/>
      <c r="S61" s="142">
        <v>1</v>
      </c>
      <c r="T61" s="518"/>
      <c r="U61" s="469"/>
      <c r="V61" s="470"/>
      <c r="Y61" s="121" t="s">
        <v>201</v>
      </c>
      <c r="Z61" s="142">
        <v>3</v>
      </c>
      <c r="AA61" s="518"/>
      <c r="AB61" s="469"/>
      <c r="AC61" s="470"/>
      <c r="AE61" s="142">
        <v>3</v>
      </c>
      <c r="AF61" s="518"/>
      <c r="AG61" s="469"/>
      <c r="AH61" s="470"/>
      <c r="AJ61" s="142">
        <v>3</v>
      </c>
      <c r="AK61" s="518"/>
      <c r="AL61" s="469"/>
      <c r="AM61" s="470"/>
      <c r="AN61" s="62"/>
      <c r="BB61" s="10"/>
    </row>
    <row r="62" spans="1:54" s="8" customFormat="1" ht="16.5" customHeight="1" x14ac:dyDescent="0.25">
      <c r="A62" s="95"/>
      <c r="H62" s="61"/>
      <c r="AA62" s="45"/>
      <c r="AF62" s="45"/>
      <c r="AK62" s="45"/>
      <c r="AN62" s="62"/>
      <c r="BB62" s="10"/>
    </row>
    <row r="63" spans="1:54" s="8" customFormat="1" ht="16.5" customHeight="1" x14ac:dyDescent="0.3">
      <c r="A63" s="95"/>
      <c r="H63" s="61"/>
      <c r="I63" s="588" t="s">
        <v>106</v>
      </c>
      <c r="J63" s="589"/>
      <c r="K63" s="589"/>
      <c r="L63" s="590"/>
      <c r="N63" s="588" t="s">
        <v>106</v>
      </c>
      <c r="O63" s="589"/>
      <c r="P63" s="589"/>
      <c r="Q63" s="590"/>
      <c r="S63" s="588" t="s">
        <v>106</v>
      </c>
      <c r="T63" s="589"/>
      <c r="U63" s="589"/>
      <c r="V63" s="590"/>
      <c r="Z63" s="588" t="s">
        <v>122</v>
      </c>
      <c r="AA63" s="589"/>
      <c r="AB63" s="589"/>
      <c r="AC63" s="590"/>
      <c r="AE63" s="588" t="s">
        <v>122</v>
      </c>
      <c r="AF63" s="589"/>
      <c r="AG63" s="589"/>
      <c r="AH63" s="590"/>
      <c r="AJ63" s="588" t="s">
        <v>122</v>
      </c>
      <c r="AK63" s="589"/>
      <c r="AL63" s="589"/>
      <c r="AM63" s="590"/>
      <c r="AN63" s="62"/>
      <c r="BB63" s="10"/>
    </row>
    <row r="64" spans="1:54" s="8" customFormat="1" ht="16.5" customHeight="1" x14ac:dyDescent="0.3">
      <c r="A64" s="95"/>
      <c r="H64" s="61"/>
      <c r="I64" s="142">
        <v>1</v>
      </c>
      <c r="J64" s="518" t="s">
        <v>109</v>
      </c>
      <c r="K64" s="469"/>
      <c r="L64" s="470"/>
      <c r="N64" s="142">
        <v>1</v>
      </c>
      <c r="O64" s="518" t="s">
        <v>110</v>
      </c>
      <c r="P64" s="469"/>
      <c r="Q64" s="470"/>
      <c r="S64" s="142">
        <v>1</v>
      </c>
      <c r="T64" s="518" t="s">
        <v>67</v>
      </c>
      <c r="U64" s="469"/>
      <c r="V64" s="470"/>
      <c r="Y64" s="121" t="s">
        <v>192</v>
      </c>
      <c r="Z64" s="142">
        <v>1</v>
      </c>
      <c r="AA64" s="518"/>
      <c r="AB64" s="469"/>
      <c r="AC64" s="470"/>
      <c r="AE64" s="142">
        <v>1</v>
      </c>
      <c r="AF64" s="518"/>
      <c r="AG64" s="469"/>
      <c r="AH64" s="470"/>
      <c r="AJ64" s="142">
        <v>1</v>
      </c>
      <c r="AK64" s="518"/>
      <c r="AL64" s="469"/>
      <c r="AM64" s="470"/>
      <c r="AN64" s="62"/>
      <c r="AR64" s="506"/>
      <c r="AS64" s="481"/>
      <c r="AT64" s="481"/>
      <c r="AU64" s="481"/>
      <c r="AW64" s="506"/>
      <c r="AX64" s="481"/>
      <c r="AY64" s="481"/>
      <c r="AZ64" s="481"/>
      <c r="BB64" s="10"/>
    </row>
    <row r="65" spans="1:54" s="8" customFormat="1" ht="16.5" customHeight="1" x14ac:dyDescent="0.25">
      <c r="A65" s="95"/>
      <c r="H65" s="61"/>
      <c r="AN65" s="62"/>
      <c r="AR65" s="29"/>
      <c r="AS65" s="482"/>
      <c r="AT65" s="481"/>
      <c r="AU65" s="481"/>
      <c r="AW65" s="29"/>
      <c r="AX65" s="482"/>
      <c r="AY65" s="481"/>
      <c r="AZ65" s="481"/>
      <c r="BB65" s="10"/>
    </row>
    <row r="66" spans="1:54" s="8" customFormat="1" ht="16.5" customHeight="1" x14ac:dyDescent="0.3">
      <c r="A66" s="95"/>
      <c r="H66" s="61"/>
      <c r="I66" s="588" t="s">
        <v>117</v>
      </c>
      <c r="J66" s="589"/>
      <c r="K66" s="589"/>
      <c r="L66" s="590"/>
      <c r="N66" s="588" t="s">
        <v>117</v>
      </c>
      <c r="O66" s="589"/>
      <c r="P66" s="589"/>
      <c r="Q66" s="590"/>
      <c r="S66" s="588" t="s">
        <v>117</v>
      </c>
      <c r="T66" s="589"/>
      <c r="U66" s="589"/>
      <c r="V66" s="590"/>
      <c r="AE66" s="591" t="s">
        <v>129</v>
      </c>
      <c r="AF66" s="469"/>
      <c r="AG66" s="469"/>
      <c r="AH66" s="470"/>
      <c r="AN66" s="62"/>
      <c r="BB66" s="10"/>
    </row>
    <row r="67" spans="1:54" s="8" customFormat="1" ht="16.5" customHeight="1" x14ac:dyDescent="0.3">
      <c r="A67" s="95"/>
      <c r="G67" s="121" t="s">
        <v>201</v>
      </c>
      <c r="H67" s="61"/>
      <c r="I67" s="142">
        <v>3</v>
      </c>
      <c r="J67" s="518"/>
      <c r="K67" s="469"/>
      <c r="L67" s="470"/>
      <c r="N67" s="142">
        <v>3</v>
      </c>
      <c r="O67" s="518"/>
      <c r="P67" s="469"/>
      <c r="Q67" s="470"/>
      <c r="S67" s="142">
        <v>3</v>
      </c>
      <c r="T67" s="518"/>
      <c r="U67" s="469"/>
      <c r="V67" s="470"/>
      <c r="AE67" s="143">
        <v>1</v>
      </c>
      <c r="AF67" s="518" t="s">
        <v>211</v>
      </c>
      <c r="AG67" s="469"/>
      <c r="AH67" s="470"/>
      <c r="AN67" s="62"/>
      <c r="BB67" s="10"/>
    </row>
    <row r="68" spans="1:54" s="8" customFormat="1" ht="16.5" customHeight="1" x14ac:dyDescent="0.25">
      <c r="A68" s="95"/>
      <c r="H68" s="61"/>
      <c r="AG68" s="90"/>
      <c r="AN68" s="62"/>
      <c r="BB68" s="10"/>
    </row>
    <row r="69" spans="1:54" s="8" customFormat="1" ht="16.5" customHeight="1" x14ac:dyDescent="0.3">
      <c r="A69" s="95"/>
      <c r="H69" s="61"/>
      <c r="I69" s="588" t="s">
        <v>212</v>
      </c>
      <c r="J69" s="589"/>
      <c r="K69" s="589"/>
      <c r="L69" s="590"/>
      <c r="N69" s="588" t="s">
        <v>212</v>
      </c>
      <c r="O69" s="589"/>
      <c r="P69" s="589"/>
      <c r="Q69" s="590"/>
      <c r="S69" s="588" t="s">
        <v>212</v>
      </c>
      <c r="T69" s="589"/>
      <c r="U69" s="589"/>
      <c r="V69" s="590"/>
      <c r="Z69" s="588" t="s">
        <v>137</v>
      </c>
      <c r="AA69" s="589"/>
      <c r="AB69" s="589"/>
      <c r="AC69" s="590"/>
      <c r="AE69" s="588" t="s">
        <v>137</v>
      </c>
      <c r="AF69" s="589"/>
      <c r="AG69" s="589"/>
      <c r="AH69" s="590"/>
      <c r="AJ69" s="588" t="s">
        <v>137</v>
      </c>
      <c r="AK69" s="589"/>
      <c r="AL69" s="589"/>
      <c r="AM69" s="590"/>
      <c r="AN69" s="62"/>
      <c r="BB69" s="10"/>
    </row>
    <row r="70" spans="1:54" s="8" customFormat="1" ht="16.5" customHeight="1" x14ac:dyDescent="0.3">
      <c r="A70" s="95"/>
      <c r="G70" s="121" t="s">
        <v>213</v>
      </c>
      <c r="H70" s="61"/>
      <c r="I70" s="142">
        <v>3</v>
      </c>
      <c r="J70" s="518" t="s">
        <v>123</v>
      </c>
      <c r="K70" s="469"/>
      <c r="L70" s="470"/>
      <c r="N70" s="142">
        <v>3</v>
      </c>
      <c r="O70" s="518"/>
      <c r="P70" s="469"/>
      <c r="Q70" s="470"/>
      <c r="S70" s="142">
        <v>3</v>
      </c>
      <c r="T70" s="518"/>
      <c r="U70" s="469"/>
      <c r="V70" s="470"/>
      <c r="Z70" s="142">
        <v>1</v>
      </c>
      <c r="AA70" s="518" t="s">
        <v>214</v>
      </c>
      <c r="AB70" s="469"/>
      <c r="AC70" s="470"/>
      <c r="AE70" s="142">
        <v>1</v>
      </c>
      <c r="AF70" s="518" t="s">
        <v>140</v>
      </c>
      <c r="AG70" s="469"/>
      <c r="AH70" s="470"/>
      <c r="AJ70" s="142">
        <v>1</v>
      </c>
      <c r="AK70" s="518" t="s">
        <v>215</v>
      </c>
      <c r="AL70" s="469"/>
      <c r="AM70" s="470"/>
      <c r="AN70" s="62"/>
      <c r="AR70" s="506"/>
      <c r="AS70" s="481"/>
      <c r="AT70" s="481"/>
      <c r="AU70" s="481"/>
      <c r="BB70" s="10"/>
    </row>
    <row r="71" spans="1:54" s="8" customFormat="1" ht="16.5" customHeight="1" x14ac:dyDescent="0.25">
      <c r="A71" s="95"/>
      <c r="H71" s="61"/>
      <c r="AN71" s="62"/>
      <c r="AR71" s="29"/>
      <c r="AS71" s="482"/>
      <c r="AT71" s="481"/>
      <c r="AU71" s="481"/>
      <c r="BB71" s="10"/>
    </row>
    <row r="72" spans="1:54" s="8" customFormat="1" ht="16.5" customHeight="1" x14ac:dyDescent="0.3">
      <c r="A72" s="95"/>
      <c r="H72" s="61"/>
      <c r="I72" s="588" t="s">
        <v>126</v>
      </c>
      <c r="J72" s="589"/>
      <c r="K72" s="589"/>
      <c r="L72" s="590"/>
      <c r="N72" s="588" t="s">
        <v>126</v>
      </c>
      <c r="O72" s="589"/>
      <c r="P72" s="589"/>
      <c r="Q72" s="590"/>
      <c r="S72" s="588" t="s">
        <v>126</v>
      </c>
      <c r="T72" s="589"/>
      <c r="U72" s="589"/>
      <c r="V72" s="590"/>
      <c r="Z72" s="588" t="s">
        <v>147</v>
      </c>
      <c r="AA72" s="589"/>
      <c r="AB72" s="589"/>
      <c r="AC72" s="590"/>
      <c r="AE72" s="588" t="s">
        <v>147</v>
      </c>
      <c r="AF72" s="589"/>
      <c r="AG72" s="589"/>
      <c r="AH72" s="590"/>
      <c r="AJ72" s="588" t="s">
        <v>147</v>
      </c>
      <c r="AK72" s="589"/>
      <c r="AL72" s="589"/>
      <c r="AM72" s="590"/>
      <c r="AN72" s="62"/>
      <c r="BB72" s="10"/>
    </row>
    <row r="73" spans="1:54" s="8" customFormat="1" ht="16.5" customHeight="1" x14ac:dyDescent="0.3">
      <c r="A73" s="95"/>
      <c r="G73" s="121" t="s">
        <v>216</v>
      </c>
      <c r="H73" s="61"/>
      <c r="I73" s="142">
        <v>2</v>
      </c>
      <c r="J73" s="518"/>
      <c r="K73" s="469"/>
      <c r="L73" s="470"/>
      <c r="N73" s="142">
        <v>2</v>
      </c>
      <c r="O73" s="518"/>
      <c r="P73" s="469"/>
      <c r="Q73" s="470"/>
      <c r="S73" s="142">
        <v>2</v>
      </c>
      <c r="T73" s="518"/>
      <c r="U73" s="469"/>
      <c r="V73" s="470"/>
      <c r="Z73" s="142">
        <v>3</v>
      </c>
      <c r="AA73" s="518"/>
      <c r="AB73" s="469"/>
      <c r="AC73" s="470"/>
      <c r="AE73" s="142">
        <v>3</v>
      </c>
      <c r="AF73" s="518"/>
      <c r="AG73" s="469"/>
      <c r="AH73" s="470"/>
      <c r="AJ73" s="142">
        <v>3</v>
      </c>
      <c r="AK73" s="518"/>
      <c r="AL73" s="469"/>
      <c r="AM73" s="470"/>
      <c r="AO73" s="135" t="s">
        <v>201</v>
      </c>
      <c r="BB73" s="10"/>
    </row>
    <row r="74" spans="1:54" s="8" customFormat="1" ht="16.5" customHeight="1" x14ac:dyDescent="0.25">
      <c r="A74" s="95"/>
      <c r="H74" s="61"/>
      <c r="AN74" s="62"/>
      <c r="BB74" s="10"/>
    </row>
    <row r="75" spans="1:54" s="8" customFormat="1" ht="16.5" customHeight="1" x14ac:dyDescent="0.3">
      <c r="A75" s="95"/>
      <c r="H75" s="61"/>
      <c r="I75" s="588" t="s">
        <v>135</v>
      </c>
      <c r="J75" s="589"/>
      <c r="K75" s="589"/>
      <c r="L75" s="590"/>
      <c r="N75" s="588" t="s">
        <v>135</v>
      </c>
      <c r="O75" s="589"/>
      <c r="P75" s="589"/>
      <c r="Q75" s="590"/>
      <c r="S75" s="588" t="s">
        <v>135</v>
      </c>
      <c r="T75" s="589"/>
      <c r="U75" s="589"/>
      <c r="V75" s="590"/>
      <c r="Z75" s="588" t="s">
        <v>217</v>
      </c>
      <c r="AA75" s="589"/>
      <c r="AB75" s="589"/>
      <c r="AC75" s="590"/>
      <c r="AE75" s="588" t="s">
        <v>217</v>
      </c>
      <c r="AF75" s="589"/>
      <c r="AG75" s="589"/>
      <c r="AH75" s="590"/>
      <c r="AJ75" s="588" t="s">
        <v>217</v>
      </c>
      <c r="AK75" s="589"/>
      <c r="AL75" s="589"/>
      <c r="AM75" s="590"/>
      <c r="AN75" s="62"/>
      <c r="BB75" s="10"/>
    </row>
    <row r="76" spans="1:54" s="8" customFormat="1" ht="16.5" customHeight="1" x14ac:dyDescent="0.3">
      <c r="A76" s="95"/>
      <c r="G76" s="121" t="s">
        <v>189</v>
      </c>
      <c r="H76" s="61"/>
      <c r="I76" s="142">
        <v>1</v>
      </c>
      <c r="J76" s="518" t="s">
        <v>139</v>
      </c>
      <c r="K76" s="469"/>
      <c r="L76" s="470"/>
      <c r="N76" s="142">
        <v>1</v>
      </c>
      <c r="O76" s="518"/>
      <c r="P76" s="469"/>
      <c r="Q76" s="470"/>
      <c r="S76" s="142">
        <v>1</v>
      </c>
      <c r="T76" s="518"/>
      <c r="U76" s="469"/>
      <c r="V76" s="470"/>
      <c r="Z76" s="142">
        <v>1</v>
      </c>
      <c r="AA76" s="518"/>
      <c r="AB76" s="469"/>
      <c r="AC76" s="470"/>
      <c r="AE76" s="142">
        <v>1</v>
      </c>
      <c r="AF76" s="518"/>
      <c r="AG76" s="469"/>
      <c r="AH76" s="470"/>
      <c r="AJ76" s="142">
        <v>1</v>
      </c>
      <c r="AK76" s="518"/>
      <c r="AL76" s="469"/>
      <c r="AM76" s="470"/>
      <c r="AN76" s="62"/>
      <c r="BB76" s="10"/>
    </row>
    <row r="77" spans="1:54" s="8" customFormat="1" ht="16.5" customHeight="1" x14ac:dyDescent="0.25">
      <c r="A77" s="95"/>
      <c r="H77" s="61"/>
      <c r="AN77" s="62"/>
      <c r="BB77" s="10"/>
    </row>
    <row r="78" spans="1:54" s="8" customFormat="1" ht="16.5" customHeight="1" x14ac:dyDescent="0.3">
      <c r="A78" s="95"/>
      <c r="H78" s="61"/>
      <c r="I78" s="588" t="s">
        <v>145</v>
      </c>
      <c r="J78" s="589"/>
      <c r="K78" s="589"/>
      <c r="L78" s="590"/>
      <c r="N78" s="588" t="s">
        <v>145</v>
      </c>
      <c r="O78" s="589"/>
      <c r="P78" s="589"/>
      <c r="Q78" s="590"/>
      <c r="S78" s="588" t="s">
        <v>145</v>
      </c>
      <c r="T78" s="589"/>
      <c r="U78" s="589"/>
      <c r="V78" s="590"/>
      <c r="Z78" s="121" t="s">
        <v>127</v>
      </c>
      <c r="AA78" s="121" t="s">
        <v>128</v>
      </c>
      <c r="AN78" s="62"/>
      <c r="BB78" s="10"/>
    </row>
    <row r="79" spans="1:54" s="8" customFormat="1" ht="16.5" customHeight="1" x14ac:dyDescent="0.3">
      <c r="A79" s="95"/>
      <c r="G79" s="121" t="s">
        <v>192</v>
      </c>
      <c r="H79" s="61"/>
      <c r="I79" s="142">
        <v>1</v>
      </c>
      <c r="J79" s="518"/>
      <c r="K79" s="469"/>
      <c r="L79" s="470"/>
      <c r="N79" s="142">
        <v>1</v>
      </c>
      <c r="O79" s="518"/>
      <c r="P79" s="469"/>
      <c r="Q79" s="470"/>
      <c r="S79" s="142">
        <v>1</v>
      </c>
      <c r="T79" s="518"/>
      <c r="U79" s="469"/>
      <c r="V79" s="470"/>
      <c r="Z79" s="121" t="s">
        <v>131</v>
      </c>
      <c r="AA79" s="121" t="s">
        <v>132</v>
      </c>
      <c r="AN79" s="62"/>
      <c r="BB79" s="10"/>
    </row>
    <row r="80" spans="1:54" s="8" customFormat="1" ht="16.5" customHeight="1" thickBot="1" x14ac:dyDescent="0.3">
      <c r="A80" s="95"/>
      <c r="H80" s="70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2"/>
      <c r="BB80" s="10"/>
    </row>
    <row r="81" spans="1:54" s="8" customFormat="1" ht="16.5" customHeight="1" thickTop="1" x14ac:dyDescent="0.25">
      <c r="A81" s="7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8"/>
    </row>
    <row r="82" spans="1:54" s="120" customFormat="1" ht="17.399999999999999" x14ac:dyDescent="0.25"/>
  </sheetData>
  <mergeCells count="266">
    <mergeCell ref="B7:E7"/>
    <mergeCell ref="U8:AA9"/>
    <mergeCell ref="AR8:AS8"/>
    <mergeCell ref="V10:AA10"/>
    <mergeCell ref="B12:G12"/>
    <mergeCell ref="AR12:AS12"/>
    <mergeCell ref="B1:D1"/>
    <mergeCell ref="H1:BB1"/>
    <mergeCell ref="H2:BB2"/>
    <mergeCell ref="T4:AB4"/>
    <mergeCell ref="T5:AB5"/>
    <mergeCell ref="AR6:AS6"/>
    <mergeCell ref="M14:P14"/>
    <mergeCell ref="R14:U14"/>
    <mergeCell ref="AA14:AD14"/>
    <mergeCell ref="AF14:AI15"/>
    <mergeCell ref="AL14:AO15"/>
    <mergeCell ref="C15:F15"/>
    <mergeCell ref="N15:P15"/>
    <mergeCell ref="S15:U15"/>
    <mergeCell ref="AB15:AD15"/>
    <mergeCell ref="C18:F18"/>
    <mergeCell ref="M18:P18"/>
    <mergeCell ref="S18:U18"/>
    <mergeCell ref="AA18:AA19"/>
    <mergeCell ref="D19:F19"/>
    <mergeCell ref="N19:P19"/>
    <mergeCell ref="D16:F16"/>
    <mergeCell ref="AG16:AI16"/>
    <mergeCell ref="AM16:AO16"/>
    <mergeCell ref="M17:P17"/>
    <mergeCell ref="R17:U17"/>
    <mergeCell ref="AA17:AD17"/>
    <mergeCell ref="V27:Z27"/>
    <mergeCell ref="AR27:AZ27"/>
    <mergeCell ref="W28:Z28"/>
    <mergeCell ref="AS28:AZ28"/>
    <mergeCell ref="J29:M29"/>
    <mergeCell ref="Q29:T29"/>
    <mergeCell ref="AB29:AE29"/>
    <mergeCell ref="C21:F22"/>
    <mergeCell ref="M21:P21"/>
    <mergeCell ref="N22:P22"/>
    <mergeCell ref="D23:F23"/>
    <mergeCell ref="U25:AA25"/>
    <mergeCell ref="AQ25:BA25"/>
    <mergeCell ref="K30:M30"/>
    <mergeCell ref="R30:T30"/>
    <mergeCell ref="AB30:AB32"/>
    <mergeCell ref="AC30:AE30"/>
    <mergeCell ref="AR30:AU30"/>
    <mergeCell ref="AW30:AZ30"/>
    <mergeCell ref="AC31:AE31"/>
    <mergeCell ref="AS31:AU31"/>
    <mergeCell ref="J32:M32"/>
    <mergeCell ref="K35:M35"/>
    <mergeCell ref="AS35:AU35"/>
    <mergeCell ref="AX35:AZ35"/>
    <mergeCell ref="AS36:AU36"/>
    <mergeCell ref="AX36:AZ36"/>
    <mergeCell ref="I37:V37"/>
    <mergeCell ref="Z37:AM37"/>
    <mergeCell ref="AC32:AE32"/>
    <mergeCell ref="J33:J35"/>
    <mergeCell ref="K33:M33"/>
    <mergeCell ref="AR33:AU33"/>
    <mergeCell ref="AW33:AZ33"/>
    <mergeCell ref="K34:M34"/>
    <mergeCell ref="AR34:AR36"/>
    <mergeCell ref="AS34:AU34"/>
    <mergeCell ref="AW34:AW36"/>
    <mergeCell ref="AX34:AZ34"/>
    <mergeCell ref="J40:L40"/>
    <mergeCell ref="O40:Q40"/>
    <mergeCell ref="T40:V40"/>
    <mergeCell ref="AA40:AC40"/>
    <mergeCell ref="AF40:AH40"/>
    <mergeCell ref="AK40:AM40"/>
    <mergeCell ref="AR38:AU38"/>
    <mergeCell ref="AW38:AZ38"/>
    <mergeCell ref="I39:L39"/>
    <mergeCell ref="N39:Q39"/>
    <mergeCell ref="S39:V39"/>
    <mergeCell ref="Z39:AC39"/>
    <mergeCell ref="AE39:AH39"/>
    <mergeCell ref="AJ39:AM39"/>
    <mergeCell ref="AS39:AU39"/>
    <mergeCell ref="AX39:AZ39"/>
    <mergeCell ref="J43:L43"/>
    <mergeCell ref="O43:Q43"/>
    <mergeCell ref="T43:V43"/>
    <mergeCell ref="AA43:AC43"/>
    <mergeCell ref="AF43:AH43"/>
    <mergeCell ref="AK43:AM43"/>
    <mergeCell ref="AW41:AZ41"/>
    <mergeCell ref="I42:L42"/>
    <mergeCell ref="N42:Q42"/>
    <mergeCell ref="S42:V42"/>
    <mergeCell ref="Z42:AC42"/>
    <mergeCell ref="AE42:AH42"/>
    <mergeCell ref="AJ42:AM42"/>
    <mergeCell ref="AX42:AZ42"/>
    <mergeCell ref="AX45:AZ45"/>
    <mergeCell ref="J46:L46"/>
    <mergeCell ref="O46:Q46"/>
    <mergeCell ref="T46:V46"/>
    <mergeCell ref="AA46:AC46"/>
    <mergeCell ref="AF46:AH46"/>
    <mergeCell ref="AK46:AM46"/>
    <mergeCell ref="AX46:AZ46"/>
    <mergeCell ref="AR44:AU44"/>
    <mergeCell ref="AW44:AZ44"/>
    <mergeCell ref="I45:L45"/>
    <mergeCell ref="N45:Q45"/>
    <mergeCell ref="S45:V45"/>
    <mergeCell ref="Z45:AC45"/>
    <mergeCell ref="AE45:AH45"/>
    <mergeCell ref="AJ45:AM45"/>
    <mergeCell ref="AS45:AU45"/>
    <mergeCell ref="AW45:AW46"/>
    <mergeCell ref="J49:L49"/>
    <mergeCell ref="O49:Q49"/>
    <mergeCell ref="T49:V49"/>
    <mergeCell ref="AA49:AC49"/>
    <mergeCell ref="AF49:AH49"/>
    <mergeCell ref="AK49:AM49"/>
    <mergeCell ref="AR47:AU47"/>
    <mergeCell ref="I48:L48"/>
    <mergeCell ref="N48:Q48"/>
    <mergeCell ref="S48:V48"/>
    <mergeCell ref="Z48:AC48"/>
    <mergeCell ref="AE48:AH48"/>
    <mergeCell ref="AJ48:AM48"/>
    <mergeCell ref="AS48:AU48"/>
    <mergeCell ref="O52:Q52"/>
    <mergeCell ref="T52:V52"/>
    <mergeCell ref="AA52:AC52"/>
    <mergeCell ref="AF52:AH52"/>
    <mergeCell ref="AK52:AM52"/>
    <mergeCell ref="AR50:AU50"/>
    <mergeCell ref="AW50:AZ50"/>
    <mergeCell ref="I51:L51"/>
    <mergeCell ref="N51:Q51"/>
    <mergeCell ref="S51:V51"/>
    <mergeCell ref="Z51:AC51"/>
    <mergeCell ref="AE51:AH51"/>
    <mergeCell ref="AJ51:AM51"/>
    <mergeCell ref="AS51:AU51"/>
    <mergeCell ref="AX51:AZ51"/>
    <mergeCell ref="AF55:AH55"/>
    <mergeCell ref="AK55:AM55"/>
    <mergeCell ref="AR53:AU53"/>
    <mergeCell ref="AW53:AZ53"/>
    <mergeCell ref="I54:L54"/>
    <mergeCell ref="N54:Q54"/>
    <mergeCell ref="S54:V54"/>
    <mergeCell ref="Z54:AC54"/>
    <mergeCell ref="AE54:AH54"/>
    <mergeCell ref="AJ54:AM54"/>
    <mergeCell ref="AS54:AU54"/>
    <mergeCell ref="AX54:AZ54"/>
    <mergeCell ref="AR56:AU57"/>
    <mergeCell ref="AW56:AZ56"/>
    <mergeCell ref="I57:L57"/>
    <mergeCell ref="N57:Q57"/>
    <mergeCell ref="S57:V57"/>
    <mergeCell ref="Z57:AC57"/>
    <mergeCell ref="AE57:AH57"/>
    <mergeCell ref="AJ57:AM57"/>
    <mergeCell ref="AX57:AZ57"/>
    <mergeCell ref="AS58:AU58"/>
    <mergeCell ref="AS59:AU59"/>
    <mergeCell ref="I60:L60"/>
    <mergeCell ref="N60:Q60"/>
    <mergeCell ref="S60:V60"/>
    <mergeCell ref="Z60:AC60"/>
    <mergeCell ref="AE60:AH60"/>
    <mergeCell ref="AJ60:AM60"/>
    <mergeCell ref="J58:L58"/>
    <mergeCell ref="O58:Q58"/>
    <mergeCell ref="T58:V58"/>
    <mergeCell ref="AA58:AC58"/>
    <mergeCell ref="AF58:AH58"/>
    <mergeCell ref="AK58:AM58"/>
    <mergeCell ref="AE63:AH63"/>
    <mergeCell ref="AJ63:AM63"/>
    <mergeCell ref="J61:L61"/>
    <mergeCell ref="O61:Q61"/>
    <mergeCell ref="T61:V61"/>
    <mergeCell ref="AA61:AC61"/>
    <mergeCell ref="AF61:AH61"/>
    <mergeCell ref="AK61:AM61"/>
    <mergeCell ref="AR58:AR59"/>
    <mergeCell ref="AF67:AH67"/>
    <mergeCell ref="I69:L69"/>
    <mergeCell ref="N69:Q69"/>
    <mergeCell ref="S69:V69"/>
    <mergeCell ref="Z69:AC69"/>
    <mergeCell ref="AE69:AH69"/>
    <mergeCell ref="AR64:AU64"/>
    <mergeCell ref="AW64:AZ64"/>
    <mergeCell ref="AS65:AU65"/>
    <mergeCell ref="AX65:AZ65"/>
    <mergeCell ref="I66:L66"/>
    <mergeCell ref="N66:Q66"/>
    <mergeCell ref="S66:V66"/>
    <mergeCell ref="AE66:AH66"/>
    <mergeCell ref="J64:L64"/>
    <mergeCell ref="O64:Q64"/>
    <mergeCell ref="T64:V64"/>
    <mergeCell ref="AA64:AC64"/>
    <mergeCell ref="AF64:AH64"/>
    <mergeCell ref="AK64:AM64"/>
    <mergeCell ref="AR70:AU70"/>
    <mergeCell ref="AS71:AU71"/>
    <mergeCell ref="I72:L72"/>
    <mergeCell ref="N72:Q72"/>
    <mergeCell ref="S72:V72"/>
    <mergeCell ref="Z72:AC72"/>
    <mergeCell ref="AE72:AH72"/>
    <mergeCell ref="AJ72:AM72"/>
    <mergeCell ref="AJ69:AM69"/>
    <mergeCell ref="J70:L70"/>
    <mergeCell ref="O70:Q70"/>
    <mergeCell ref="T70:V70"/>
    <mergeCell ref="AA70:AC70"/>
    <mergeCell ref="AF70:AH70"/>
    <mergeCell ref="AK70:AM70"/>
    <mergeCell ref="AF76:AH76"/>
    <mergeCell ref="AK76:AM76"/>
    <mergeCell ref="I75:L75"/>
    <mergeCell ref="N75:Q75"/>
    <mergeCell ref="S75:V75"/>
    <mergeCell ref="Z75:AC75"/>
    <mergeCell ref="AE75:AH75"/>
    <mergeCell ref="AJ75:AM75"/>
    <mergeCell ref="J73:L73"/>
    <mergeCell ref="O73:Q73"/>
    <mergeCell ref="T73:V73"/>
    <mergeCell ref="AA73:AC73"/>
    <mergeCell ref="AF73:AH73"/>
    <mergeCell ref="AK73:AM73"/>
    <mergeCell ref="B13:G13"/>
    <mergeCell ref="AB18:AD19"/>
    <mergeCell ref="I78:L78"/>
    <mergeCell ref="N78:Q78"/>
    <mergeCell ref="S78:V78"/>
    <mergeCell ref="J79:L79"/>
    <mergeCell ref="O79:Q79"/>
    <mergeCell ref="T79:V79"/>
    <mergeCell ref="J76:L76"/>
    <mergeCell ref="O76:Q76"/>
    <mergeCell ref="T76:V76"/>
    <mergeCell ref="AA76:AC76"/>
    <mergeCell ref="J67:L67"/>
    <mergeCell ref="O67:Q67"/>
    <mergeCell ref="T67:V67"/>
    <mergeCell ref="I63:L63"/>
    <mergeCell ref="N63:Q63"/>
    <mergeCell ref="S63:V63"/>
    <mergeCell ref="Z63:AC63"/>
    <mergeCell ref="J55:L55"/>
    <mergeCell ref="O55:Q55"/>
    <mergeCell ref="T55:V55"/>
    <mergeCell ref="AA55:AC55"/>
    <mergeCell ref="J52:L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Tunnel Org (3)</vt:lpstr>
      <vt:lpstr>Tunnel Org (2)</vt:lpstr>
      <vt:lpstr>Tunnel Org 1</vt:lpstr>
      <vt:lpstr>'Tunnel Org (2)'!Print_Area</vt:lpstr>
      <vt:lpstr>'Tunnel Org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Ahmed Khattak</dc:creator>
  <cp:lastModifiedBy>Sudheer Ahmed</cp:lastModifiedBy>
  <cp:lastPrinted>2026-07-28T10:15:24Z</cp:lastPrinted>
  <dcterms:created xsi:type="dcterms:W3CDTF">2008-11-17T16:30:01Z</dcterms:created>
  <dcterms:modified xsi:type="dcterms:W3CDTF">2026-07-28T10:17:29Z</dcterms:modified>
</cp:coreProperties>
</file>