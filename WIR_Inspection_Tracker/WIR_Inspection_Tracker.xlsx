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IR Register" sheetId="2" state="visible" r:id="rId2"/>
    <sheet xmlns:r="http://schemas.openxmlformats.org/officeDocument/2006/relationships" name="Daily Log" sheetId="3" state="visible" r:id="rId3"/>
  </sheets>
  <definedNames>
    <definedName name="_xlnm.Print_Area" localSheetId="0">'Dashboard'!$A$1:$N$36</definedName>
    <definedName name="_xlnm._FilterDatabase" localSheetId="1" hidden="1">'WIR Register'!$A$4:$K$550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"/>
    <numFmt numFmtId="166" formatCode="dd-mmm-yyyy"/>
    <numFmt numFmtId="167" formatCode="mmmm yyyy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B6B82"/>
      <sz val="10"/>
    </font>
    <font>
      <name val="Calibri"/>
      <b val="1"/>
      <color rgb="00FFFFFF"/>
      <sz val="11"/>
    </font>
    <font>
      <name val="Calibri"/>
      <color rgb="001B2433"/>
      <sz val="10.5"/>
    </font>
    <font>
      <name val="Calibri"/>
      <b val="1"/>
      <color rgb="001B2433"/>
      <sz val="10.5"/>
    </font>
    <font>
      <name val="Calibri"/>
      <b val="1"/>
      <color rgb="002A2A28"/>
      <sz val="22"/>
    </font>
    <font>
      <name val="Calibri"/>
      <color rgb="007D766A"/>
      <sz val="10"/>
    </font>
    <font>
      <name val="Calibri"/>
      <b val="1"/>
      <color rgb="007D766A"/>
      <sz val="9"/>
    </font>
    <font>
      <name val="Calibri"/>
      <b val="1"/>
      <color rgb="002A2A28"/>
      <sz val="26"/>
    </font>
    <font>
      <name val="Calibri"/>
      <color rgb="007D766A"/>
      <sz val="9"/>
    </font>
    <font>
      <name val="Calibri"/>
      <b val="1"/>
      <color rgb="002F8F66"/>
      <sz val="26"/>
    </font>
    <font>
      <name val="Calibri"/>
      <b val="1"/>
      <color rgb="00D9A441"/>
      <sz val="26"/>
    </font>
    <font>
      <name val="Calibri"/>
      <b val="1"/>
      <color rgb="00B5533C"/>
      <sz val="26"/>
    </font>
    <font>
      <name val="Calibri"/>
      <b val="1"/>
      <color rgb="002F6B4F"/>
      <sz val="10"/>
    </font>
    <font>
      <name val="Calibri"/>
      <color rgb="002A2A28"/>
      <sz val="10"/>
    </font>
    <font>
      <name val="Calibri"/>
      <color rgb="002F8F66"/>
      <sz val="10"/>
    </font>
    <font>
      <name val="Calibri"/>
      <color rgb="004E8AB0"/>
      <sz val="10"/>
    </font>
    <font>
      <name val="Calibri"/>
      <color rgb="00B5533C"/>
      <sz val="10"/>
    </font>
    <font>
      <name val="Calibri"/>
      <color rgb="00D9A441"/>
      <sz val="10"/>
    </font>
    <font>
      <name val="Calibri"/>
      <b val="1"/>
      <color rgb="002A2A28"/>
      <sz val="10"/>
    </font>
  </fonts>
  <fills count="8">
    <fill>
      <patternFill/>
    </fill>
    <fill>
      <patternFill patternType="gray125"/>
    </fill>
    <fill>
      <patternFill patternType="solid">
        <fgColor rgb="002F6B4F"/>
      </patternFill>
    </fill>
    <fill>
      <patternFill patternType="solid">
        <fgColor rgb="00D9A441"/>
      </patternFill>
    </fill>
    <fill>
      <patternFill patternType="solid">
        <fgColor rgb="00F7F5F0"/>
      </patternFill>
    </fill>
    <fill>
      <patternFill patternType="solid">
        <fgColor rgb="00F6F3EC"/>
      </patternFill>
    </fill>
    <fill>
      <patternFill patternType="solid">
        <fgColor rgb="00FFFFFF"/>
      </patternFill>
    </fill>
    <fill>
      <patternFill patternType="solid">
        <fgColor rgb="00E3DDD0"/>
      </patternFill>
    </fill>
  </fills>
  <borders count="11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  <border>
      <bottom style="medium">
        <color rgb="002F6B4F"/>
      </bottom>
    </border>
    <border>
      <left style="thick">
        <color rgb="002A2A28"/>
      </left>
      <top style="thin">
        <color rgb="00FFFFFF"/>
      </top>
      <bottom style="thin">
        <color rgb="00FFFFFF"/>
      </bottom>
    </border>
    <border>
      <top style="thin">
        <color rgb="00FFFFFF"/>
      </top>
      <bottom style="thin">
        <color rgb="00FFFFFF"/>
      </bottom>
    </border>
    <border>
      <right style="thick">
        <color rgb="00F6F3EC"/>
      </right>
      <top style="thin">
        <color rgb="00FFFFFF"/>
      </top>
      <bottom style="thin">
        <color rgb="00FFFFFF"/>
      </bottom>
    </border>
    <border>
      <left style="thick">
        <color rgb="002F8F66"/>
      </left>
      <top style="thin">
        <color rgb="00FFFFFF"/>
      </top>
      <bottom style="thin">
        <color rgb="00FFFFFF"/>
      </bottom>
    </border>
    <border>
      <left style="thick">
        <color rgb="00D9A441"/>
      </left>
      <top style="thin">
        <color rgb="00FFFFFF"/>
      </top>
      <bottom style="thin">
        <color rgb="00FFFFFF"/>
      </bottom>
    </border>
    <border>
      <left style="thick">
        <color rgb="00B5533C"/>
      </left>
      <top style="thin">
        <color rgb="00FFFFFF"/>
      </top>
      <bottom style="thin">
        <color rgb="00FFFFFF"/>
      </bottom>
    </border>
    <border>
      <bottom style="thin">
        <color rgb="002F6B4F"/>
      </bottom>
    </border>
    <border>
      <bottom style="thin">
        <color rgb="00E3DDD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5" borderId="0" pivotButton="0" quotePrefix="0" xfId="0"/>
    <xf numFmtId="0" fontId="6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0" fillId="5" borderId="2" pivotButton="0" quotePrefix="0" xfId="0"/>
    <xf numFmtId="0" fontId="8" fillId="6" borderId="3" applyAlignment="1" pivotButton="0" quotePrefix="0" xfId="0">
      <alignment horizontal="left" vertical="bottom" indent="1"/>
    </xf>
    <xf numFmtId="0" fontId="0" fillId="6" borderId="4" pivotButton="0" quotePrefix="0" xfId="0"/>
    <xf numFmtId="0" fontId="0" fillId="6" borderId="5" pivotButton="0" quotePrefix="0" xfId="0"/>
    <xf numFmtId="0" fontId="8" fillId="6" borderId="6" applyAlignment="1" pivotButton="0" quotePrefix="0" xfId="0">
      <alignment horizontal="left" vertical="bottom" indent="1"/>
    </xf>
    <xf numFmtId="0" fontId="8" fillId="6" borderId="7" applyAlignment="1" pivotButton="0" quotePrefix="0" xfId="0">
      <alignment horizontal="left" vertical="bottom" indent="1"/>
    </xf>
    <xf numFmtId="0" fontId="8" fillId="6" borderId="8" applyAlignment="1" pivotButton="0" quotePrefix="0" xfId="0">
      <alignment horizontal="left" vertical="bottom" indent="1"/>
    </xf>
    <xf numFmtId="0" fontId="9" fillId="6" borderId="3" applyAlignment="1" pivotButton="0" quotePrefix="0" xfId="0">
      <alignment horizontal="left" vertical="center" indent="1"/>
    </xf>
    <xf numFmtId="0" fontId="11" fillId="6" borderId="6" applyAlignment="1" pivotButton="0" quotePrefix="0" xfId="0">
      <alignment horizontal="left" vertical="center" indent="1"/>
    </xf>
    <xf numFmtId="0" fontId="12" fillId="6" borderId="7" applyAlignment="1" pivotButton="0" quotePrefix="0" xfId="0">
      <alignment horizontal="left" vertical="center" indent="1"/>
    </xf>
    <xf numFmtId="0" fontId="13" fillId="6" borderId="8" applyAlignment="1" pivotButton="0" quotePrefix="0" xfId="0">
      <alignment horizontal="left" vertical="center" indent="1"/>
    </xf>
    <xf numFmtId="0" fontId="10" fillId="6" borderId="3" applyAlignment="1" pivotButton="0" quotePrefix="0" xfId="0">
      <alignment horizontal="left" vertical="top" indent="1"/>
    </xf>
    <xf numFmtId="0" fontId="10" fillId="6" borderId="6" applyAlignment="1" pivotButton="0" quotePrefix="0" xfId="0">
      <alignment horizontal="left" vertical="top" indent="1"/>
    </xf>
    <xf numFmtId="0" fontId="10" fillId="6" borderId="7" applyAlignment="1" pivotButton="0" quotePrefix="0" xfId="0">
      <alignment horizontal="left" vertical="top" indent="1"/>
    </xf>
    <xf numFmtId="0" fontId="10" fillId="6" borderId="8" applyAlignment="1" pivotButton="0" quotePrefix="0" xfId="0">
      <alignment horizontal="left" vertical="top" indent="1"/>
    </xf>
    <xf numFmtId="0" fontId="14" fillId="5" borderId="0" pivotButton="0" quotePrefix="0" xfId="0"/>
    <xf numFmtId="0" fontId="14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6" borderId="9" applyAlignment="1" pivotButton="0" quotePrefix="0" xfId="0">
      <alignment horizontal="left" vertical="center" wrapText="1"/>
    </xf>
    <xf numFmtId="0" fontId="14" fillId="6" borderId="9" applyAlignment="1" pivotButton="0" quotePrefix="0" xfId="0">
      <alignment horizontal="center" vertical="center" wrapText="1"/>
    </xf>
    <xf numFmtId="0" fontId="15" fillId="5" borderId="10" applyAlignment="1" pivotButton="0" quotePrefix="0" xfId="0">
      <alignment horizontal="left" vertical="center" indent="1"/>
    </xf>
    <xf numFmtId="0" fontId="16" fillId="5" borderId="10" applyAlignment="1" pivotButton="0" quotePrefix="0" xfId="0">
      <alignment horizontal="center" vertical="center"/>
    </xf>
    <xf numFmtId="0" fontId="17" fillId="5" borderId="10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" vertical="center"/>
    </xf>
    <xf numFmtId="0" fontId="19" fillId="5" borderId="10" applyAlignment="1" pivotButton="0" quotePrefix="0" xfId="0">
      <alignment horizontal="center" vertical="center"/>
    </xf>
    <xf numFmtId="0" fontId="20" fillId="5" borderId="10" applyAlignment="1" pivotButton="0" quotePrefix="0" xfId="0">
      <alignment horizontal="center" vertical="center"/>
    </xf>
    <xf numFmtId="9" fontId="20" fillId="5" borderId="10" applyAlignment="1" pivotButton="0" quotePrefix="0" xfId="0">
      <alignment horizontal="center" vertical="center"/>
    </xf>
    <xf numFmtId="0" fontId="14" fillId="7" borderId="10" applyAlignment="1" pivotButton="0" quotePrefix="0" xfId="0">
      <alignment horizontal="left" vertical="center" indent="1"/>
    </xf>
    <xf numFmtId="0" fontId="14" fillId="7" borderId="10" applyAlignment="1" pivotButton="0" quotePrefix="0" xfId="0">
      <alignment horizontal="center" vertical="center"/>
    </xf>
    <xf numFmtId="9" fontId="14" fillId="7" borderId="10" applyAlignment="1" pivotButton="0" quotePrefix="0" xfId="0">
      <alignment horizontal="center" vertical="center"/>
    </xf>
    <xf numFmtId="167" fontId="15" fillId="5" borderId="10" applyAlignment="1" pivotButton="0" quotePrefix="0" xfId="0">
      <alignment horizontal="left" vertical="center" indent="1"/>
    </xf>
    <xf numFmtId="0" fontId="15" fillId="5" borderId="1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inden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b val="1"/>
        <color rgb="002F8F66"/>
      </font>
      <fill>
        <patternFill patternType="solid">
          <fgColor rgb="00E3F1EA"/>
        </patternFill>
      </fill>
    </dxf>
    <dxf>
      <font>
        <b val="1"/>
        <color rgb="003F6F92"/>
      </font>
      <fill>
        <patternFill patternType="solid">
          <fgColor rgb="00E6EFF6"/>
        </patternFill>
      </fill>
    </dxf>
    <dxf>
      <font>
        <b val="1"/>
        <color rgb="00B5533C"/>
      </font>
      <fill>
        <patternFill patternType="solid">
          <fgColor rgb="00F6E5E0"/>
        </patternFill>
      </fill>
    </dxf>
    <dxf>
      <font>
        <b val="1"/>
        <color rgb="009A6B12"/>
      </font>
      <fill>
        <patternFill patternType="solid">
          <fgColor rgb="00FBF1DC"/>
        </patternFill>
      </fill>
    </dxf>
    <dxf>
      <font>
        <b val="1"/>
        <color rgb="00FFFFFF"/>
      </font>
      <fill>
        <patternFill patternType="solid">
          <fgColor rgb="00B553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bar"/>
        <grouping val="percentStacked"/>
        <ser>
          <idx val="0"/>
          <order val="0"/>
          <tx>
            <strRef>
              <f>'Dashboard'!C11</f>
            </strRef>
          </tx>
          <spPr>
            <a:solidFill xmlns:a="http://schemas.openxmlformats.org/drawingml/2006/main">
              <a:srgbClr val="2F8F66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'Dashboard'!$B$12:$B$16</f>
            </numRef>
          </cat>
          <val>
            <numRef>
              <f>'Dashboard'!$C$12:$C$16</f>
            </numRef>
          </val>
        </ser>
        <ser>
          <idx val="1"/>
          <order val="1"/>
          <tx>
            <strRef>
              <f>'Dashboard'!D11</f>
            </strRef>
          </tx>
          <spPr>
            <a:solidFill xmlns:a="http://schemas.openxmlformats.org/drawingml/2006/main">
              <a:srgbClr val="4E8AB0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'Dashboard'!$B$12:$B$16</f>
            </numRef>
          </cat>
          <val>
            <numRef>
              <f>'Dashboard'!$D$12:$D$16</f>
            </numRef>
          </val>
        </ser>
        <ser>
          <idx val="2"/>
          <order val="2"/>
          <tx>
            <strRef>
              <f>'Dashboard'!E11</f>
            </strRef>
          </tx>
          <spPr>
            <a:solidFill xmlns:a="http://schemas.openxmlformats.org/drawingml/2006/main">
              <a:srgbClr val="B5533C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'Dashboard'!$B$12:$B$16</f>
            </numRef>
          </cat>
          <val>
            <numRef>
              <f>'Dashboard'!$E$12:$E$16</f>
            </numRef>
          </val>
        </ser>
        <ser>
          <idx val="3"/>
          <order val="3"/>
          <tx>
            <strRef>
              <f>'Dashboard'!F11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'Dashboard'!$B$12:$B$16</f>
            </numRef>
          </cat>
          <val>
            <numRef>
              <f>'Dashboard'!$F$12:$F$16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E3DDD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7D766A"/>
                </a:solidFill>
              </a:defRPr>
            </a:pPr>
            <a:r>
              <a:t/>
            </a:r>
            <a:endParaRPr sz="900" b="0">
              <a:solidFill>
                <a:srgbClr val="7D766A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DDD0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7D766A"/>
                </a:solidFill>
              </a:defRPr>
            </a:pPr>
            <a:r>
              <a:t/>
            </a:r>
            <a:endParaRPr sz="900" b="0">
              <a:solidFill>
                <a:srgbClr val="7D766A"/>
              </a:solidFill>
            </a:endParaRPr>
          </a:p>
        </txPr>
        <crossAx val="10"/>
      </valAx>
      <spPr>
        <a:solidFill xmlns:a="http://schemas.openxmlformats.org/drawingml/2006/main">
          <a:srgbClr val="FFFFFF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2A2A28"/>
              </a:solidFill>
            </a:defRPr>
          </a:pPr>
          <a:r>
            <a:t/>
          </a:r>
          <a:endParaRPr sz="900" b="0">
            <a:solidFill>
              <a:srgbClr val="2A2A28"/>
            </a:solidFill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FFFFFF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'Dashboard'!H24</f>
            </strRef>
          </tx>
          <spPr>
            <a:solidFill xmlns:a="http://schemas.openxmlformats.org/drawingml/2006/main">
              <a:srgbClr val="2F6B4F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'Dashboard'!$B$25:$B$28</f>
            </numRef>
          </cat>
          <val>
            <numRef>
              <f>'Dashboard'!$H$25:$H$28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>
            <a:solidFill>
              <a:srgbClr val="E3DDD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7D766A"/>
                </a:solidFill>
              </a:defRPr>
            </a:pPr>
            <a:r>
              <a:t/>
            </a:r>
            <a:endParaRPr sz="900" b="0">
              <a:solidFill>
                <a:srgbClr val="7D766A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DDD0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7D766A"/>
                </a:solidFill>
              </a:defRPr>
            </a:pPr>
            <a:r>
              <a:t/>
            </a:r>
            <a:endParaRPr sz="900" b="0">
              <a:solidFill>
                <a:srgbClr val="7D766A"/>
              </a:solidFill>
            </a:endParaRPr>
          </a:p>
        </txPr>
        <crossAx val="10"/>
      </valAx>
      <spPr>
        <a:solidFill xmlns:a="http://schemas.openxmlformats.org/drawingml/2006/main">
          <a:srgbClr val="FFFFFF"/>
        </a:solidFill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FFFFFF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11</row>
      <rowOff>0</rowOff>
    </from>
    <ext cx="3600000" cy="194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24</row>
      <rowOff>0</rowOff>
    </from>
    <ext cx="3600000" cy="1655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2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>
      <c r="A2" s="1" t="n"/>
      <c r="B2" s="2" t="inlineStr">
        <is>
          <t>WIR Status Dashboard</t>
        </is>
      </c>
      <c r="N2" s="1" t="n"/>
    </row>
    <row r="3" ht="18" customHeight="1">
      <c r="A3" s="1" t="n"/>
      <c r="B3" s="3" t="inlineStr">
        <is>
          <t>Coastal Tunnel Package (CTP)  •  Desert Horizon JV  •  Consultant: Meridian Engineering Partners  •  Demo data</t>
        </is>
      </c>
      <c r="N3" s="1" t="n"/>
    </row>
    <row r="4" ht="6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1" t="n"/>
      <c r="B6" s="5" t="inlineStr">
        <is>
          <t>TOTAL WIRs</t>
        </is>
      </c>
      <c r="C6" s="6" t="n"/>
      <c r="D6" s="7" t="n"/>
      <c r="E6" s="8" t="inlineStr">
        <is>
          <t>APPROVED</t>
        </is>
      </c>
      <c r="F6" s="6" t="n"/>
      <c r="G6" s="7" t="n"/>
      <c r="H6" s="9" t="inlineStr">
        <is>
          <t>PENDING</t>
        </is>
      </c>
      <c r="I6" s="6" t="n"/>
      <c r="J6" s="7" t="n"/>
      <c r="K6" s="10" t="inlineStr">
        <is>
          <t>OVERDUE</t>
        </is>
      </c>
      <c r="L6" s="6" t="n"/>
      <c r="M6" s="7" t="n"/>
      <c r="N6" s="1" t="n"/>
    </row>
    <row r="7" ht="38" customHeight="1">
      <c r="A7" s="1" t="n"/>
      <c r="B7" s="11">
        <f>COUNTA('WIR Register'!$A$5:$A$2000)</f>
        <v/>
      </c>
      <c r="C7" s="6" t="n"/>
      <c r="D7" s="7" t="n"/>
      <c r="E7" s="12">
        <f>COUNTIF('WIR Register'!$H$5:$H$2000,"Approved")+COUNTIF('WIR Register'!$H$5:$H$2000,"Approved with Comments")</f>
        <v/>
      </c>
      <c r="F7" s="6" t="n"/>
      <c r="G7" s="7" t="n"/>
      <c r="H7" s="13">
        <f>COUNTIF('WIR Register'!$H$5:$H$2000,"Pending")</f>
        <v/>
      </c>
      <c r="I7" s="6" t="n"/>
      <c r="J7" s="7" t="n"/>
      <c r="K7" s="14">
        <f>COUNTIFS('WIR Register'!$H$5:$H$2000,"Pending",'WIR Register'!$J$5:$J$2000,"&gt;3")</f>
        <v/>
      </c>
      <c r="L7" s="6" t="n"/>
      <c r="M7" s="7" t="n"/>
      <c r="N7" s="1" t="n"/>
    </row>
    <row r="8" ht="18" customHeight="1">
      <c r="A8" s="1" t="n"/>
      <c r="B8" s="15" t="inlineStr">
        <is>
          <t>Submitted since July</t>
        </is>
      </c>
      <c r="C8" s="6" t="n"/>
      <c r="D8" s="7" t="n"/>
      <c r="E8" s="16" t="inlineStr">
        <is>
          <t>Including approved with comments</t>
        </is>
      </c>
      <c r="F8" s="6" t="n"/>
      <c r="G8" s="7" t="n"/>
      <c r="H8" s="17" t="inlineStr">
        <is>
          <t>Awaiting consultant response</t>
        </is>
      </c>
      <c r="I8" s="6" t="n"/>
      <c r="J8" s="7" t="n"/>
      <c r="K8" s="18" t="inlineStr">
        <is>
          <t>Pending more than 3 days</t>
        </is>
      </c>
      <c r="L8" s="6" t="n"/>
      <c r="M8" s="7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9" t="inlineStr">
        <is>
          <t>STATUS BY DISCIPLINE</t>
        </is>
      </c>
      <c r="C10" s="1" t="n"/>
      <c r="D10" s="1" t="n"/>
      <c r="E10" s="1" t="n"/>
      <c r="F10" s="1" t="n"/>
      <c r="G10" s="1" t="n"/>
      <c r="H10" s="1" t="n"/>
      <c r="I10" s="20" t="inlineStr">
        <is>
          <t>MIX BY DISCIPLINE</t>
        </is>
      </c>
      <c r="J10" s="21" t="n"/>
      <c r="K10" s="21" t="n"/>
      <c r="L10" s="21" t="n"/>
      <c r="M10" s="21" t="n"/>
      <c r="N10" s="1" t="n"/>
    </row>
    <row r="11">
      <c r="A11" s="1" t="n"/>
      <c r="B11" s="22" t="inlineStr">
        <is>
          <t>Discipline</t>
        </is>
      </c>
      <c r="C11" s="23" t="inlineStr">
        <is>
          <t>Approved</t>
        </is>
      </c>
      <c r="D11" s="23" t="inlineStr">
        <is>
          <t>With Comments</t>
        </is>
      </c>
      <c r="E11" s="23" t="inlineStr">
        <is>
          <t>Rejected</t>
        </is>
      </c>
      <c r="F11" s="23" t="inlineStr">
        <is>
          <t>Pending</t>
        </is>
      </c>
      <c r="G11" s="23" t="inlineStr">
        <is>
          <t>Total</t>
        </is>
      </c>
      <c r="H11" s="23" t="inlineStr">
        <is>
          <t>Approval %</t>
        </is>
      </c>
      <c r="I11" s="21" t="n"/>
      <c r="J11" s="21" t="n"/>
      <c r="K11" s="21" t="n"/>
      <c r="L11" s="21" t="n"/>
      <c r="M11" s="21" t="n"/>
      <c r="N11" s="1" t="n"/>
    </row>
    <row r="12">
      <c r="A12" s="1" t="n"/>
      <c r="B12" s="24" t="inlineStr">
        <is>
          <t>Geotechnical</t>
        </is>
      </c>
      <c r="C12" s="25">
        <f>COUNTIFS('WIR Register'!$C$5:$C$2000,$B12,'WIR Register'!$H$5:$H$2000,"Approved")</f>
        <v/>
      </c>
      <c r="D12" s="26">
        <f>COUNTIFS('WIR Register'!$C$5:$C$2000,$B12,'WIR Register'!$H$5:$H$2000,"Approved with Comments")</f>
        <v/>
      </c>
      <c r="E12" s="27">
        <f>COUNTIFS('WIR Register'!$C$5:$C$2000,$B12,'WIR Register'!$H$5:$H$2000,"Rejected")</f>
        <v/>
      </c>
      <c r="F12" s="28">
        <f>COUNTIFS('WIR Register'!$C$5:$C$2000,$B12,'WIR Register'!$H$5:$H$2000,"Pending")</f>
        <v/>
      </c>
      <c r="G12" s="29">
        <f>SUM(C12:F12)</f>
        <v/>
      </c>
      <c r="H12" s="30">
        <f>IFERROR((C12+D12)/(G12-F12),0)</f>
        <v/>
      </c>
      <c r="I12" s="21" t="n"/>
      <c r="J12" s="21" t="n"/>
      <c r="K12" s="21" t="n"/>
      <c r="L12" s="21" t="n"/>
      <c r="M12" s="21" t="n"/>
      <c r="N12" s="1" t="n"/>
    </row>
    <row r="13">
      <c r="A13" s="1" t="n"/>
      <c r="B13" s="24" t="inlineStr">
        <is>
          <t>Civil</t>
        </is>
      </c>
      <c r="C13" s="25">
        <f>COUNTIFS('WIR Register'!$C$5:$C$2000,$B13,'WIR Register'!$H$5:$H$2000,"Approved")</f>
        <v/>
      </c>
      <c r="D13" s="26">
        <f>COUNTIFS('WIR Register'!$C$5:$C$2000,$B13,'WIR Register'!$H$5:$H$2000,"Approved with Comments")</f>
        <v/>
      </c>
      <c r="E13" s="27">
        <f>COUNTIFS('WIR Register'!$C$5:$C$2000,$B13,'WIR Register'!$H$5:$H$2000,"Rejected")</f>
        <v/>
      </c>
      <c r="F13" s="28">
        <f>COUNTIFS('WIR Register'!$C$5:$C$2000,$B13,'WIR Register'!$H$5:$H$2000,"Pending")</f>
        <v/>
      </c>
      <c r="G13" s="29">
        <f>SUM(C13:F13)</f>
        <v/>
      </c>
      <c r="H13" s="30">
        <f>IFERROR((C13+D13)/(G13-F13),0)</f>
        <v/>
      </c>
      <c r="I13" s="21" t="n"/>
      <c r="J13" s="21" t="n"/>
      <c r="K13" s="21" t="n"/>
      <c r="L13" s="21" t="n"/>
      <c r="M13" s="21" t="n"/>
      <c r="N13" s="1" t="n"/>
    </row>
    <row r="14">
      <c r="A14" s="1" t="n"/>
      <c r="B14" s="24" t="inlineStr">
        <is>
          <t>Tunnelling</t>
        </is>
      </c>
      <c r="C14" s="25">
        <f>COUNTIFS('WIR Register'!$C$5:$C$2000,$B14,'WIR Register'!$H$5:$H$2000,"Approved")</f>
        <v/>
      </c>
      <c r="D14" s="26">
        <f>COUNTIFS('WIR Register'!$C$5:$C$2000,$B14,'WIR Register'!$H$5:$H$2000,"Approved with Comments")</f>
        <v/>
      </c>
      <c r="E14" s="27">
        <f>COUNTIFS('WIR Register'!$C$5:$C$2000,$B14,'WIR Register'!$H$5:$H$2000,"Rejected")</f>
        <v/>
      </c>
      <c r="F14" s="28">
        <f>COUNTIFS('WIR Register'!$C$5:$C$2000,$B14,'WIR Register'!$H$5:$H$2000,"Pending")</f>
        <v/>
      </c>
      <c r="G14" s="29">
        <f>SUM(C14:F14)</f>
        <v/>
      </c>
      <c r="H14" s="30">
        <f>IFERROR((C14+D14)/(G14-F14),0)</f>
        <v/>
      </c>
      <c r="I14" s="21" t="n"/>
      <c r="J14" s="21" t="n"/>
      <c r="K14" s="21" t="n"/>
      <c r="L14" s="21" t="n"/>
      <c r="M14" s="21" t="n"/>
      <c r="N14" s="1" t="n"/>
    </row>
    <row r="15">
      <c r="A15" s="1" t="n"/>
      <c r="B15" s="24" t="inlineStr">
        <is>
          <t>MEP</t>
        </is>
      </c>
      <c r="C15" s="25">
        <f>COUNTIFS('WIR Register'!$C$5:$C$2000,$B15,'WIR Register'!$H$5:$H$2000,"Approved")</f>
        <v/>
      </c>
      <c r="D15" s="26">
        <f>COUNTIFS('WIR Register'!$C$5:$C$2000,$B15,'WIR Register'!$H$5:$H$2000,"Approved with Comments")</f>
        <v/>
      </c>
      <c r="E15" s="27">
        <f>COUNTIFS('WIR Register'!$C$5:$C$2000,$B15,'WIR Register'!$H$5:$H$2000,"Rejected")</f>
        <v/>
      </c>
      <c r="F15" s="28">
        <f>COUNTIFS('WIR Register'!$C$5:$C$2000,$B15,'WIR Register'!$H$5:$H$2000,"Pending")</f>
        <v/>
      </c>
      <c r="G15" s="29">
        <f>SUM(C15:F15)</f>
        <v/>
      </c>
      <c r="H15" s="30">
        <f>IFERROR((C15+D15)/(G15-F15),0)</f>
        <v/>
      </c>
      <c r="I15" s="21" t="n"/>
      <c r="J15" s="21" t="n"/>
      <c r="K15" s="21" t="n"/>
      <c r="L15" s="21" t="n"/>
      <c r="M15" s="21" t="n"/>
      <c r="N15" s="1" t="n"/>
    </row>
    <row r="16">
      <c r="A16" s="1" t="n"/>
      <c r="B16" s="24" t="inlineStr">
        <is>
          <t>Survey</t>
        </is>
      </c>
      <c r="C16" s="25">
        <f>COUNTIFS('WIR Register'!$C$5:$C$2000,$B16,'WIR Register'!$H$5:$H$2000,"Approved")</f>
        <v/>
      </c>
      <c r="D16" s="26">
        <f>COUNTIFS('WIR Register'!$C$5:$C$2000,$B16,'WIR Register'!$H$5:$H$2000,"Approved with Comments")</f>
        <v/>
      </c>
      <c r="E16" s="27">
        <f>COUNTIFS('WIR Register'!$C$5:$C$2000,$B16,'WIR Register'!$H$5:$H$2000,"Rejected")</f>
        <v/>
      </c>
      <c r="F16" s="28">
        <f>COUNTIFS('WIR Register'!$C$5:$C$2000,$B16,'WIR Register'!$H$5:$H$2000,"Pending")</f>
        <v/>
      </c>
      <c r="G16" s="29">
        <f>SUM(C16:F16)</f>
        <v/>
      </c>
      <c r="H16" s="30">
        <f>IFERROR((C16+D16)/(G16-F16),0)</f>
        <v/>
      </c>
      <c r="I16" s="21" t="n"/>
      <c r="J16" s="21" t="n"/>
      <c r="K16" s="21" t="n"/>
      <c r="L16" s="21" t="n"/>
      <c r="M16" s="21" t="n"/>
      <c r="N16" s="1" t="n"/>
    </row>
    <row r="17">
      <c r="A17" s="1" t="n"/>
      <c r="B17" s="31" t="inlineStr">
        <is>
          <t>Total</t>
        </is>
      </c>
      <c r="C17" s="32">
        <f>SUM(C12:C16)</f>
        <v/>
      </c>
      <c r="D17" s="32">
        <f>SUM(D12:D16)</f>
        <v/>
      </c>
      <c r="E17" s="32">
        <f>SUM(E12:E16)</f>
        <v/>
      </c>
      <c r="F17" s="32">
        <f>SUM(F12:F16)</f>
        <v/>
      </c>
      <c r="G17" s="32">
        <f>SUM(G12:G16)</f>
        <v/>
      </c>
      <c r="H17" s="33">
        <f>IFERROR((C17+D17)/(G17-F17),0)</f>
        <v/>
      </c>
      <c r="I17" s="21" t="n"/>
      <c r="J17" s="21" t="n"/>
      <c r="K17" s="21" t="n"/>
      <c r="L17" s="21" t="n"/>
      <c r="M17" s="2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21" t="n"/>
      <c r="J18" s="21" t="n"/>
      <c r="K18" s="21" t="n"/>
      <c r="L18" s="21" t="n"/>
      <c r="M18" s="2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21" t="n"/>
      <c r="J19" s="21" t="n"/>
      <c r="K19" s="21" t="n"/>
      <c r="L19" s="21" t="n"/>
      <c r="M19" s="2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21" t="n"/>
      <c r="J20" s="21" t="n"/>
      <c r="K20" s="21" t="n"/>
      <c r="L20" s="21" t="n"/>
      <c r="M20" s="2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21" t="n"/>
      <c r="J21" s="21" t="n"/>
      <c r="K21" s="21" t="n"/>
      <c r="L21" s="21" t="n"/>
      <c r="M21" s="2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9" t="inlineStr">
        <is>
          <t>MONTHLY SUBMISSIONS</t>
        </is>
      </c>
      <c r="C23" s="1" t="n"/>
      <c r="D23" s="1" t="n"/>
      <c r="E23" s="1" t="n"/>
      <c r="F23" s="1" t="n"/>
      <c r="G23" s="1" t="n"/>
      <c r="H23" s="1" t="n"/>
      <c r="I23" s="20" t="inlineStr">
        <is>
          <t>MONTHLY TREND</t>
        </is>
      </c>
      <c r="J23" s="21" t="n"/>
      <c r="K23" s="21" t="n"/>
      <c r="L23" s="21" t="n"/>
      <c r="M23" s="21" t="n"/>
      <c r="N23" s="1" t="n"/>
    </row>
    <row r="24">
      <c r="A24" s="1" t="n"/>
      <c r="B24" s="22" t="inlineStr">
        <is>
          <t>Month</t>
        </is>
      </c>
      <c r="C24" s="23" t="inlineStr">
        <is>
          <t>Geotechnical</t>
        </is>
      </c>
      <c r="D24" s="23" t="inlineStr">
        <is>
          <t>Civil</t>
        </is>
      </c>
      <c r="E24" s="23" t="inlineStr">
        <is>
          <t>Tunnelling</t>
        </is>
      </c>
      <c r="F24" s="23" t="inlineStr">
        <is>
          <t>MEP</t>
        </is>
      </c>
      <c r="G24" s="23" t="inlineStr">
        <is>
          <t>Survey</t>
        </is>
      </c>
      <c r="H24" s="23" t="inlineStr">
        <is>
          <t>Total</t>
        </is>
      </c>
      <c r="I24" s="21" t="n"/>
      <c r="J24" s="21" t="n"/>
      <c r="K24" s="21" t="n"/>
      <c r="L24" s="21" t="n"/>
      <c r="M24" s="21" t="n"/>
      <c r="N24" s="1" t="n"/>
    </row>
    <row r="25">
      <c r="A25" s="1" t="n"/>
      <c r="B25" s="34" t="n">
        <v>46204</v>
      </c>
      <c r="C25" s="35">
        <f>COUNTIFS('WIR Register'!$C$5:$C$2000,"Geotechnical",'WIR Register'!$B$5:$B$2000,"&gt;="&amp;$B25,'WIR Register'!$B$5:$B$2000,"&lt;="&amp;EOMONTH($B25,0))</f>
        <v/>
      </c>
      <c r="D25" s="35">
        <f>COUNTIFS('WIR Register'!$C$5:$C$2000,"Civil",'WIR Register'!$B$5:$B$2000,"&gt;="&amp;$B25,'WIR Register'!$B$5:$B$2000,"&lt;="&amp;EOMONTH($B25,0))</f>
        <v/>
      </c>
      <c r="E25" s="35">
        <f>COUNTIFS('WIR Register'!$C$5:$C$2000,"Tunnelling",'WIR Register'!$B$5:$B$2000,"&gt;="&amp;$B25,'WIR Register'!$B$5:$B$2000,"&lt;="&amp;EOMONTH($B25,0))</f>
        <v/>
      </c>
      <c r="F25" s="35">
        <f>COUNTIFS('WIR Register'!$C$5:$C$2000,"MEP",'WIR Register'!$B$5:$B$2000,"&gt;="&amp;$B25,'WIR Register'!$B$5:$B$2000,"&lt;="&amp;EOMONTH($B25,0))</f>
        <v/>
      </c>
      <c r="G25" s="35">
        <f>COUNTIFS('WIR Register'!$C$5:$C$2000,"Survey",'WIR Register'!$B$5:$B$2000,"&gt;="&amp;$B25,'WIR Register'!$B$5:$B$2000,"&lt;="&amp;EOMONTH($B25,0))</f>
        <v/>
      </c>
      <c r="H25" s="29">
        <f>SUM(C25:G25)</f>
        <v/>
      </c>
      <c r="I25" s="21" t="n"/>
      <c r="J25" s="21" t="n"/>
      <c r="K25" s="21" t="n"/>
      <c r="L25" s="21" t="n"/>
      <c r="M25" s="21" t="n"/>
      <c r="N25" s="1" t="n"/>
    </row>
    <row r="26">
      <c r="A26" s="1" t="n"/>
      <c r="B26" s="34" t="n">
        <v>46235</v>
      </c>
      <c r="C26" s="35">
        <f>COUNTIFS('WIR Register'!$C$5:$C$2000,"Geotechnical",'WIR Register'!$B$5:$B$2000,"&gt;="&amp;$B26,'WIR Register'!$B$5:$B$2000,"&lt;="&amp;EOMONTH($B26,0))</f>
        <v/>
      </c>
      <c r="D26" s="35">
        <f>COUNTIFS('WIR Register'!$C$5:$C$2000,"Civil",'WIR Register'!$B$5:$B$2000,"&gt;="&amp;$B26,'WIR Register'!$B$5:$B$2000,"&lt;="&amp;EOMONTH($B26,0))</f>
        <v/>
      </c>
      <c r="E26" s="35">
        <f>COUNTIFS('WIR Register'!$C$5:$C$2000,"Tunnelling",'WIR Register'!$B$5:$B$2000,"&gt;="&amp;$B26,'WIR Register'!$B$5:$B$2000,"&lt;="&amp;EOMONTH($B26,0))</f>
        <v/>
      </c>
      <c r="F26" s="35">
        <f>COUNTIFS('WIR Register'!$C$5:$C$2000,"MEP",'WIR Register'!$B$5:$B$2000,"&gt;="&amp;$B26,'WIR Register'!$B$5:$B$2000,"&lt;="&amp;EOMONTH($B26,0))</f>
        <v/>
      </c>
      <c r="G26" s="35">
        <f>COUNTIFS('WIR Register'!$C$5:$C$2000,"Survey",'WIR Register'!$B$5:$B$2000,"&gt;="&amp;$B26,'WIR Register'!$B$5:$B$2000,"&lt;="&amp;EOMONTH($B26,0))</f>
        <v/>
      </c>
      <c r="H26" s="29">
        <f>SUM(C26:G26)</f>
        <v/>
      </c>
      <c r="I26" s="21" t="n"/>
      <c r="J26" s="21" t="n"/>
      <c r="K26" s="21" t="n"/>
      <c r="L26" s="21" t="n"/>
      <c r="M26" s="21" t="n"/>
      <c r="N26" s="1" t="n"/>
    </row>
    <row r="27">
      <c r="A27" s="1" t="n"/>
      <c r="B27" s="34" t="n">
        <v>46266</v>
      </c>
      <c r="C27" s="35">
        <f>COUNTIFS('WIR Register'!$C$5:$C$2000,"Geotechnical",'WIR Register'!$B$5:$B$2000,"&gt;="&amp;$B27,'WIR Register'!$B$5:$B$2000,"&lt;="&amp;EOMONTH($B27,0))</f>
        <v/>
      </c>
      <c r="D27" s="35">
        <f>COUNTIFS('WIR Register'!$C$5:$C$2000,"Civil",'WIR Register'!$B$5:$B$2000,"&gt;="&amp;$B27,'WIR Register'!$B$5:$B$2000,"&lt;="&amp;EOMONTH($B27,0))</f>
        <v/>
      </c>
      <c r="E27" s="35">
        <f>COUNTIFS('WIR Register'!$C$5:$C$2000,"Tunnelling",'WIR Register'!$B$5:$B$2000,"&gt;="&amp;$B27,'WIR Register'!$B$5:$B$2000,"&lt;="&amp;EOMONTH($B27,0))</f>
        <v/>
      </c>
      <c r="F27" s="35">
        <f>COUNTIFS('WIR Register'!$C$5:$C$2000,"MEP",'WIR Register'!$B$5:$B$2000,"&gt;="&amp;$B27,'WIR Register'!$B$5:$B$2000,"&lt;="&amp;EOMONTH($B27,0))</f>
        <v/>
      </c>
      <c r="G27" s="35">
        <f>COUNTIFS('WIR Register'!$C$5:$C$2000,"Survey",'WIR Register'!$B$5:$B$2000,"&gt;="&amp;$B27,'WIR Register'!$B$5:$B$2000,"&lt;="&amp;EOMONTH($B27,0))</f>
        <v/>
      </c>
      <c r="H27" s="29">
        <f>SUM(C27:G27)</f>
        <v/>
      </c>
      <c r="I27" s="21" t="n"/>
      <c r="J27" s="21" t="n"/>
      <c r="K27" s="21" t="n"/>
      <c r="L27" s="21" t="n"/>
      <c r="M27" s="21" t="n"/>
      <c r="N27" s="1" t="n"/>
    </row>
    <row r="28">
      <c r="A28" s="1" t="n"/>
      <c r="B28" s="34" t="n">
        <v>46296</v>
      </c>
      <c r="C28" s="35">
        <f>COUNTIFS('WIR Register'!$C$5:$C$2000,"Geotechnical",'WIR Register'!$B$5:$B$2000,"&gt;="&amp;$B28,'WIR Register'!$B$5:$B$2000,"&lt;="&amp;EOMONTH($B28,0))</f>
        <v/>
      </c>
      <c r="D28" s="35">
        <f>COUNTIFS('WIR Register'!$C$5:$C$2000,"Civil",'WIR Register'!$B$5:$B$2000,"&gt;="&amp;$B28,'WIR Register'!$B$5:$B$2000,"&lt;="&amp;EOMONTH($B28,0))</f>
        <v/>
      </c>
      <c r="E28" s="35">
        <f>COUNTIFS('WIR Register'!$C$5:$C$2000,"Tunnelling",'WIR Register'!$B$5:$B$2000,"&gt;="&amp;$B28,'WIR Register'!$B$5:$B$2000,"&lt;="&amp;EOMONTH($B28,0))</f>
        <v/>
      </c>
      <c r="F28" s="35">
        <f>COUNTIFS('WIR Register'!$C$5:$C$2000,"MEP",'WIR Register'!$B$5:$B$2000,"&gt;="&amp;$B28,'WIR Register'!$B$5:$B$2000,"&lt;="&amp;EOMONTH($B28,0))</f>
        <v/>
      </c>
      <c r="G28" s="35">
        <f>COUNTIFS('WIR Register'!$C$5:$C$2000,"Survey",'WIR Register'!$B$5:$B$2000,"&gt;="&amp;$B28,'WIR Register'!$B$5:$B$2000,"&lt;="&amp;EOMONTH($B28,0))</f>
        <v/>
      </c>
      <c r="H28" s="29">
        <f>SUM(C28:G28)</f>
        <v/>
      </c>
      <c r="I28" s="21" t="n"/>
      <c r="J28" s="21" t="n"/>
      <c r="K28" s="21" t="n"/>
      <c r="L28" s="21" t="n"/>
      <c r="M28" s="2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21" t="n"/>
      <c r="J29" s="21" t="n"/>
      <c r="K29" s="21" t="n"/>
      <c r="L29" s="21" t="n"/>
      <c r="M29" s="2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21" t="n"/>
      <c r="J30" s="21" t="n"/>
      <c r="K30" s="21" t="n"/>
      <c r="L30" s="21" t="n"/>
      <c r="M30" s="2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21" t="n"/>
      <c r="J31" s="21" t="n"/>
      <c r="K31" s="21" t="n"/>
      <c r="L31" s="21" t="n"/>
      <c r="M31" s="2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21" t="n"/>
      <c r="J32" s="21" t="n"/>
      <c r="K32" s="21" t="n"/>
      <c r="L32" s="21" t="n"/>
      <c r="M32" s="2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21" t="n"/>
      <c r="J33" s="21" t="n"/>
      <c r="K33" s="21" t="n"/>
      <c r="L33" s="21" t="n"/>
      <c r="M33" s="2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21" t="n"/>
      <c r="J34" s="21" t="n"/>
      <c r="K34" s="21" t="n"/>
      <c r="L34" s="21" t="n"/>
      <c r="M34" s="2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</sheetData>
  <mergeCells count="14">
    <mergeCell ref="B2:M2"/>
    <mergeCell ref="K8:M8"/>
    <mergeCell ref="B3:M3"/>
    <mergeCell ref="E7:G7"/>
    <mergeCell ref="K6:M6"/>
    <mergeCell ref="B8:D8"/>
    <mergeCell ref="E8:G8"/>
    <mergeCell ref="H8:J8"/>
    <mergeCell ref="H7:J7"/>
    <mergeCell ref="B7:D7"/>
    <mergeCell ref="B6:D6"/>
    <mergeCell ref="K7:M7"/>
    <mergeCell ref="E6:G6"/>
    <mergeCell ref="H6:J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5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30" customWidth="1" min="4" max="4"/>
    <col width="11" customWidth="1" min="5" max="5"/>
    <col width="13" customWidth="1" min="6" max="6"/>
    <col width="20" customWidth="1" min="7" max="7"/>
    <col width="22" customWidth="1" min="8" max="8"/>
    <col width="13" customWidth="1" min="9" max="9"/>
    <col width="10" customWidth="1" min="10" max="10"/>
    <col width="24" customWidth="1" min="11" max="11"/>
  </cols>
  <sheetData>
    <row r="1" ht="36" customHeight="1">
      <c r="A1" s="36" t="inlineStr">
        <is>
          <t>WIR Register – Work Inspection Requests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</row>
    <row r="2">
      <c r="A2" s="38" t="inlineStr">
        <is>
          <t>Coastal Tunnel Package (CTP) – Desert Horizon JV  •  Consultant: Meridian Engineering Partners  •  Demo data</t>
        </is>
      </c>
    </row>
    <row r="3" ht="4" customHeight="1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40" t="inlineStr">
        <is>
          <t>WIR No.</t>
        </is>
      </c>
      <c r="B4" s="40" t="inlineStr">
        <is>
          <t>Submitted</t>
        </is>
      </c>
      <c r="C4" s="40" t="inlineStr">
        <is>
          <t>Discipline</t>
        </is>
      </c>
      <c r="D4" s="40" t="inlineStr">
        <is>
          <t>Activity</t>
        </is>
      </c>
      <c r="E4" s="40" t="inlineStr">
        <is>
          <t>Location</t>
        </is>
      </c>
      <c r="F4" s="40" t="inlineStr">
        <is>
          <t>Inspection Date</t>
        </is>
      </c>
      <c r="G4" s="40" t="inlineStr">
        <is>
          <t>Consultant Inspector</t>
        </is>
      </c>
      <c r="H4" s="40" t="inlineStr">
        <is>
          <t>Status</t>
        </is>
      </c>
      <c r="I4" s="40" t="inlineStr">
        <is>
          <t>Response Date</t>
        </is>
      </c>
      <c r="J4" s="40" t="inlineStr">
        <is>
          <t>Days Open</t>
        </is>
      </c>
      <c r="K4" s="40" t="inlineStr">
        <is>
          <t>Remarks</t>
        </is>
      </c>
    </row>
    <row r="5">
      <c r="A5" s="41" t="inlineStr">
        <is>
          <t>CTP-WIR-CIV-0001</t>
        </is>
      </c>
      <c r="B5" s="42" t="n">
        <v>46204</v>
      </c>
      <c r="C5" s="43" t="inlineStr">
        <is>
          <t>Civil</t>
        </is>
      </c>
      <c r="D5" s="43" t="inlineStr">
        <is>
          <t>Formwork inspection</t>
        </is>
      </c>
      <c r="E5" s="41" t="inlineStr">
        <is>
          <t>CH 6+071</t>
        </is>
      </c>
      <c r="F5" s="42" t="n">
        <v>46205</v>
      </c>
      <c r="G5" s="43" t="inlineStr">
        <is>
          <t>Eng. Ali Haddad</t>
        </is>
      </c>
      <c r="H5" s="41" t="inlineStr">
        <is>
          <t>Approved</t>
        </is>
      </c>
      <c r="I5" s="42" t="n">
        <v>46207</v>
      </c>
      <c r="J5" s="41">
        <f>IF(H5="Pending",TODAY()-B5,IF(I5="","",I5-B5))</f>
        <v/>
      </c>
      <c r="K5" s="43" t="inlineStr"/>
    </row>
    <row r="6">
      <c r="A6" s="44" t="inlineStr">
        <is>
          <t>CTP-WIR-GEO-0001</t>
        </is>
      </c>
      <c r="B6" s="45" t="n">
        <v>46204</v>
      </c>
      <c r="C6" s="46" t="inlineStr">
        <is>
          <t>Geotechnical</t>
        </is>
      </c>
      <c r="D6" s="46" t="inlineStr">
        <is>
          <t>Borehole drilling &amp; logging</t>
        </is>
      </c>
      <c r="E6" s="44" t="inlineStr">
        <is>
          <t>CH 1+840</t>
        </is>
      </c>
      <c r="F6" s="45" t="n">
        <v>46205</v>
      </c>
      <c r="G6" s="46" t="inlineStr">
        <is>
          <t>Eng. Sara Nasser</t>
        </is>
      </c>
      <c r="H6" s="44" t="inlineStr">
        <is>
          <t>Approved</t>
        </is>
      </c>
      <c r="I6" s="45" t="n">
        <v>46205</v>
      </c>
      <c r="J6" s="44">
        <f>IF(H6="Pending",TODAY()-B6,IF(I6="","",I6-B6))</f>
        <v/>
      </c>
      <c r="K6" s="46" t="inlineStr"/>
    </row>
    <row r="7">
      <c r="A7" s="41" t="inlineStr">
        <is>
          <t>CTP-WIR-MEP-0001</t>
        </is>
      </c>
      <c r="B7" s="42" t="n">
        <v>46204</v>
      </c>
      <c r="C7" s="43" t="inlineStr">
        <is>
          <t>MEP</t>
        </is>
      </c>
      <c r="D7" s="43" t="inlineStr">
        <is>
          <t>Ventilation duct alignment</t>
        </is>
      </c>
      <c r="E7" s="41" t="inlineStr">
        <is>
          <t>CH 8+879</t>
        </is>
      </c>
      <c r="F7" s="42" t="n">
        <v>46204</v>
      </c>
      <c r="G7" s="43" t="inlineStr">
        <is>
          <t>Eng. Sara Nasser</t>
        </is>
      </c>
      <c r="H7" s="41" t="inlineStr">
        <is>
          <t>Rejected</t>
        </is>
      </c>
      <c r="I7" s="42" t="n">
        <v>46204</v>
      </c>
      <c r="J7" s="41">
        <f>IF(H7="Pending",TODAY()-B7,IF(I7="","",I7-B7))</f>
        <v/>
      </c>
      <c r="K7" s="43" t="inlineStr">
        <is>
          <t>Re-inspection required</t>
        </is>
      </c>
    </row>
    <row r="8">
      <c r="A8" s="44" t="inlineStr">
        <is>
          <t>CTP-WIR-SUR-0001</t>
        </is>
      </c>
      <c r="B8" s="45" t="n">
        <v>46204</v>
      </c>
      <c r="C8" s="46" t="inlineStr">
        <is>
          <t>Survey</t>
        </is>
      </c>
      <c r="D8" s="46" t="inlineStr">
        <is>
          <t>Setting-out check</t>
        </is>
      </c>
      <c r="E8" s="44" t="inlineStr">
        <is>
          <t>CH 2+105</t>
        </is>
      </c>
      <c r="F8" s="45" t="n">
        <v>46204</v>
      </c>
      <c r="G8" s="46" t="inlineStr">
        <is>
          <t>Eng. Sara Nasser</t>
        </is>
      </c>
      <c r="H8" s="44" t="inlineStr">
        <is>
          <t>Approved</t>
        </is>
      </c>
      <c r="I8" s="45" t="n">
        <v>46207</v>
      </c>
      <c r="J8" s="44">
        <f>IF(H8="Pending",TODAY()-B8,IF(I8="","",I8-B8))</f>
        <v/>
      </c>
      <c r="K8" s="46" t="inlineStr"/>
    </row>
    <row r="9">
      <c r="A9" s="41" t="inlineStr">
        <is>
          <t>CTP-WIR-TUN-0001</t>
        </is>
      </c>
      <c r="B9" s="42" t="n">
        <v>46204</v>
      </c>
      <c r="C9" s="43" t="inlineStr">
        <is>
          <t>Tunnelling</t>
        </is>
      </c>
      <c r="D9" s="43" t="inlineStr">
        <is>
          <t>Segment ring build</t>
        </is>
      </c>
      <c r="E9" s="41" t="inlineStr">
        <is>
          <t>CH 3+645</t>
        </is>
      </c>
      <c r="F9" s="42" t="n">
        <v>46204</v>
      </c>
      <c r="G9" s="43" t="inlineStr">
        <is>
          <t>Eng. Hana Saleh</t>
        </is>
      </c>
      <c r="H9" s="41" t="inlineStr">
        <is>
          <t>Approved with Comments</t>
        </is>
      </c>
      <c r="I9" s="42" t="n">
        <v>46204</v>
      </c>
      <c r="J9" s="41">
        <f>IF(H9="Pending",TODAY()-B9,IF(I9="","",I9-B9))</f>
        <v/>
      </c>
      <c r="K9" s="43" t="inlineStr">
        <is>
          <t>Minor comments to close</t>
        </is>
      </c>
    </row>
    <row r="10">
      <c r="A10" s="44" t="inlineStr">
        <is>
          <t>CTP-WIR-CIV-0002</t>
        </is>
      </c>
      <c r="B10" s="45" t="n">
        <v>46205</v>
      </c>
      <c r="C10" s="46" t="inlineStr">
        <is>
          <t>Civil</t>
        </is>
      </c>
      <c r="D10" s="46" t="inlineStr">
        <is>
          <t>Concrete pouring</t>
        </is>
      </c>
      <c r="E10" s="44" t="inlineStr">
        <is>
          <t>CH 8+437</t>
        </is>
      </c>
      <c r="F10" s="45" t="n">
        <v>46205</v>
      </c>
      <c r="G10" s="46" t="inlineStr">
        <is>
          <t>Eng. Pedro Alves</t>
        </is>
      </c>
      <c r="H10" s="44" t="inlineStr">
        <is>
          <t>Approved</t>
        </is>
      </c>
      <c r="I10" s="45" t="n">
        <v>46207</v>
      </c>
      <c r="J10" s="44">
        <f>IF(H10="Pending",TODAY()-B10,IF(I10="","",I10-B10))</f>
        <v/>
      </c>
      <c r="K10" s="46" t="inlineStr"/>
    </row>
    <row r="11">
      <c r="A11" s="41" t="inlineStr">
        <is>
          <t>CTP-WIR-CIV-0003</t>
        </is>
      </c>
      <c r="B11" s="42" t="n">
        <v>46205</v>
      </c>
      <c r="C11" s="43" t="inlineStr">
        <is>
          <t>Civil</t>
        </is>
      </c>
      <c r="D11" s="43" t="inlineStr">
        <is>
          <t>Formwork inspection</t>
        </is>
      </c>
      <c r="E11" s="41" t="inlineStr">
        <is>
          <t>CH 2+715</t>
        </is>
      </c>
      <c r="F11" s="42" t="n">
        <v>46207</v>
      </c>
      <c r="G11" s="43" t="inlineStr">
        <is>
          <t>Eng. Ali Haddad</t>
        </is>
      </c>
      <c r="H11" s="41" t="inlineStr">
        <is>
          <t>Approved</t>
        </is>
      </c>
      <c r="I11" s="42" t="n">
        <v>46208</v>
      </c>
      <c r="J11" s="41">
        <f>IF(H11="Pending",TODAY()-B11,IF(I11="","",I11-B11))</f>
        <v/>
      </c>
      <c r="K11" s="43" t="inlineStr"/>
    </row>
    <row r="12">
      <c r="A12" s="44" t="inlineStr">
        <is>
          <t>CTP-WIR-MEP-0002</t>
        </is>
      </c>
      <c r="B12" s="45" t="n">
        <v>46205</v>
      </c>
      <c r="C12" s="46" t="inlineStr">
        <is>
          <t>MEP</t>
        </is>
      </c>
      <c r="D12" s="46" t="inlineStr">
        <is>
          <t>Cable tray installation</t>
        </is>
      </c>
      <c r="E12" s="44" t="inlineStr">
        <is>
          <t>CH 7+431</t>
        </is>
      </c>
      <c r="F12" s="45" t="n">
        <v>46206</v>
      </c>
      <c r="G12" s="46" t="inlineStr">
        <is>
          <t>Eng. Ali Haddad</t>
        </is>
      </c>
      <c r="H12" s="44" t="inlineStr">
        <is>
          <t>Approved with Comments</t>
        </is>
      </c>
      <c r="I12" s="45" t="n">
        <v>46207</v>
      </c>
      <c r="J12" s="44">
        <f>IF(H12="Pending",TODAY()-B12,IF(I12="","",I12-B12))</f>
        <v/>
      </c>
      <c r="K12" s="46" t="inlineStr">
        <is>
          <t>Minor comments to close</t>
        </is>
      </c>
    </row>
    <row r="13">
      <c r="A13" s="41" t="inlineStr">
        <is>
          <t>CTP-WIR-SUR-0002</t>
        </is>
      </c>
      <c r="B13" s="42" t="n">
        <v>46205</v>
      </c>
      <c r="C13" s="43" t="inlineStr">
        <is>
          <t>Survey</t>
        </is>
      </c>
      <c r="D13" s="43" t="inlineStr">
        <is>
          <t>Settlement monitoring</t>
        </is>
      </c>
      <c r="E13" s="41" t="inlineStr">
        <is>
          <t>CH 9+508</t>
        </is>
      </c>
      <c r="F13" s="42" t="n">
        <v>46206</v>
      </c>
      <c r="G13" s="43" t="inlineStr">
        <is>
          <t>Eng. Ali Haddad</t>
        </is>
      </c>
      <c r="H13" s="41" t="inlineStr">
        <is>
          <t>Approved</t>
        </is>
      </c>
      <c r="I13" s="42" t="n">
        <v>46207</v>
      </c>
      <c r="J13" s="41">
        <f>IF(H13="Pending",TODAY()-B13,IF(I13="","",I13-B13))</f>
        <v/>
      </c>
      <c r="K13" s="43" t="inlineStr"/>
    </row>
    <row r="14">
      <c r="A14" s="44" t="inlineStr">
        <is>
          <t>CTP-WIR-SUR-0003</t>
        </is>
      </c>
      <c r="B14" s="45" t="n">
        <v>46205</v>
      </c>
      <c r="C14" s="46" t="inlineStr">
        <is>
          <t>Survey</t>
        </is>
      </c>
      <c r="D14" s="46" t="inlineStr">
        <is>
          <t>As-built survey</t>
        </is>
      </c>
      <c r="E14" s="44" t="inlineStr">
        <is>
          <t>CH 1+062</t>
        </is>
      </c>
      <c r="F14" s="45" t="n">
        <v>46205</v>
      </c>
      <c r="G14" s="46" t="inlineStr">
        <is>
          <t>Eng. Hana Saleh</t>
        </is>
      </c>
      <c r="H14" s="44" t="inlineStr">
        <is>
          <t>Rejected</t>
        </is>
      </c>
      <c r="I14" s="45" t="n">
        <v>46207</v>
      </c>
      <c r="J14" s="44">
        <f>IF(H14="Pending",TODAY()-B14,IF(I14="","",I14-B14))</f>
        <v/>
      </c>
      <c r="K14" s="46" t="inlineStr">
        <is>
          <t>Re-inspection required</t>
        </is>
      </c>
    </row>
    <row r="15">
      <c r="A15" s="41" t="inlineStr">
        <is>
          <t>CTP-WIR-TUN-0002</t>
        </is>
      </c>
      <c r="B15" s="42" t="n">
        <v>46205</v>
      </c>
      <c r="C15" s="43" t="inlineStr">
        <is>
          <t>Tunnelling</t>
        </is>
      </c>
      <c r="D15" s="43" t="inlineStr">
        <is>
          <t>Segment ring build</t>
        </is>
      </c>
      <c r="E15" s="41" t="inlineStr">
        <is>
          <t>CH 4+623</t>
        </is>
      </c>
      <c r="F15" s="42" t="n">
        <v>46207</v>
      </c>
      <c r="G15" s="43" t="inlineStr">
        <is>
          <t>Eng. Ali Haddad</t>
        </is>
      </c>
      <c r="H15" s="41" t="inlineStr">
        <is>
          <t>Approved with Comments</t>
        </is>
      </c>
      <c r="I15" s="42" t="n">
        <v>46209</v>
      </c>
      <c r="J15" s="41">
        <f>IF(H15="Pending",TODAY()-B15,IF(I15="","",I15-B15))</f>
        <v/>
      </c>
      <c r="K15" s="43" t="inlineStr">
        <is>
          <t>Minor comments to close</t>
        </is>
      </c>
    </row>
    <row r="16">
      <c r="A16" s="44" t="inlineStr">
        <is>
          <t>CTP-WIR-CIV-0004</t>
        </is>
      </c>
      <c r="B16" s="45" t="n">
        <v>46207</v>
      </c>
      <c r="C16" s="46" t="inlineStr">
        <is>
          <t>Civil</t>
        </is>
      </c>
      <c r="D16" s="46" t="inlineStr">
        <is>
          <t>Backfilling &amp; compaction</t>
        </is>
      </c>
      <c r="E16" s="44" t="inlineStr">
        <is>
          <t>CH 4+723</t>
        </is>
      </c>
      <c r="F16" s="45" t="n">
        <v>46208</v>
      </c>
      <c r="G16" s="46" t="inlineStr">
        <is>
          <t>Eng. Sara Nasser</t>
        </is>
      </c>
      <c r="H16" s="44" t="inlineStr">
        <is>
          <t>Approved with Comments</t>
        </is>
      </c>
      <c r="I16" s="45" t="n">
        <v>46211</v>
      </c>
      <c r="J16" s="44">
        <f>IF(H16="Pending",TODAY()-B16,IF(I16="","",I16-B16))</f>
        <v/>
      </c>
      <c r="K16" s="46" t="inlineStr">
        <is>
          <t>Minor comments to close</t>
        </is>
      </c>
    </row>
    <row r="17">
      <c r="A17" s="41" t="inlineStr">
        <is>
          <t>CTP-WIR-GEO-0002</t>
        </is>
      </c>
      <c r="B17" s="42" t="n">
        <v>46207</v>
      </c>
      <c r="C17" s="43" t="inlineStr">
        <is>
          <t>Geotechnical</t>
        </is>
      </c>
      <c r="D17" s="43" t="inlineStr">
        <is>
          <t>Ground anchor installation</t>
        </is>
      </c>
      <c r="E17" s="41" t="inlineStr">
        <is>
          <t>CH 5+023</t>
        </is>
      </c>
      <c r="F17" s="42" t="n">
        <v>46209</v>
      </c>
      <c r="G17" s="43" t="inlineStr">
        <is>
          <t>Eng. Sara Nasser</t>
        </is>
      </c>
      <c r="H17" s="41" t="inlineStr">
        <is>
          <t>Approved</t>
        </is>
      </c>
      <c r="I17" s="42" t="n">
        <v>46211</v>
      </c>
      <c r="J17" s="41">
        <f>IF(H17="Pending",TODAY()-B17,IF(I17="","",I17-B17))</f>
        <v/>
      </c>
      <c r="K17" s="43" t="inlineStr"/>
    </row>
    <row r="18">
      <c r="A18" s="44" t="inlineStr">
        <is>
          <t>CTP-WIR-GEO-0003</t>
        </is>
      </c>
      <c r="B18" s="45" t="n">
        <v>46207</v>
      </c>
      <c r="C18" s="46" t="inlineStr">
        <is>
          <t>Geotechnical</t>
        </is>
      </c>
      <c r="D18" s="46" t="inlineStr">
        <is>
          <t>Rock bolt pull-out test</t>
        </is>
      </c>
      <c r="E18" s="44" t="inlineStr">
        <is>
          <t>CH 0+223</t>
        </is>
      </c>
      <c r="F18" s="45" t="n">
        <v>46208</v>
      </c>
      <c r="G18" s="46" t="inlineStr">
        <is>
          <t>Eng. Mark Collins</t>
        </is>
      </c>
      <c r="H18" s="44" t="inlineStr">
        <is>
          <t>Approved</t>
        </is>
      </c>
      <c r="I18" s="45" t="n">
        <v>46210</v>
      </c>
      <c r="J18" s="44">
        <f>IF(H18="Pending",TODAY()-B18,IF(I18="","",I18-B18))</f>
        <v/>
      </c>
      <c r="K18" s="46" t="inlineStr"/>
    </row>
    <row r="19">
      <c r="A19" s="41" t="inlineStr">
        <is>
          <t>CTP-WIR-GEO-0004</t>
        </is>
      </c>
      <c r="B19" s="42" t="n">
        <v>46207</v>
      </c>
      <c r="C19" s="43" t="inlineStr">
        <is>
          <t>Geotechnical</t>
        </is>
      </c>
      <c r="D19" s="43" t="inlineStr">
        <is>
          <t>Ground anchor installation</t>
        </is>
      </c>
      <c r="E19" s="41" t="inlineStr">
        <is>
          <t>CH 1+170</t>
        </is>
      </c>
      <c r="F19" s="42" t="n">
        <v>46208</v>
      </c>
      <c r="G19" s="43" t="inlineStr">
        <is>
          <t>Eng. Pedro Alves</t>
        </is>
      </c>
      <c r="H19" s="41" t="inlineStr">
        <is>
          <t>Approved</t>
        </is>
      </c>
      <c r="I19" s="42" t="n">
        <v>46210</v>
      </c>
      <c r="J19" s="41">
        <f>IF(H19="Pending",TODAY()-B19,IF(I19="","",I19-B19))</f>
        <v/>
      </c>
      <c r="K19" s="43" t="inlineStr"/>
    </row>
    <row r="20">
      <c r="A20" s="44" t="inlineStr">
        <is>
          <t>CTP-WIR-SUR-0004</t>
        </is>
      </c>
      <c r="B20" s="45" t="n">
        <v>46207</v>
      </c>
      <c r="C20" s="46" t="inlineStr">
        <is>
          <t>Survey</t>
        </is>
      </c>
      <c r="D20" s="46" t="inlineStr">
        <is>
          <t>Tunnel alignment survey</t>
        </is>
      </c>
      <c r="E20" s="44" t="inlineStr">
        <is>
          <t>CH 9+670</t>
        </is>
      </c>
      <c r="F20" s="45" t="n">
        <v>46208</v>
      </c>
      <c r="G20" s="46" t="inlineStr">
        <is>
          <t>Eng. Pedro Alves</t>
        </is>
      </c>
      <c r="H20" s="44" t="inlineStr">
        <is>
          <t>Rejected</t>
        </is>
      </c>
      <c r="I20" s="45" t="n">
        <v>46211</v>
      </c>
      <c r="J20" s="44">
        <f>IF(H20="Pending",TODAY()-B20,IF(I20="","",I20-B20))</f>
        <v/>
      </c>
      <c r="K20" s="46" t="inlineStr">
        <is>
          <t>Re-inspection required</t>
        </is>
      </c>
    </row>
    <row r="21">
      <c r="A21" s="41" t="inlineStr">
        <is>
          <t>CTP-WIR-TUN-0003</t>
        </is>
      </c>
      <c r="B21" s="42" t="n">
        <v>46207</v>
      </c>
      <c r="C21" s="43" t="inlineStr">
        <is>
          <t>Tunnelling</t>
        </is>
      </c>
      <c r="D21" s="43" t="inlineStr">
        <is>
          <t>TBM cutter change</t>
        </is>
      </c>
      <c r="E21" s="41" t="inlineStr">
        <is>
          <t>CH 1+180</t>
        </is>
      </c>
      <c r="F21" s="42" t="n">
        <v>46209</v>
      </c>
      <c r="G21" s="43" t="inlineStr">
        <is>
          <t>Eng. Mark Collins</t>
        </is>
      </c>
      <c r="H21" s="41" t="inlineStr">
        <is>
          <t>Rejected</t>
        </is>
      </c>
      <c r="I21" s="42" t="n">
        <v>46210</v>
      </c>
      <c r="J21" s="41">
        <f>IF(H21="Pending",TODAY()-B21,IF(I21="","",I21-B21))</f>
        <v/>
      </c>
      <c r="K21" s="43" t="inlineStr">
        <is>
          <t>Re-inspection required</t>
        </is>
      </c>
    </row>
    <row r="22">
      <c r="A22" s="44" t="inlineStr">
        <is>
          <t>CTP-WIR-TUN-0004</t>
        </is>
      </c>
      <c r="B22" s="45" t="n">
        <v>46207</v>
      </c>
      <c r="C22" s="46" t="inlineStr">
        <is>
          <t>Tunnelling</t>
        </is>
      </c>
      <c r="D22" s="46" t="inlineStr">
        <is>
          <t>Annulus grouting</t>
        </is>
      </c>
      <c r="E22" s="44" t="inlineStr">
        <is>
          <t>CH 2+269</t>
        </is>
      </c>
      <c r="F22" s="45" t="n">
        <v>46208</v>
      </c>
      <c r="G22" s="46" t="inlineStr">
        <is>
          <t>Eng. Ali Haddad</t>
        </is>
      </c>
      <c r="H22" s="44" t="inlineStr">
        <is>
          <t>Approved</t>
        </is>
      </c>
      <c r="I22" s="45" t="n">
        <v>46211</v>
      </c>
      <c r="J22" s="44">
        <f>IF(H22="Pending",TODAY()-B22,IF(I22="","",I22-B22))</f>
        <v/>
      </c>
      <c r="K22" s="46" t="inlineStr"/>
    </row>
    <row r="23">
      <c r="A23" s="41" t="inlineStr">
        <is>
          <t>CTP-WIR-CIV-0005</t>
        </is>
      </c>
      <c r="B23" s="42" t="n">
        <v>46208</v>
      </c>
      <c r="C23" s="43" t="inlineStr">
        <is>
          <t>Civil</t>
        </is>
      </c>
      <c r="D23" s="43" t="inlineStr">
        <is>
          <t>Concrete pouring</t>
        </is>
      </c>
      <c r="E23" s="41" t="inlineStr">
        <is>
          <t>CH 8+103</t>
        </is>
      </c>
      <c r="F23" s="42" t="n">
        <v>46208</v>
      </c>
      <c r="G23" s="43" t="inlineStr">
        <is>
          <t>Eng. Hana Saleh</t>
        </is>
      </c>
      <c r="H23" s="41" t="inlineStr">
        <is>
          <t>Approved</t>
        </is>
      </c>
      <c r="I23" s="42" t="n">
        <v>46209</v>
      </c>
      <c r="J23" s="41">
        <f>IF(H23="Pending",TODAY()-B23,IF(I23="","",I23-B23))</f>
        <v/>
      </c>
      <c r="K23" s="43" t="inlineStr"/>
    </row>
    <row r="24">
      <c r="A24" s="44" t="inlineStr">
        <is>
          <t>CTP-WIR-GEO-0005</t>
        </is>
      </c>
      <c r="B24" s="45" t="n">
        <v>46208</v>
      </c>
      <c r="C24" s="46" t="inlineStr">
        <is>
          <t>Geotechnical</t>
        </is>
      </c>
      <c r="D24" s="46" t="inlineStr">
        <is>
          <t>Ground anchor installation</t>
        </is>
      </c>
      <c r="E24" s="44" t="inlineStr">
        <is>
          <t>CH 1+493</t>
        </is>
      </c>
      <c r="F24" s="45" t="n">
        <v>46210</v>
      </c>
      <c r="G24" s="46" t="inlineStr">
        <is>
          <t>Eng. Ali Haddad</t>
        </is>
      </c>
      <c r="H24" s="44" t="inlineStr">
        <is>
          <t>Approved</t>
        </is>
      </c>
      <c r="I24" s="45" t="n">
        <v>46212</v>
      </c>
      <c r="J24" s="44">
        <f>IF(H24="Pending",TODAY()-B24,IF(I24="","",I24-B24))</f>
        <v/>
      </c>
      <c r="K24" s="46" t="inlineStr"/>
    </row>
    <row r="25">
      <c r="A25" s="41" t="inlineStr">
        <is>
          <t>CTP-WIR-GEO-0006</t>
        </is>
      </c>
      <c r="B25" s="42" t="n">
        <v>46208</v>
      </c>
      <c r="C25" s="43" t="inlineStr">
        <is>
          <t>Geotechnical</t>
        </is>
      </c>
      <c r="D25" s="43" t="inlineStr">
        <is>
          <t>Borehole drilling &amp; logging</t>
        </is>
      </c>
      <c r="E25" s="41" t="inlineStr">
        <is>
          <t>CH 7+166</t>
        </is>
      </c>
      <c r="F25" s="42" t="n">
        <v>46209</v>
      </c>
      <c r="G25" s="43" t="inlineStr">
        <is>
          <t>Eng. Sara Nasser</t>
        </is>
      </c>
      <c r="H25" s="41" t="inlineStr">
        <is>
          <t>Approved</t>
        </is>
      </c>
      <c r="I25" s="42" t="n">
        <v>46210</v>
      </c>
      <c r="J25" s="41">
        <f>IF(H25="Pending",TODAY()-B25,IF(I25="","",I25-B25))</f>
        <v/>
      </c>
      <c r="K25" s="43" t="inlineStr"/>
    </row>
    <row r="26">
      <c r="A26" s="44" t="inlineStr">
        <is>
          <t>CTP-WIR-MEP-0003</t>
        </is>
      </c>
      <c r="B26" s="45" t="n">
        <v>46208</v>
      </c>
      <c r="C26" s="46" t="inlineStr">
        <is>
          <t>MEP</t>
        </is>
      </c>
      <c r="D26" s="46" t="inlineStr">
        <is>
          <t>Pump station testing</t>
        </is>
      </c>
      <c r="E26" s="44" t="inlineStr">
        <is>
          <t>CH 5+616</t>
        </is>
      </c>
      <c r="F26" s="45" t="n">
        <v>46210</v>
      </c>
      <c r="G26" s="46" t="inlineStr">
        <is>
          <t>Eng. Pedro Alves</t>
        </is>
      </c>
      <c r="H26" s="44" t="inlineStr">
        <is>
          <t>Approved</t>
        </is>
      </c>
      <c r="I26" s="45" t="n">
        <v>46211</v>
      </c>
      <c r="J26" s="44">
        <f>IF(H26="Pending",TODAY()-B26,IF(I26="","",I26-B26))</f>
        <v/>
      </c>
      <c r="K26" s="46" t="inlineStr"/>
    </row>
    <row r="27">
      <c r="A27" s="41" t="inlineStr">
        <is>
          <t>CTP-WIR-MEP-0004</t>
        </is>
      </c>
      <c r="B27" s="42" t="n">
        <v>46208</v>
      </c>
      <c r="C27" s="43" t="inlineStr">
        <is>
          <t>MEP</t>
        </is>
      </c>
      <c r="D27" s="43" t="inlineStr">
        <is>
          <t>Lighting installation</t>
        </is>
      </c>
      <c r="E27" s="41" t="inlineStr">
        <is>
          <t>CH 7+491</t>
        </is>
      </c>
      <c r="F27" s="42" t="n">
        <v>46208</v>
      </c>
      <c r="G27" s="43" t="inlineStr">
        <is>
          <t>Eng. Sara Nasser</t>
        </is>
      </c>
      <c r="H27" s="41" t="inlineStr">
        <is>
          <t>Approved</t>
        </is>
      </c>
      <c r="I27" s="42" t="n">
        <v>46210</v>
      </c>
      <c r="J27" s="41">
        <f>IF(H27="Pending",TODAY()-B27,IF(I27="","",I27-B27))</f>
        <v/>
      </c>
      <c r="K27" s="43" t="inlineStr"/>
    </row>
    <row r="28">
      <c r="A28" s="44" t="inlineStr">
        <is>
          <t>CTP-WIR-CIV-0006</t>
        </is>
      </c>
      <c r="B28" s="45" t="n">
        <v>46209</v>
      </c>
      <c r="C28" s="46" t="inlineStr">
        <is>
          <t>Civil</t>
        </is>
      </c>
      <c r="D28" s="46" t="inlineStr">
        <is>
          <t>Formwork inspection</t>
        </is>
      </c>
      <c r="E28" s="44" t="inlineStr">
        <is>
          <t>CH 8+023</t>
        </is>
      </c>
      <c r="F28" s="45" t="n">
        <v>46210</v>
      </c>
      <c r="G28" s="46" t="inlineStr">
        <is>
          <t>Eng. Hana Saleh</t>
        </is>
      </c>
      <c r="H28" s="44" t="inlineStr">
        <is>
          <t>Approved</t>
        </is>
      </c>
      <c r="I28" s="45" t="n">
        <v>46211</v>
      </c>
      <c r="J28" s="44">
        <f>IF(H28="Pending",TODAY()-B28,IF(I28="","",I28-B28))</f>
        <v/>
      </c>
      <c r="K28" s="46" t="inlineStr"/>
    </row>
    <row r="29">
      <c r="A29" s="41" t="inlineStr">
        <is>
          <t>CTP-WIR-MEP-0005</t>
        </is>
      </c>
      <c r="B29" s="42" t="n">
        <v>46209</v>
      </c>
      <c r="C29" s="43" t="inlineStr">
        <is>
          <t>MEP</t>
        </is>
      </c>
      <c r="D29" s="43" t="inlineStr">
        <is>
          <t>Pump station testing</t>
        </is>
      </c>
      <c r="E29" s="41" t="inlineStr">
        <is>
          <t>CH 8+554</t>
        </is>
      </c>
      <c r="F29" s="42" t="n">
        <v>46210</v>
      </c>
      <c r="G29" s="43" t="inlineStr">
        <is>
          <t>Eng. Mark Collins</t>
        </is>
      </c>
      <c r="H29" s="41" t="inlineStr">
        <is>
          <t>Approved</t>
        </is>
      </c>
      <c r="I29" s="42" t="n">
        <v>46211</v>
      </c>
      <c r="J29" s="41">
        <f>IF(H29="Pending",TODAY()-B29,IF(I29="","",I29-B29))</f>
        <v/>
      </c>
      <c r="K29" s="43" t="inlineStr"/>
    </row>
    <row r="30">
      <c r="A30" s="44" t="inlineStr">
        <is>
          <t>CTP-WIR-SUR-0005</t>
        </is>
      </c>
      <c r="B30" s="45" t="n">
        <v>46209</v>
      </c>
      <c r="C30" s="46" t="inlineStr">
        <is>
          <t>Survey</t>
        </is>
      </c>
      <c r="D30" s="46" t="inlineStr">
        <is>
          <t>Settlement monitoring</t>
        </is>
      </c>
      <c r="E30" s="44" t="inlineStr">
        <is>
          <t>CH 3+204</t>
        </is>
      </c>
      <c r="F30" s="45" t="n">
        <v>46210</v>
      </c>
      <c r="G30" s="46" t="inlineStr">
        <is>
          <t>Eng. Sara Nasser</t>
        </is>
      </c>
      <c r="H30" s="44" t="inlineStr">
        <is>
          <t>Approved with Comments</t>
        </is>
      </c>
      <c r="I30" s="45" t="n">
        <v>46212</v>
      </c>
      <c r="J30" s="44">
        <f>IF(H30="Pending",TODAY()-B30,IF(I30="","",I30-B30))</f>
        <v/>
      </c>
      <c r="K30" s="46" t="inlineStr">
        <is>
          <t>Minor comments to close</t>
        </is>
      </c>
    </row>
    <row r="31">
      <c r="A31" s="41" t="inlineStr">
        <is>
          <t>CTP-WIR-TUN-0005</t>
        </is>
      </c>
      <c r="B31" s="42" t="n">
        <v>46209</v>
      </c>
      <c r="C31" s="43" t="inlineStr">
        <is>
          <t>Tunnelling</t>
        </is>
      </c>
      <c r="D31" s="43" t="inlineStr">
        <is>
          <t>Annulus grouting</t>
        </is>
      </c>
      <c r="E31" s="41" t="inlineStr">
        <is>
          <t>CH 1+712</t>
        </is>
      </c>
      <c r="F31" s="42" t="n">
        <v>46209</v>
      </c>
      <c r="G31" s="43" t="inlineStr">
        <is>
          <t>Eng. Hana Saleh</t>
        </is>
      </c>
      <c r="H31" s="41" t="inlineStr">
        <is>
          <t>Approved with Comments</t>
        </is>
      </c>
      <c r="I31" s="42" t="n">
        <v>46210</v>
      </c>
      <c r="J31" s="41">
        <f>IF(H31="Pending",TODAY()-B31,IF(I31="","",I31-B31))</f>
        <v/>
      </c>
      <c r="K31" s="43" t="inlineStr">
        <is>
          <t>Minor comments to close</t>
        </is>
      </c>
    </row>
    <row r="32">
      <c r="A32" s="44" t="inlineStr">
        <is>
          <t>CTP-WIR-CIV-0007</t>
        </is>
      </c>
      <c r="B32" s="45" t="n">
        <v>46210</v>
      </c>
      <c r="C32" s="46" t="inlineStr">
        <is>
          <t>Civil</t>
        </is>
      </c>
      <c r="D32" s="46" t="inlineStr">
        <is>
          <t>Rebar inspection before concrete</t>
        </is>
      </c>
      <c r="E32" s="44" t="inlineStr">
        <is>
          <t>CH 9+860</t>
        </is>
      </c>
      <c r="F32" s="45" t="n">
        <v>46211</v>
      </c>
      <c r="G32" s="46" t="inlineStr">
        <is>
          <t>Eng. Pedro Alves</t>
        </is>
      </c>
      <c r="H32" s="44" t="inlineStr">
        <is>
          <t>Approved</t>
        </is>
      </c>
      <c r="I32" s="45" t="n">
        <v>46214</v>
      </c>
      <c r="J32" s="44">
        <f>IF(H32="Pending",TODAY()-B32,IF(I32="","",I32-B32))</f>
        <v/>
      </c>
      <c r="K32" s="46" t="inlineStr"/>
    </row>
    <row r="33">
      <c r="A33" s="41" t="inlineStr">
        <is>
          <t>CTP-WIR-GEO-0007</t>
        </is>
      </c>
      <c r="B33" s="42" t="n">
        <v>46210</v>
      </c>
      <c r="C33" s="43" t="inlineStr">
        <is>
          <t>Geotechnical</t>
        </is>
      </c>
      <c r="D33" s="43" t="inlineStr">
        <is>
          <t>Rock bolt pull-out test</t>
        </is>
      </c>
      <c r="E33" s="41" t="inlineStr">
        <is>
          <t>CH 4+198</t>
        </is>
      </c>
      <c r="F33" s="42" t="n">
        <v>46210</v>
      </c>
      <c r="G33" s="43" t="inlineStr">
        <is>
          <t>Eng. Pedro Alves</t>
        </is>
      </c>
      <c r="H33" s="41" t="inlineStr">
        <is>
          <t>Approved with Comments</t>
        </is>
      </c>
      <c r="I33" s="42" t="n">
        <v>46212</v>
      </c>
      <c r="J33" s="41">
        <f>IF(H33="Pending",TODAY()-B33,IF(I33="","",I33-B33))</f>
        <v/>
      </c>
      <c r="K33" s="43" t="inlineStr">
        <is>
          <t>Minor comments to close</t>
        </is>
      </c>
    </row>
    <row r="34">
      <c r="A34" s="44" t="inlineStr">
        <is>
          <t>CTP-WIR-GEO-0008</t>
        </is>
      </c>
      <c r="B34" s="45" t="n">
        <v>46210</v>
      </c>
      <c r="C34" s="46" t="inlineStr">
        <is>
          <t>Geotechnical</t>
        </is>
      </c>
      <c r="D34" s="46" t="inlineStr">
        <is>
          <t>Borehole drilling &amp; logging</t>
        </is>
      </c>
      <c r="E34" s="44" t="inlineStr">
        <is>
          <t>CH 1+225</t>
        </is>
      </c>
      <c r="F34" s="45" t="n">
        <v>46211</v>
      </c>
      <c r="G34" s="46" t="inlineStr">
        <is>
          <t>Eng. Mark Collins</t>
        </is>
      </c>
      <c r="H34" s="44" t="inlineStr">
        <is>
          <t>Rejected</t>
        </is>
      </c>
      <c r="I34" s="45" t="n">
        <v>46212</v>
      </c>
      <c r="J34" s="44">
        <f>IF(H34="Pending",TODAY()-B34,IF(I34="","",I34-B34))</f>
        <v/>
      </c>
      <c r="K34" s="46" t="inlineStr">
        <is>
          <t>Re-inspection required</t>
        </is>
      </c>
    </row>
    <row r="35">
      <c r="A35" s="41" t="inlineStr">
        <is>
          <t>CTP-WIR-SUR-0006</t>
        </is>
      </c>
      <c r="B35" s="42" t="n">
        <v>46210</v>
      </c>
      <c r="C35" s="43" t="inlineStr">
        <is>
          <t>Survey</t>
        </is>
      </c>
      <c r="D35" s="43" t="inlineStr">
        <is>
          <t>As-built survey</t>
        </is>
      </c>
      <c r="E35" s="41" t="inlineStr">
        <is>
          <t>CH 7+673</t>
        </is>
      </c>
      <c r="F35" s="42" t="n">
        <v>46211</v>
      </c>
      <c r="G35" s="43" t="inlineStr">
        <is>
          <t>Eng. Mark Collins</t>
        </is>
      </c>
      <c r="H35" s="41" t="inlineStr">
        <is>
          <t>Approved</t>
        </is>
      </c>
      <c r="I35" s="42" t="n">
        <v>46214</v>
      </c>
      <c r="J35" s="41">
        <f>IF(H35="Pending",TODAY()-B35,IF(I35="","",I35-B35))</f>
        <v/>
      </c>
      <c r="K35" s="43" t="inlineStr"/>
    </row>
    <row r="36">
      <c r="A36" s="44" t="inlineStr">
        <is>
          <t>CTP-WIR-SUR-0007</t>
        </is>
      </c>
      <c r="B36" s="45" t="n">
        <v>46210</v>
      </c>
      <c r="C36" s="46" t="inlineStr">
        <is>
          <t>Survey</t>
        </is>
      </c>
      <c r="D36" s="46" t="inlineStr">
        <is>
          <t>Setting-out check</t>
        </is>
      </c>
      <c r="E36" s="44" t="inlineStr">
        <is>
          <t>CH 8+767</t>
        </is>
      </c>
      <c r="F36" s="45" t="n">
        <v>46211</v>
      </c>
      <c r="G36" s="46" t="inlineStr">
        <is>
          <t>Eng. Pedro Alves</t>
        </is>
      </c>
      <c r="H36" s="44" t="inlineStr">
        <is>
          <t>Approved</t>
        </is>
      </c>
      <c r="I36" s="45" t="n">
        <v>46211</v>
      </c>
      <c r="J36" s="44">
        <f>IF(H36="Pending",TODAY()-B36,IF(I36="","",I36-B36))</f>
        <v/>
      </c>
      <c r="K36" s="46" t="inlineStr"/>
    </row>
    <row r="37">
      <c r="A37" s="41" t="inlineStr">
        <is>
          <t>CTP-WIR-TUN-0006</t>
        </is>
      </c>
      <c r="B37" s="42" t="n">
        <v>46210</v>
      </c>
      <c r="C37" s="43" t="inlineStr">
        <is>
          <t>Tunnelling</t>
        </is>
      </c>
      <c r="D37" s="43" t="inlineStr">
        <is>
          <t>Tunnel invert cleaning</t>
        </is>
      </c>
      <c r="E37" s="41" t="inlineStr">
        <is>
          <t>CH 1+931</t>
        </is>
      </c>
      <c r="F37" s="42" t="n">
        <v>46211</v>
      </c>
      <c r="G37" s="43" t="inlineStr">
        <is>
          <t>Eng. Mark Collins</t>
        </is>
      </c>
      <c r="H37" s="41" t="inlineStr">
        <is>
          <t>Approved with Comments</t>
        </is>
      </c>
      <c r="I37" s="42" t="n">
        <v>46211</v>
      </c>
      <c r="J37" s="41">
        <f>IF(H37="Pending",TODAY()-B37,IF(I37="","",I37-B37))</f>
        <v/>
      </c>
      <c r="K37" s="43" t="inlineStr">
        <is>
          <t>Minor comments to close</t>
        </is>
      </c>
    </row>
    <row r="38">
      <c r="A38" s="44" t="inlineStr">
        <is>
          <t>CTP-WIR-TUN-0007</t>
        </is>
      </c>
      <c r="B38" s="45" t="n">
        <v>46210</v>
      </c>
      <c r="C38" s="46" t="inlineStr">
        <is>
          <t>Tunnelling</t>
        </is>
      </c>
      <c r="D38" s="46" t="inlineStr">
        <is>
          <t>Tunnel invert cleaning</t>
        </is>
      </c>
      <c r="E38" s="44" t="inlineStr">
        <is>
          <t>CH 5+088</t>
        </is>
      </c>
      <c r="F38" s="45" t="n">
        <v>46212</v>
      </c>
      <c r="G38" s="46" t="inlineStr">
        <is>
          <t>Eng. Pedro Alves</t>
        </is>
      </c>
      <c r="H38" s="44" t="inlineStr">
        <is>
          <t>Approved with Comments</t>
        </is>
      </c>
      <c r="I38" s="45" t="n">
        <v>46214</v>
      </c>
      <c r="J38" s="44">
        <f>IF(H38="Pending",TODAY()-B38,IF(I38="","",I38-B38))</f>
        <v/>
      </c>
      <c r="K38" s="46" t="inlineStr">
        <is>
          <t>Minor comments to close</t>
        </is>
      </c>
    </row>
    <row r="39">
      <c r="A39" s="41" t="inlineStr">
        <is>
          <t>CTP-WIR-TUN-0008</t>
        </is>
      </c>
      <c r="B39" s="42" t="n">
        <v>46210</v>
      </c>
      <c r="C39" s="43" t="inlineStr">
        <is>
          <t>Tunnelling</t>
        </is>
      </c>
      <c r="D39" s="43" t="inlineStr">
        <is>
          <t>TBM cutter change</t>
        </is>
      </c>
      <c r="E39" s="41" t="inlineStr">
        <is>
          <t>CH 2+174</t>
        </is>
      </c>
      <c r="F39" s="42" t="n">
        <v>46212</v>
      </c>
      <c r="G39" s="43" t="inlineStr">
        <is>
          <t>Eng. Ali Haddad</t>
        </is>
      </c>
      <c r="H39" s="41" t="inlineStr">
        <is>
          <t>Approved with Comments</t>
        </is>
      </c>
      <c r="I39" s="42" t="n">
        <v>46212</v>
      </c>
      <c r="J39" s="41">
        <f>IF(H39="Pending",TODAY()-B39,IF(I39="","",I39-B39))</f>
        <v/>
      </c>
      <c r="K39" s="43" t="inlineStr">
        <is>
          <t>Minor comments to close</t>
        </is>
      </c>
    </row>
    <row r="40">
      <c r="A40" s="44" t="inlineStr">
        <is>
          <t>CTP-WIR-GEO-0009</t>
        </is>
      </c>
      <c r="B40" s="45" t="n">
        <v>46211</v>
      </c>
      <c r="C40" s="46" t="inlineStr">
        <is>
          <t>Geotechnical</t>
        </is>
      </c>
      <c r="D40" s="46" t="inlineStr">
        <is>
          <t>Grout injection</t>
        </is>
      </c>
      <c r="E40" s="44" t="inlineStr">
        <is>
          <t>CH 0+257</t>
        </is>
      </c>
      <c r="F40" s="45" t="n">
        <v>46212</v>
      </c>
      <c r="G40" s="46" t="inlineStr">
        <is>
          <t>Eng. Sara Nasser</t>
        </is>
      </c>
      <c r="H40" s="44" t="inlineStr">
        <is>
          <t>Approved with Comments</t>
        </is>
      </c>
      <c r="I40" s="45" t="n">
        <v>46213</v>
      </c>
      <c r="J40" s="44">
        <f>IF(H40="Pending",TODAY()-B40,IF(I40="","",I40-B40))</f>
        <v/>
      </c>
      <c r="K40" s="46" t="inlineStr">
        <is>
          <t>Minor comments to close</t>
        </is>
      </c>
    </row>
    <row r="41">
      <c r="A41" s="41" t="inlineStr">
        <is>
          <t>CTP-WIR-GEO-0010</t>
        </is>
      </c>
      <c r="B41" s="42" t="n">
        <v>46211</v>
      </c>
      <c r="C41" s="43" t="inlineStr">
        <is>
          <t>Geotechnical</t>
        </is>
      </c>
      <c r="D41" s="43" t="inlineStr">
        <is>
          <t>Ground anchor installation</t>
        </is>
      </c>
      <c r="E41" s="41" t="inlineStr">
        <is>
          <t>CH 4+557</t>
        </is>
      </c>
      <c r="F41" s="42" t="n">
        <v>46212</v>
      </c>
      <c r="G41" s="43" t="inlineStr">
        <is>
          <t>Eng. Mark Collins</t>
        </is>
      </c>
      <c r="H41" s="41" t="inlineStr">
        <is>
          <t>Approved with Comments</t>
        </is>
      </c>
      <c r="I41" s="42" t="n">
        <v>46213</v>
      </c>
      <c r="J41" s="41">
        <f>IF(H41="Pending",TODAY()-B41,IF(I41="","",I41-B41))</f>
        <v/>
      </c>
      <c r="K41" s="43" t="inlineStr">
        <is>
          <t>Minor comments to close</t>
        </is>
      </c>
    </row>
    <row r="42">
      <c r="A42" s="44" t="inlineStr">
        <is>
          <t>CTP-WIR-GEO-0011</t>
        </is>
      </c>
      <c r="B42" s="45" t="n">
        <v>46211</v>
      </c>
      <c r="C42" s="46" t="inlineStr">
        <is>
          <t>Geotechnical</t>
        </is>
      </c>
      <c r="D42" s="46" t="inlineStr">
        <is>
          <t>Ground anchor installation</t>
        </is>
      </c>
      <c r="E42" s="44" t="inlineStr">
        <is>
          <t>CH 7+678</t>
        </is>
      </c>
      <c r="F42" s="45" t="n">
        <v>46211</v>
      </c>
      <c r="G42" s="46" t="inlineStr">
        <is>
          <t>Eng. Hana Saleh</t>
        </is>
      </c>
      <c r="H42" s="44" t="inlineStr">
        <is>
          <t>Rejected</t>
        </is>
      </c>
      <c r="I42" s="45" t="n">
        <v>46212</v>
      </c>
      <c r="J42" s="44">
        <f>IF(H42="Pending",TODAY()-B42,IF(I42="","",I42-B42))</f>
        <v/>
      </c>
      <c r="K42" s="46" t="inlineStr">
        <is>
          <t>Re-inspection required</t>
        </is>
      </c>
    </row>
    <row r="43">
      <c r="A43" s="41" t="inlineStr">
        <is>
          <t>CTP-WIR-MEP-0006</t>
        </is>
      </c>
      <c r="B43" s="42" t="n">
        <v>46211</v>
      </c>
      <c r="C43" s="43" t="inlineStr">
        <is>
          <t>MEP</t>
        </is>
      </c>
      <c r="D43" s="43" t="inlineStr">
        <is>
          <t>Ventilation duct alignment</t>
        </is>
      </c>
      <c r="E43" s="41" t="inlineStr">
        <is>
          <t>CH 0+794</t>
        </is>
      </c>
      <c r="F43" s="42" t="n">
        <v>46213</v>
      </c>
      <c r="G43" s="43" t="inlineStr">
        <is>
          <t>Eng. Mark Collins</t>
        </is>
      </c>
      <c r="H43" s="41" t="inlineStr">
        <is>
          <t>Approved with Comments</t>
        </is>
      </c>
      <c r="I43" s="42" t="n">
        <v>46216</v>
      </c>
      <c r="J43" s="41">
        <f>IF(H43="Pending",TODAY()-B43,IF(I43="","",I43-B43))</f>
        <v/>
      </c>
      <c r="K43" s="43" t="inlineStr">
        <is>
          <t>Minor comments to close</t>
        </is>
      </c>
    </row>
    <row r="44">
      <c r="A44" s="44" t="inlineStr">
        <is>
          <t>CTP-WIR-CIV-0008</t>
        </is>
      </c>
      <c r="B44" s="45" t="n">
        <v>46212</v>
      </c>
      <c r="C44" s="46" t="inlineStr">
        <is>
          <t>Civil</t>
        </is>
      </c>
      <c r="D44" s="46" t="inlineStr">
        <is>
          <t>Rebar inspection before concrete</t>
        </is>
      </c>
      <c r="E44" s="44" t="inlineStr">
        <is>
          <t>CH 0+790</t>
        </is>
      </c>
      <c r="F44" s="45" t="n">
        <v>46212</v>
      </c>
      <c r="G44" s="46" t="inlineStr">
        <is>
          <t>Eng. Hana Saleh</t>
        </is>
      </c>
      <c r="H44" s="44" t="inlineStr">
        <is>
          <t>Approved</t>
        </is>
      </c>
      <c r="I44" s="45" t="n">
        <v>46213</v>
      </c>
      <c r="J44" s="44">
        <f>IF(H44="Pending",TODAY()-B44,IF(I44="","",I44-B44))</f>
        <v/>
      </c>
      <c r="K44" s="46" t="inlineStr"/>
    </row>
    <row r="45">
      <c r="A45" s="41" t="inlineStr">
        <is>
          <t>CTP-WIR-CIV-0009</t>
        </is>
      </c>
      <c r="B45" s="42" t="n">
        <v>46212</v>
      </c>
      <c r="C45" s="43" t="inlineStr">
        <is>
          <t>Civil</t>
        </is>
      </c>
      <c r="D45" s="43" t="inlineStr">
        <is>
          <t>Formwork inspection</t>
        </is>
      </c>
      <c r="E45" s="41" t="inlineStr">
        <is>
          <t>CH 7+333</t>
        </is>
      </c>
      <c r="F45" s="42" t="n">
        <v>46214</v>
      </c>
      <c r="G45" s="43" t="inlineStr">
        <is>
          <t>Eng. Sara Nasser</t>
        </is>
      </c>
      <c r="H45" s="41" t="inlineStr">
        <is>
          <t>Approved</t>
        </is>
      </c>
      <c r="I45" s="42" t="n">
        <v>46214</v>
      </c>
      <c r="J45" s="41">
        <f>IF(H45="Pending",TODAY()-B45,IF(I45="","",I45-B45))</f>
        <v/>
      </c>
      <c r="K45" s="43" t="inlineStr"/>
    </row>
    <row r="46">
      <c r="A46" s="44" t="inlineStr">
        <is>
          <t>CTP-WIR-GEO-0012</t>
        </is>
      </c>
      <c r="B46" s="45" t="n">
        <v>46212</v>
      </c>
      <c r="C46" s="46" t="inlineStr">
        <is>
          <t>Geotechnical</t>
        </is>
      </c>
      <c r="D46" s="46" t="inlineStr">
        <is>
          <t>Ground anchor installation</t>
        </is>
      </c>
      <c r="E46" s="44" t="inlineStr">
        <is>
          <t>CH 8+543</t>
        </is>
      </c>
      <c r="F46" s="45" t="n">
        <v>46212</v>
      </c>
      <c r="G46" s="46" t="inlineStr">
        <is>
          <t>Eng. Ali Haddad</t>
        </is>
      </c>
      <c r="H46" s="44" t="inlineStr">
        <is>
          <t>Approved</t>
        </is>
      </c>
      <c r="I46" s="45" t="n">
        <v>46213</v>
      </c>
      <c r="J46" s="44">
        <f>IF(H46="Pending",TODAY()-B46,IF(I46="","",I46-B46))</f>
        <v/>
      </c>
      <c r="K46" s="46" t="inlineStr"/>
    </row>
    <row r="47">
      <c r="A47" s="41" t="inlineStr">
        <is>
          <t>CTP-WIR-MEP-0007</t>
        </is>
      </c>
      <c r="B47" s="42" t="n">
        <v>46212</v>
      </c>
      <c r="C47" s="43" t="inlineStr">
        <is>
          <t>MEP</t>
        </is>
      </c>
      <c r="D47" s="43" t="inlineStr">
        <is>
          <t>Lighting installation</t>
        </is>
      </c>
      <c r="E47" s="41" t="inlineStr">
        <is>
          <t>CH 6+124</t>
        </is>
      </c>
      <c r="F47" s="42" t="n">
        <v>46213</v>
      </c>
      <c r="G47" s="43" t="inlineStr">
        <is>
          <t>Eng. Pedro Alves</t>
        </is>
      </c>
      <c r="H47" s="41" t="inlineStr">
        <is>
          <t>Approved with Comments</t>
        </is>
      </c>
      <c r="I47" s="42" t="n">
        <v>46214</v>
      </c>
      <c r="J47" s="41">
        <f>IF(H47="Pending",TODAY()-B47,IF(I47="","",I47-B47))</f>
        <v/>
      </c>
      <c r="K47" s="43" t="inlineStr">
        <is>
          <t>Minor comments to close</t>
        </is>
      </c>
    </row>
    <row r="48">
      <c r="A48" s="44" t="inlineStr">
        <is>
          <t>CTP-WIR-MEP-0008</t>
        </is>
      </c>
      <c r="B48" s="45" t="n">
        <v>46212</v>
      </c>
      <c r="C48" s="46" t="inlineStr">
        <is>
          <t>MEP</t>
        </is>
      </c>
      <c r="D48" s="46" t="inlineStr">
        <is>
          <t>Ventilation duct alignment</t>
        </is>
      </c>
      <c r="E48" s="44" t="inlineStr">
        <is>
          <t>CH 6+074</t>
        </is>
      </c>
      <c r="F48" s="45" t="n">
        <v>46213</v>
      </c>
      <c r="G48" s="46" t="inlineStr">
        <is>
          <t>Eng. Sara Nasser</t>
        </is>
      </c>
      <c r="H48" s="44" t="inlineStr">
        <is>
          <t>Approved</t>
        </is>
      </c>
      <c r="I48" s="45" t="n">
        <v>46214</v>
      </c>
      <c r="J48" s="44">
        <f>IF(H48="Pending",TODAY()-B48,IF(I48="","",I48-B48))</f>
        <v/>
      </c>
      <c r="K48" s="46" t="inlineStr"/>
    </row>
    <row r="49">
      <c r="A49" s="41" t="inlineStr">
        <is>
          <t>CTP-WIR-SUR-0008</t>
        </is>
      </c>
      <c r="B49" s="42" t="n">
        <v>46212</v>
      </c>
      <c r="C49" s="43" t="inlineStr">
        <is>
          <t>Survey</t>
        </is>
      </c>
      <c r="D49" s="43" t="inlineStr">
        <is>
          <t>Setting-out check</t>
        </is>
      </c>
      <c r="E49" s="41" t="inlineStr">
        <is>
          <t>CH 2+259</t>
        </is>
      </c>
      <c r="F49" s="42" t="n">
        <v>46213</v>
      </c>
      <c r="G49" s="43" t="inlineStr">
        <is>
          <t>Eng. Pedro Alves</t>
        </is>
      </c>
      <c r="H49" s="41" t="inlineStr">
        <is>
          <t>Rejected</t>
        </is>
      </c>
      <c r="I49" s="42" t="n">
        <v>46214</v>
      </c>
      <c r="J49" s="41">
        <f>IF(H49="Pending",TODAY()-B49,IF(I49="","",I49-B49))</f>
        <v/>
      </c>
      <c r="K49" s="43" t="inlineStr">
        <is>
          <t>Re-inspection required</t>
        </is>
      </c>
    </row>
    <row r="50">
      <c r="A50" s="44" t="inlineStr">
        <is>
          <t>CTP-WIR-SUR-0009</t>
        </is>
      </c>
      <c r="B50" s="45" t="n">
        <v>46212</v>
      </c>
      <c r="C50" s="46" t="inlineStr">
        <is>
          <t>Survey</t>
        </is>
      </c>
      <c r="D50" s="46" t="inlineStr">
        <is>
          <t>Settlement monitoring</t>
        </is>
      </c>
      <c r="E50" s="44" t="inlineStr">
        <is>
          <t>CH 6+906</t>
        </is>
      </c>
      <c r="F50" s="45" t="n">
        <v>46213</v>
      </c>
      <c r="G50" s="46" t="inlineStr">
        <is>
          <t>Eng. Mark Collins</t>
        </is>
      </c>
      <c r="H50" s="44" t="inlineStr">
        <is>
          <t>Approved with Comments</t>
        </is>
      </c>
      <c r="I50" s="45" t="n">
        <v>46213</v>
      </c>
      <c r="J50" s="44">
        <f>IF(H50="Pending",TODAY()-B50,IF(I50="","",I50-B50))</f>
        <v/>
      </c>
      <c r="K50" s="46" t="inlineStr">
        <is>
          <t>Minor comments to close</t>
        </is>
      </c>
    </row>
    <row r="51">
      <c r="A51" s="41" t="inlineStr">
        <is>
          <t>CTP-WIR-TUN-0009</t>
        </is>
      </c>
      <c r="B51" s="42" t="n">
        <v>46212</v>
      </c>
      <c r="C51" s="43" t="inlineStr">
        <is>
          <t>Tunnelling</t>
        </is>
      </c>
      <c r="D51" s="43" t="inlineStr">
        <is>
          <t>Annulus grouting</t>
        </is>
      </c>
      <c r="E51" s="41" t="inlineStr">
        <is>
          <t>CH 8+897</t>
        </is>
      </c>
      <c r="F51" s="42" t="n">
        <v>46214</v>
      </c>
      <c r="G51" s="43" t="inlineStr">
        <is>
          <t>Eng. Hana Saleh</t>
        </is>
      </c>
      <c r="H51" s="41" t="inlineStr">
        <is>
          <t>Approved</t>
        </is>
      </c>
      <c r="I51" s="42" t="n">
        <v>46215</v>
      </c>
      <c r="J51" s="41">
        <f>IF(H51="Pending",TODAY()-B51,IF(I51="","",I51-B51))</f>
        <v/>
      </c>
      <c r="K51" s="43" t="inlineStr"/>
    </row>
    <row r="52">
      <c r="A52" s="44" t="inlineStr">
        <is>
          <t>CTP-WIR-CIV-0010</t>
        </is>
      </c>
      <c r="B52" s="45" t="n">
        <v>46214</v>
      </c>
      <c r="C52" s="46" t="inlineStr">
        <is>
          <t>Civil</t>
        </is>
      </c>
      <c r="D52" s="46" t="inlineStr">
        <is>
          <t>Concrete pouring</t>
        </is>
      </c>
      <c r="E52" s="44" t="inlineStr">
        <is>
          <t>CH 1+086</t>
        </is>
      </c>
      <c r="F52" s="45" t="n">
        <v>46214</v>
      </c>
      <c r="G52" s="46" t="inlineStr">
        <is>
          <t>Eng. Sara Nasser</t>
        </is>
      </c>
      <c r="H52" s="44" t="inlineStr">
        <is>
          <t>Rejected</t>
        </is>
      </c>
      <c r="I52" s="45" t="n">
        <v>46215</v>
      </c>
      <c r="J52" s="44">
        <f>IF(H52="Pending",TODAY()-B52,IF(I52="","",I52-B52))</f>
        <v/>
      </c>
      <c r="K52" s="46" t="inlineStr">
        <is>
          <t>Re-inspection required</t>
        </is>
      </c>
    </row>
    <row r="53">
      <c r="A53" s="41" t="inlineStr">
        <is>
          <t>CTP-WIR-CIV-0011</t>
        </is>
      </c>
      <c r="B53" s="42" t="n">
        <v>46214</v>
      </c>
      <c r="C53" s="43" t="inlineStr">
        <is>
          <t>Civil</t>
        </is>
      </c>
      <c r="D53" s="43" t="inlineStr">
        <is>
          <t>Formwork inspection</t>
        </is>
      </c>
      <c r="E53" s="41" t="inlineStr">
        <is>
          <t>CH 4+773</t>
        </is>
      </c>
      <c r="F53" s="42" t="n">
        <v>46214</v>
      </c>
      <c r="G53" s="43" t="inlineStr">
        <is>
          <t>Eng. Pedro Alves</t>
        </is>
      </c>
      <c r="H53" s="41" t="inlineStr">
        <is>
          <t>Rejected</t>
        </is>
      </c>
      <c r="I53" s="42" t="n">
        <v>46215</v>
      </c>
      <c r="J53" s="41">
        <f>IF(H53="Pending",TODAY()-B53,IF(I53="","",I53-B53))</f>
        <v/>
      </c>
      <c r="K53" s="43" t="inlineStr">
        <is>
          <t>Re-inspection required</t>
        </is>
      </c>
    </row>
    <row r="54">
      <c r="A54" s="44" t="inlineStr">
        <is>
          <t>CTP-WIR-CIV-0012</t>
        </is>
      </c>
      <c r="B54" s="45" t="n">
        <v>46214</v>
      </c>
      <c r="C54" s="46" t="inlineStr">
        <is>
          <t>Civil</t>
        </is>
      </c>
      <c r="D54" s="46" t="inlineStr">
        <is>
          <t>Backfilling &amp; compaction</t>
        </is>
      </c>
      <c r="E54" s="44" t="inlineStr">
        <is>
          <t>CH 8+584</t>
        </is>
      </c>
      <c r="F54" s="45" t="n">
        <v>46215</v>
      </c>
      <c r="G54" s="46" t="inlineStr">
        <is>
          <t>Eng. Sara Nasser</t>
        </is>
      </c>
      <c r="H54" s="44" t="inlineStr">
        <is>
          <t>Approved</t>
        </is>
      </c>
      <c r="I54" s="45" t="n">
        <v>46218</v>
      </c>
      <c r="J54" s="44">
        <f>IF(H54="Pending",TODAY()-B54,IF(I54="","",I54-B54))</f>
        <v/>
      </c>
      <c r="K54" s="46" t="inlineStr"/>
    </row>
    <row r="55">
      <c r="A55" s="41" t="inlineStr">
        <is>
          <t>CTP-WIR-GEO-0013</t>
        </is>
      </c>
      <c r="B55" s="42" t="n">
        <v>46214</v>
      </c>
      <c r="C55" s="43" t="inlineStr">
        <is>
          <t>Geotechnical</t>
        </is>
      </c>
      <c r="D55" s="43" t="inlineStr">
        <is>
          <t>Rock bolt pull-out test</t>
        </is>
      </c>
      <c r="E55" s="41" t="inlineStr">
        <is>
          <t>CH 8+413</t>
        </is>
      </c>
      <c r="F55" s="42" t="n">
        <v>46215</v>
      </c>
      <c r="G55" s="43" t="inlineStr">
        <is>
          <t>Eng. Pedro Alves</t>
        </is>
      </c>
      <c r="H55" s="41" t="inlineStr">
        <is>
          <t>Approved</t>
        </is>
      </c>
      <c r="I55" s="42" t="n">
        <v>46217</v>
      </c>
      <c r="J55" s="41">
        <f>IF(H55="Pending",TODAY()-B55,IF(I55="","",I55-B55))</f>
        <v/>
      </c>
      <c r="K55" s="43" t="inlineStr"/>
    </row>
    <row r="56">
      <c r="A56" s="44" t="inlineStr">
        <is>
          <t>CTP-WIR-GEO-0014</t>
        </is>
      </c>
      <c r="B56" s="45" t="n">
        <v>46214</v>
      </c>
      <c r="C56" s="46" t="inlineStr">
        <is>
          <t>Geotechnical</t>
        </is>
      </c>
      <c r="D56" s="46" t="inlineStr">
        <is>
          <t>Rock bolt pull-out test</t>
        </is>
      </c>
      <c r="E56" s="44" t="inlineStr">
        <is>
          <t>CH 5+019</t>
        </is>
      </c>
      <c r="F56" s="45" t="n">
        <v>46215</v>
      </c>
      <c r="G56" s="46" t="inlineStr">
        <is>
          <t>Eng. Hana Saleh</t>
        </is>
      </c>
      <c r="H56" s="44" t="inlineStr">
        <is>
          <t>Approved</t>
        </is>
      </c>
      <c r="I56" s="45" t="n">
        <v>46215</v>
      </c>
      <c r="J56" s="44">
        <f>IF(H56="Pending",TODAY()-B56,IF(I56="","",I56-B56))</f>
        <v/>
      </c>
      <c r="K56" s="46" t="inlineStr"/>
    </row>
    <row r="57">
      <c r="A57" s="41" t="inlineStr">
        <is>
          <t>CTP-WIR-GEO-0015</t>
        </is>
      </c>
      <c r="B57" s="42" t="n">
        <v>46214</v>
      </c>
      <c r="C57" s="43" t="inlineStr">
        <is>
          <t>Geotechnical</t>
        </is>
      </c>
      <c r="D57" s="43" t="inlineStr">
        <is>
          <t>Rock bolt pull-out test</t>
        </is>
      </c>
      <c r="E57" s="41" t="inlineStr">
        <is>
          <t>CH 6+339</t>
        </is>
      </c>
      <c r="F57" s="42" t="n">
        <v>46216</v>
      </c>
      <c r="G57" s="43" t="inlineStr">
        <is>
          <t>Eng. Hana Saleh</t>
        </is>
      </c>
      <c r="H57" s="41" t="inlineStr">
        <is>
          <t>Approved</t>
        </is>
      </c>
      <c r="I57" s="42" t="n">
        <v>46216</v>
      </c>
      <c r="J57" s="41">
        <f>IF(H57="Pending",TODAY()-B57,IF(I57="","",I57-B57))</f>
        <v/>
      </c>
      <c r="K57" s="43" t="inlineStr"/>
    </row>
    <row r="58">
      <c r="A58" s="44" t="inlineStr">
        <is>
          <t>CTP-WIR-SUR-0010</t>
        </is>
      </c>
      <c r="B58" s="45" t="n">
        <v>46214</v>
      </c>
      <c r="C58" s="46" t="inlineStr">
        <is>
          <t>Survey</t>
        </is>
      </c>
      <c r="D58" s="46" t="inlineStr">
        <is>
          <t>Tunnel alignment survey</t>
        </is>
      </c>
      <c r="E58" s="44" t="inlineStr">
        <is>
          <t>CH 0+649</t>
        </is>
      </c>
      <c r="F58" s="45" t="n">
        <v>46216</v>
      </c>
      <c r="G58" s="46" t="inlineStr">
        <is>
          <t>Eng. Sara Nasser</t>
        </is>
      </c>
      <c r="H58" s="44" t="inlineStr">
        <is>
          <t>Approved with Comments</t>
        </is>
      </c>
      <c r="I58" s="45" t="n">
        <v>46217</v>
      </c>
      <c r="J58" s="44">
        <f>IF(H58="Pending",TODAY()-B58,IF(I58="","",I58-B58))</f>
        <v/>
      </c>
      <c r="K58" s="46" t="inlineStr">
        <is>
          <t>Minor comments to close</t>
        </is>
      </c>
    </row>
    <row r="59">
      <c r="A59" s="41" t="inlineStr">
        <is>
          <t>CTP-WIR-SUR-0011</t>
        </is>
      </c>
      <c r="B59" s="42" t="n">
        <v>46214</v>
      </c>
      <c r="C59" s="43" t="inlineStr">
        <is>
          <t>Survey</t>
        </is>
      </c>
      <c r="D59" s="43" t="inlineStr">
        <is>
          <t>Tunnel alignment survey</t>
        </is>
      </c>
      <c r="E59" s="41" t="inlineStr">
        <is>
          <t>CH 1+270</t>
        </is>
      </c>
      <c r="F59" s="42" t="n">
        <v>46214</v>
      </c>
      <c r="G59" s="43" t="inlineStr">
        <is>
          <t>Eng. Pedro Alves</t>
        </is>
      </c>
      <c r="H59" s="41" t="inlineStr">
        <is>
          <t>Approved</t>
        </is>
      </c>
      <c r="I59" s="42" t="n">
        <v>46215</v>
      </c>
      <c r="J59" s="41">
        <f>IF(H59="Pending",TODAY()-B59,IF(I59="","",I59-B59))</f>
        <v/>
      </c>
      <c r="K59" s="43" t="inlineStr"/>
    </row>
    <row r="60">
      <c r="A60" s="44" t="inlineStr">
        <is>
          <t>CTP-WIR-CIV-0013</t>
        </is>
      </c>
      <c r="B60" s="45" t="n">
        <v>46215</v>
      </c>
      <c r="C60" s="46" t="inlineStr">
        <is>
          <t>Civil</t>
        </is>
      </c>
      <c r="D60" s="46" t="inlineStr">
        <is>
          <t>Rebar inspection before concrete</t>
        </is>
      </c>
      <c r="E60" s="44" t="inlineStr">
        <is>
          <t>CH 9+132</t>
        </is>
      </c>
      <c r="F60" s="45" t="n">
        <v>46217</v>
      </c>
      <c r="G60" s="46" t="inlineStr">
        <is>
          <t>Eng. Hana Saleh</t>
        </is>
      </c>
      <c r="H60" s="44" t="inlineStr">
        <is>
          <t>Rejected</t>
        </is>
      </c>
      <c r="I60" s="45" t="n">
        <v>46218</v>
      </c>
      <c r="J60" s="44">
        <f>IF(H60="Pending",TODAY()-B60,IF(I60="","",I60-B60))</f>
        <v/>
      </c>
      <c r="K60" s="46" t="inlineStr">
        <is>
          <t>Re-inspection required</t>
        </is>
      </c>
    </row>
    <row r="61">
      <c r="A61" s="41" t="inlineStr">
        <is>
          <t>CTP-WIR-CIV-0014</t>
        </is>
      </c>
      <c r="B61" s="42" t="n">
        <v>46215</v>
      </c>
      <c r="C61" s="43" t="inlineStr">
        <is>
          <t>Civil</t>
        </is>
      </c>
      <c r="D61" s="43" t="inlineStr">
        <is>
          <t>Formwork inspection</t>
        </is>
      </c>
      <c r="E61" s="41" t="inlineStr">
        <is>
          <t>CH 4+051</t>
        </is>
      </c>
      <c r="F61" s="42" t="n">
        <v>46216</v>
      </c>
      <c r="G61" s="43" t="inlineStr">
        <is>
          <t>Eng. Mark Collins</t>
        </is>
      </c>
      <c r="H61" s="41" t="inlineStr">
        <is>
          <t>Rejected</t>
        </is>
      </c>
      <c r="I61" s="42" t="n">
        <v>46217</v>
      </c>
      <c r="J61" s="41">
        <f>IF(H61="Pending",TODAY()-B61,IF(I61="","",I61-B61))</f>
        <v/>
      </c>
      <c r="K61" s="43" t="inlineStr">
        <is>
          <t>Re-inspection required</t>
        </is>
      </c>
    </row>
    <row r="62">
      <c r="A62" s="44" t="inlineStr">
        <is>
          <t>CTP-WIR-CIV-0015</t>
        </is>
      </c>
      <c r="B62" s="45" t="n">
        <v>46215</v>
      </c>
      <c r="C62" s="46" t="inlineStr">
        <is>
          <t>Civil</t>
        </is>
      </c>
      <c r="D62" s="46" t="inlineStr">
        <is>
          <t>Backfilling &amp; compaction</t>
        </is>
      </c>
      <c r="E62" s="44" t="inlineStr">
        <is>
          <t>CH 3+296</t>
        </is>
      </c>
      <c r="F62" s="45" t="n">
        <v>46216</v>
      </c>
      <c r="G62" s="46" t="inlineStr">
        <is>
          <t>Eng. Hana Saleh</t>
        </is>
      </c>
      <c r="H62" s="44" t="inlineStr">
        <is>
          <t>Approved</t>
        </is>
      </c>
      <c r="I62" s="45" t="n">
        <v>46219</v>
      </c>
      <c r="J62" s="44">
        <f>IF(H62="Pending",TODAY()-B62,IF(I62="","",I62-B62))</f>
        <v/>
      </c>
      <c r="K62" s="46" t="inlineStr"/>
    </row>
    <row r="63">
      <c r="A63" s="41" t="inlineStr">
        <is>
          <t>CTP-WIR-MEP-0009</t>
        </is>
      </c>
      <c r="B63" s="42" t="n">
        <v>46215</v>
      </c>
      <c r="C63" s="43" t="inlineStr">
        <is>
          <t>MEP</t>
        </is>
      </c>
      <c r="D63" s="43" t="inlineStr">
        <is>
          <t>Pump station testing</t>
        </is>
      </c>
      <c r="E63" s="41" t="inlineStr">
        <is>
          <t>CH 3+235</t>
        </is>
      </c>
      <c r="F63" s="42" t="n">
        <v>46217</v>
      </c>
      <c r="G63" s="43" t="inlineStr">
        <is>
          <t>Eng. Mark Collins</t>
        </is>
      </c>
      <c r="H63" s="41" t="inlineStr">
        <is>
          <t>Rejected</t>
        </is>
      </c>
      <c r="I63" s="42" t="n">
        <v>46218</v>
      </c>
      <c r="J63" s="41">
        <f>IF(H63="Pending",TODAY()-B63,IF(I63="","",I63-B63))</f>
        <v/>
      </c>
      <c r="K63" s="43" t="inlineStr">
        <is>
          <t>Re-inspection required</t>
        </is>
      </c>
    </row>
    <row r="64">
      <c r="A64" s="44" t="inlineStr">
        <is>
          <t>CTP-WIR-SUR-0012</t>
        </is>
      </c>
      <c r="B64" s="45" t="n">
        <v>46215</v>
      </c>
      <c r="C64" s="46" t="inlineStr">
        <is>
          <t>Survey</t>
        </is>
      </c>
      <c r="D64" s="46" t="inlineStr">
        <is>
          <t>Setting-out check</t>
        </is>
      </c>
      <c r="E64" s="44" t="inlineStr">
        <is>
          <t>CH 0+857</t>
        </is>
      </c>
      <c r="F64" s="45" t="n">
        <v>46216</v>
      </c>
      <c r="G64" s="46" t="inlineStr">
        <is>
          <t>Eng. Ali Haddad</t>
        </is>
      </c>
      <c r="H64" s="44" t="inlineStr">
        <is>
          <t>Approved</t>
        </is>
      </c>
      <c r="I64" s="45" t="n">
        <v>46217</v>
      </c>
      <c r="J64" s="44">
        <f>IF(H64="Pending",TODAY()-B64,IF(I64="","",I64-B64))</f>
        <v/>
      </c>
      <c r="K64" s="46" t="inlineStr"/>
    </row>
    <row r="65">
      <c r="A65" s="41" t="inlineStr">
        <is>
          <t>CTP-WIR-SUR-0013</t>
        </is>
      </c>
      <c r="B65" s="42" t="n">
        <v>46215</v>
      </c>
      <c r="C65" s="43" t="inlineStr">
        <is>
          <t>Survey</t>
        </is>
      </c>
      <c r="D65" s="43" t="inlineStr">
        <is>
          <t>Tunnel alignment survey</t>
        </is>
      </c>
      <c r="E65" s="41" t="inlineStr">
        <is>
          <t>CH 6+167</t>
        </is>
      </c>
      <c r="F65" s="42" t="n">
        <v>46215</v>
      </c>
      <c r="G65" s="43" t="inlineStr">
        <is>
          <t>Eng. Ali Haddad</t>
        </is>
      </c>
      <c r="H65" s="41" t="inlineStr">
        <is>
          <t>Approved</t>
        </is>
      </c>
      <c r="I65" s="42" t="n">
        <v>46216</v>
      </c>
      <c r="J65" s="41">
        <f>IF(H65="Pending",TODAY()-B65,IF(I65="","",I65-B65))</f>
        <v/>
      </c>
      <c r="K65" s="43" t="inlineStr"/>
    </row>
    <row r="66">
      <c r="A66" s="44" t="inlineStr">
        <is>
          <t>CTP-WIR-TUN-0010</t>
        </is>
      </c>
      <c r="B66" s="45" t="n">
        <v>46215</v>
      </c>
      <c r="C66" s="46" t="inlineStr">
        <is>
          <t>Tunnelling</t>
        </is>
      </c>
      <c r="D66" s="46" t="inlineStr">
        <is>
          <t>Segment ring build</t>
        </is>
      </c>
      <c r="E66" s="44" t="inlineStr">
        <is>
          <t>CH 4+037</t>
        </is>
      </c>
      <c r="F66" s="45" t="n">
        <v>46216</v>
      </c>
      <c r="G66" s="46" t="inlineStr">
        <is>
          <t>Eng. Ali Haddad</t>
        </is>
      </c>
      <c r="H66" s="44" t="inlineStr">
        <is>
          <t>Approved</t>
        </is>
      </c>
      <c r="I66" s="45" t="n">
        <v>46216</v>
      </c>
      <c r="J66" s="44">
        <f>IF(H66="Pending",TODAY()-B66,IF(I66="","",I66-B66))</f>
        <v/>
      </c>
      <c r="K66" s="46" t="inlineStr"/>
    </row>
    <row r="67">
      <c r="A67" s="41" t="inlineStr">
        <is>
          <t>CTP-WIR-TUN-0011</t>
        </is>
      </c>
      <c r="B67" s="42" t="n">
        <v>46215</v>
      </c>
      <c r="C67" s="43" t="inlineStr">
        <is>
          <t>Tunnelling</t>
        </is>
      </c>
      <c r="D67" s="43" t="inlineStr">
        <is>
          <t>Tunnel invert cleaning</t>
        </is>
      </c>
      <c r="E67" s="41" t="inlineStr">
        <is>
          <t>CH 7+108</t>
        </is>
      </c>
      <c r="F67" s="42" t="n">
        <v>46216</v>
      </c>
      <c r="G67" s="43" t="inlineStr">
        <is>
          <t>Eng. Pedro Alves</t>
        </is>
      </c>
      <c r="H67" s="41" t="inlineStr">
        <is>
          <t>Approved</t>
        </is>
      </c>
      <c r="I67" s="42" t="n">
        <v>46217</v>
      </c>
      <c r="J67" s="41">
        <f>IF(H67="Pending",TODAY()-B67,IF(I67="","",I67-B67))</f>
        <v/>
      </c>
      <c r="K67" s="43" t="inlineStr"/>
    </row>
    <row r="68">
      <c r="A68" s="44" t="inlineStr">
        <is>
          <t>CTP-WIR-CIV-0016</t>
        </is>
      </c>
      <c r="B68" s="45" t="n">
        <v>46216</v>
      </c>
      <c r="C68" s="46" t="inlineStr">
        <is>
          <t>Civil</t>
        </is>
      </c>
      <c r="D68" s="46" t="inlineStr">
        <is>
          <t>Formwork inspection</t>
        </is>
      </c>
      <c r="E68" s="44" t="inlineStr">
        <is>
          <t>CH 3+365</t>
        </is>
      </c>
      <c r="F68" s="45" t="n">
        <v>46217</v>
      </c>
      <c r="G68" s="46" t="inlineStr">
        <is>
          <t>Eng. Ali Haddad</t>
        </is>
      </c>
      <c r="H68" s="44" t="inlineStr">
        <is>
          <t>Approved</t>
        </is>
      </c>
      <c r="I68" s="45" t="n">
        <v>46218</v>
      </c>
      <c r="J68" s="44">
        <f>IF(H68="Pending",TODAY()-B68,IF(I68="","",I68-B68))</f>
        <v/>
      </c>
      <c r="K68" s="46" t="inlineStr"/>
    </row>
    <row r="69">
      <c r="A69" s="41" t="inlineStr">
        <is>
          <t>CTP-WIR-CIV-0017</t>
        </is>
      </c>
      <c r="B69" s="42" t="n">
        <v>46216</v>
      </c>
      <c r="C69" s="43" t="inlineStr">
        <is>
          <t>Civil</t>
        </is>
      </c>
      <c r="D69" s="43" t="inlineStr">
        <is>
          <t>Formwork inspection</t>
        </is>
      </c>
      <c r="E69" s="41" t="inlineStr">
        <is>
          <t>CH 4+514</t>
        </is>
      </c>
      <c r="F69" s="42" t="n">
        <v>46217</v>
      </c>
      <c r="G69" s="43" t="inlineStr">
        <is>
          <t>Eng. Mark Collins</t>
        </is>
      </c>
      <c r="H69" s="41" t="inlineStr">
        <is>
          <t>Approved</t>
        </is>
      </c>
      <c r="I69" s="42" t="n">
        <v>46219</v>
      </c>
      <c r="J69" s="41">
        <f>IF(H69="Pending",TODAY()-B69,IF(I69="","",I69-B69))</f>
        <v/>
      </c>
      <c r="K69" s="43" t="inlineStr"/>
    </row>
    <row r="70">
      <c r="A70" s="44" t="inlineStr">
        <is>
          <t>CTP-WIR-CIV-0018</t>
        </is>
      </c>
      <c r="B70" s="45" t="n">
        <v>46216</v>
      </c>
      <c r="C70" s="46" t="inlineStr">
        <is>
          <t>Civil</t>
        </is>
      </c>
      <c r="D70" s="46" t="inlineStr">
        <is>
          <t>Rebar inspection before concrete</t>
        </is>
      </c>
      <c r="E70" s="44" t="inlineStr">
        <is>
          <t>CH 2+409</t>
        </is>
      </c>
      <c r="F70" s="45" t="n">
        <v>46216</v>
      </c>
      <c r="G70" s="46" t="inlineStr">
        <is>
          <t>Eng. Pedro Alves</t>
        </is>
      </c>
      <c r="H70" s="44" t="inlineStr">
        <is>
          <t>Approved</t>
        </is>
      </c>
      <c r="I70" s="45" t="n">
        <v>46216</v>
      </c>
      <c r="J70" s="44">
        <f>IF(H70="Pending",TODAY()-B70,IF(I70="","",I70-B70))</f>
        <v/>
      </c>
      <c r="K70" s="46" t="inlineStr"/>
    </row>
    <row r="71">
      <c r="A71" s="41" t="inlineStr">
        <is>
          <t>CTP-WIR-GEO-0016</t>
        </is>
      </c>
      <c r="B71" s="42" t="n">
        <v>46216</v>
      </c>
      <c r="C71" s="43" t="inlineStr">
        <is>
          <t>Geotechnical</t>
        </is>
      </c>
      <c r="D71" s="43" t="inlineStr">
        <is>
          <t>Rock bolt pull-out test</t>
        </is>
      </c>
      <c r="E71" s="41" t="inlineStr">
        <is>
          <t>CH 9+248</t>
        </is>
      </c>
      <c r="F71" s="42" t="n">
        <v>46218</v>
      </c>
      <c r="G71" s="43" t="inlineStr">
        <is>
          <t>Eng. Ali Haddad</t>
        </is>
      </c>
      <c r="H71" s="41" t="inlineStr">
        <is>
          <t>Approved with Comments</t>
        </is>
      </c>
      <c r="I71" s="42" t="n">
        <v>46219</v>
      </c>
      <c r="J71" s="41">
        <f>IF(H71="Pending",TODAY()-B71,IF(I71="","",I71-B71))</f>
        <v/>
      </c>
      <c r="K71" s="43" t="inlineStr">
        <is>
          <t>Minor comments to close</t>
        </is>
      </c>
    </row>
    <row r="72">
      <c r="A72" s="44" t="inlineStr">
        <is>
          <t>CTP-WIR-GEO-0017</t>
        </is>
      </c>
      <c r="B72" s="45" t="n">
        <v>46216</v>
      </c>
      <c r="C72" s="46" t="inlineStr">
        <is>
          <t>Geotechnical</t>
        </is>
      </c>
      <c r="D72" s="46" t="inlineStr">
        <is>
          <t>Rock bolt pull-out test</t>
        </is>
      </c>
      <c r="E72" s="44" t="inlineStr">
        <is>
          <t>CH 7+003</t>
        </is>
      </c>
      <c r="F72" s="45" t="n">
        <v>46218</v>
      </c>
      <c r="G72" s="46" t="inlineStr">
        <is>
          <t>Eng. Sara Nasser</t>
        </is>
      </c>
      <c r="H72" s="44" t="inlineStr">
        <is>
          <t>Approved</t>
        </is>
      </c>
      <c r="I72" s="45" t="n">
        <v>46219</v>
      </c>
      <c r="J72" s="44">
        <f>IF(H72="Pending",TODAY()-B72,IF(I72="","",I72-B72))</f>
        <v/>
      </c>
      <c r="K72" s="46" t="inlineStr"/>
    </row>
    <row r="73">
      <c r="A73" s="41" t="inlineStr">
        <is>
          <t>CTP-WIR-MEP-0010</t>
        </is>
      </c>
      <c r="B73" s="42" t="n">
        <v>46216</v>
      </c>
      <c r="C73" s="43" t="inlineStr">
        <is>
          <t>MEP</t>
        </is>
      </c>
      <c r="D73" s="43" t="inlineStr">
        <is>
          <t>Lighting installation</t>
        </is>
      </c>
      <c r="E73" s="41" t="inlineStr">
        <is>
          <t>CH 2+673</t>
        </is>
      </c>
      <c r="F73" s="42" t="n">
        <v>46217</v>
      </c>
      <c r="G73" s="43" t="inlineStr">
        <is>
          <t>Eng. Sara Nasser</t>
        </is>
      </c>
      <c r="H73" s="41" t="inlineStr">
        <is>
          <t>Approved</t>
        </is>
      </c>
      <c r="I73" s="42" t="n">
        <v>46220</v>
      </c>
      <c r="J73" s="41">
        <f>IF(H73="Pending",TODAY()-B73,IF(I73="","",I73-B73))</f>
        <v/>
      </c>
      <c r="K73" s="43" t="inlineStr"/>
    </row>
    <row r="74">
      <c r="A74" s="44" t="inlineStr">
        <is>
          <t>CTP-WIR-SUR-0014</t>
        </is>
      </c>
      <c r="B74" s="45" t="n">
        <v>46216</v>
      </c>
      <c r="C74" s="46" t="inlineStr">
        <is>
          <t>Survey</t>
        </is>
      </c>
      <c r="D74" s="46" t="inlineStr">
        <is>
          <t>Settlement monitoring</t>
        </is>
      </c>
      <c r="E74" s="44" t="inlineStr">
        <is>
          <t>CH 2+044</t>
        </is>
      </c>
      <c r="F74" s="45" t="n">
        <v>46218</v>
      </c>
      <c r="G74" s="46" t="inlineStr">
        <is>
          <t>Eng. Hana Saleh</t>
        </is>
      </c>
      <c r="H74" s="44" t="inlineStr">
        <is>
          <t>Approved</t>
        </is>
      </c>
      <c r="I74" s="45" t="n">
        <v>46221</v>
      </c>
      <c r="J74" s="44">
        <f>IF(H74="Pending",TODAY()-B74,IF(I74="","",I74-B74))</f>
        <v/>
      </c>
      <c r="K74" s="46" t="inlineStr"/>
    </row>
    <row r="75">
      <c r="A75" s="41" t="inlineStr">
        <is>
          <t>CTP-WIR-SUR-0015</t>
        </is>
      </c>
      <c r="B75" s="42" t="n">
        <v>46216</v>
      </c>
      <c r="C75" s="43" t="inlineStr">
        <is>
          <t>Survey</t>
        </is>
      </c>
      <c r="D75" s="43" t="inlineStr">
        <is>
          <t>Tunnel alignment survey</t>
        </is>
      </c>
      <c r="E75" s="41" t="inlineStr">
        <is>
          <t>CH 9+854</t>
        </is>
      </c>
      <c r="F75" s="42" t="n">
        <v>46217</v>
      </c>
      <c r="G75" s="43" t="inlineStr">
        <is>
          <t>Eng. Hana Saleh</t>
        </is>
      </c>
      <c r="H75" s="41" t="inlineStr">
        <is>
          <t>Rejected</t>
        </is>
      </c>
      <c r="I75" s="42" t="n">
        <v>46220</v>
      </c>
      <c r="J75" s="41">
        <f>IF(H75="Pending",TODAY()-B75,IF(I75="","",I75-B75))</f>
        <v/>
      </c>
      <c r="K75" s="43" t="inlineStr">
        <is>
          <t>Re-inspection required</t>
        </is>
      </c>
    </row>
    <row r="76">
      <c r="A76" s="44" t="inlineStr">
        <is>
          <t>CTP-WIR-CIV-0019</t>
        </is>
      </c>
      <c r="B76" s="45" t="n">
        <v>46217</v>
      </c>
      <c r="C76" s="46" t="inlineStr">
        <is>
          <t>Civil</t>
        </is>
      </c>
      <c r="D76" s="46" t="inlineStr">
        <is>
          <t>Rebar inspection before concrete</t>
        </is>
      </c>
      <c r="E76" s="44" t="inlineStr">
        <is>
          <t>CH 1+766</t>
        </is>
      </c>
      <c r="F76" s="45" t="n">
        <v>46219</v>
      </c>
      <c r="G76" s="46" t="inlineStr">
        <is>
          <t>Eng. Hana Saleh</t>
        </is>
      </c>
      <c r="H76" s="44" t="inlineStr">
        <is>
          <t>Approved</t>
        </is>
      </c>
      <c r="I76" s="45" t="n">
        <v>46221</v>
      </c>
      <c r="J76" s="44">
        <f>IF(H76="Pending",TODAY()-B76,IF(I76="","",I76-B76))</f>
        <v/>
      </c>
      <c r="K76" s="46" t="inlineStr"/>
    </row>
    <row r="77">
      <c r="A77" s="41" t="inlineStr">
        <is>
          <t>CTP-WIR-CIV-0020</t>
        </is>
      </c>
      <c r="B77" s="42" t="n">
        <v>46217</v>
      </c>
      <c r="C77" s="43" t="inlineStr">
        <is>
          <t>Civil</t>
        </is>
      </c>
      <c r="D77" s="43" t="inlineStr">
        <is>
          <t>Rebar inspection before concrete</t>
        </is>
      </c>
      <c r="E77" s="41" t="inlineStr">
        <is>
          <t>CH 4+828</t>
        </is>
      </c>
      <c r="F77" s="42" t="n">
        <v>46217</v>
      </c>
      <c r="G77" s="43" t="inlineStr">
        <is>
          <t>Eng. Sara Nasser</t>
        </is>
      </c>
      <c r="H77" s="41" t="inlineStr">
        <is>
          <t>Approved with Comments</t>
        </is>
      </c>
      <c r="I77" s="42" t="n">
        <v>46219</v>
      </c>
      <c r="J77" s="41">
        <f>IF(H77="Pending",TODAY()-B77,IF(I77="","",I77-B77))</f>
        <v/>
      </c>
      <c r="K77" s="43" t="inlineStr">
        <is>
          <t>Minor comments to close</t>
        </is>
      </c>
    </row>
    <row r="78">
      <c r="A78" s="44" t="inlineStr">
        <is>
          <t>CTP-WIR-GEO-0018</t>
        </is>
      </c>
      <c r="B78" s="45" t="n">
        <v>46217</v>
      </c>
      <c r="C78" s="46" t="inlineStr">
        <is>
          <t>Geotechnical</t>
        </is>
      </c>
      <c r="D78" s="46" t="inlineStr">
        <is>
          <t>Rock bolt pull-out test</t>
        </is>
      </c>
      <c r="E78" s="44" t="inlineStr">
        <is>
          <t>CH 2+652</t>
        </is>
      </c>
      <c r="F78" s="45" t="n">
        <v>46218</v>
      </c>
      <c r="G78" s="46" t="inlineStr">
        <is>
          <t>Eng. Ali Haddad</t>
        </is>
      </c>
      <c r="H78" s="44" t="inlineStr">
        <is>
          <t>Approved</t>
        </is>
      </c>
      <c r="I78" s="45" t="n">
        <v>46218</v>
      </c>
      <c r="J78" s="44">
        <f>IF(H78="Pending",TODAY()-B78,IF(I78="","",I78-B78))</f>
        <v/>
      </c>
      <c r="K78" s="46" t="inlineStr"/>
    </row>
    <row r="79">
      <c r="A79" s="41" t="inlineStr">
        <is>
          <t>CTP-WIR-GEO-0019</t>
        </is>
      </c>
      <c r="B79" s="42" t="n">
        <v>46217</v>
      </c>
      <c r="C79" s="43" t="inlineStr">
        <is>
          <t>Geotechnical</t>
        </is>
      </c>
      <c r="D79" s="43" t="inlineStr">
        <is>
          <t>Borehole drilling &amp; logging</t>
        </is>
      </c>
      <c r="E79" s="41" t="inlineStr">
        <is>
          <t>CH 0+642</t>
        </is>
      </c>
      <c r="F79" s="42" t="n">
        <v>46219</v>
      </c>
      <c r="G79" s="43" t="inlineStr">
        <is>
          <t>Eng. Hana Saleh</t>
        </is>
      </c>
      <c r="H79" s="41" t="inlineStr">
        <is>
          <t>Approved with Comments</t>
        </is>
      </c>
      <c r="I79" s="42" t="n">
        <v>46222</v>
      </c>
      <c r="J79" s="41">
        <f>IF(H79="Pending",TODAY()-B79,IF(I79="","",I79-B79))</f>
        <v/>
      </c>
      <c r="K79" s="43" t="inlineStr">
        <is>
          <t>Minor comments to close</t>
        </is>
      </c>
    </row>
    <row r="80">
      <c r="A80" s="44" t="inlineStr">
        <is>
          <t>CTP-WIR-MEP-0011</t>
        </is>
      </c>
      <c r="B80" s="45" t="n">
        <v>46217</v>
      </c>
      <c r="C80" s="46" t="inlineStr">
        <is>
          <t>MEP</t>
        </is>
      </c>
      <c r="D80" s="46" t="inlineStr">
        <is>
          <t>Lighting installation</t>
        </is>
      </c>
      <c r="E80" s="44" t="inlineStr">
        <is>
          <t>CH 7+865</t>
        </is>
      </c>
      <c r="F80" s="45" t="n">
        <v>46218</v>
      </c>
      <c r="G80" s="46" t="inlineStr">
        <is>
          <t>Eng. Ali Haddad</t>
        </is>
      </c>
      <c r="H80" s="44" t="inlineStr">
        <is>
          <t>Approved with Comments</t>
        </is>
      </c>
      <c r="I80" s="45" t="n">
        <v>46220</v>
      </c>
      <c r="J80" s="44">
        <f>IF(H80="Pending",TODAY()-B80,IF(I80="","",I80-B80))</f>
        <v/>
      </c>
      <c r="K80" s="46" t="inlineStr">
        <is>
          <t>Minor comments to close</t>
        </is>
      </c>
    </row>
    <row r="81">
      <c r="A81" s="41" t="inlineStr">
        <is>
          <t>CTP-WIR-MEP-0012</t>
        </is>
      </c>
      <c r="B81" s="42" t="n">
        <v>46217</v>
      </c>
      <c r="C81" s="43" t="inlineStr">
        <is>
          <t>MEP</t>
        </is>
      </c>
      <c r="D81" s="43" t="inlineStr">
        <is>
          <t>Ventilation duct alignment</t>
        </is>
      </c>
      <c r="E81" s="41" t="inlineStr">
        <is>
          <t>CH 0+631</t>
        </is>
      </c>
      <c r="F81" s="42" t="n">
        <v>46219</v>
      </c>
      <c r="G81" s="43" t="inlineStr">
        <is>
          <t>Eng. Ali Haddad</t>
        </is>
      </c>
      <c r="H81" s="41" t="inlineStr">
        <is>
          <t>Rejected</t>
        </is>
      </c>
      <c r="I81" s="42" t="n">
        <v>46220</v>
      </c>
      <c r="J81" s="41">
        <f>IF(H81="Pending",TODAY()-B81,IF(I81="","",I81-B81))</f>
        <v/>
      </c>
      <c r="K81" s="43" t="inlineStr">
        <is>
          <t>Re-inspection required</t>
        </is>
      </c>
    </row>
    <row r="82">
      <c r="A82" s="44" t="inlineStr">
        <is>
          <t>CTP-WIR-SUR-0016</t>
        </is>
      </c>
      <c r="B82" s="45" t="n">
        <v>46217</v>
      </c>
      <c r="C82" s="46" t="inlineStr">
        <is>
          <t>Survey</t>
        </is>
      </c>
      <c r="D82" s="46" t="inlineStr">
        <is>
          <t>Setting-out check</t>
        </is>
      </c>
      <c r="E82" s="44" t="inlineStr">
        <is>
          <t>CH 9+581</t>
        </is>
      </c>
      <c r="F82" s="45" t="n">
        <v>46218</v>
      </c>
      <c r="G82" s="46" t="inlineStr">
        <is>
          <t>Eng. Ali Haddad</t>
        </is>
      </c>
      <c r="H82" s="44" t="inlineStr">
        <is>
          <t>Approved</t>
        </is>
      </c>
      <c r="I82" s="45" t="n">
        <v>46219</v>
      </c>
      <c r="J82" s="44">
        <f>IF(H82="Pending",TODAY()-B82,IF(I82="","",I82-B82))</f>
        <v/>
      </c>
      <c r="K82" s="46" t="inlineStr"/>
    </row>
    <row r="83">
      <c r="A83" s="41" t="inlineStr">
        <is>
          <t>CTP-WIR-CIV-0021</t>
        </is>
      </c>
      <c r="B83" s="42" t="n">
        <v>46218</v>
      </c>
      <c r="C83" s="43" t="inlineStr">
        <is>
          <t>Civil</t>
        </is>
      </c>
      <c r="D83" s="43" t="inlineStr">
        <is>
          <t>Formwork inspection</t>
        </is>
      </c>
      <c r="E83" s="41" t="inlineStr">
        <is>
          <t>CH 1+915</t>
        </is>
      </c>
      <c r="F83" s="42" t="n">
        <v>46219</v>
      </c>
      <c r="G83" s="43" t="inlineStr">
        <is>
          <t>Eng. Sara Nasser</t>
        </is>
      </c>
      <c r="H83" s="41" t="inlineStr">
        <is>
          <t>Approved</t>
        </is>
      </c>
      <c r="I83" s="42" t="n">
        <v>46221</v>
      </c>
      <c r="J83" s="41">
        <f>IF(H83="Pending",TODAY()-B83,IF(I83="","",I83-B83))</f>
        <v/>
      </c>
      <c r="K83" s="43" t="inlineStr"/>
    </row>
    <row r="84">
      <c r="A84" s="44" t="inlineStr">
        <is>
          <t>CTP-WIR-CIV-0022</t>
        </is>
      </c>
      <c r="B84" s="45" t="n">
        <v>46218</v>
      </c>
      <c r="C84" s="46" t="inlineStr">
        <is>
          <t>Civil</t>
        </is>
      </c>
      <c r="D84" s="46" t="inlineStr">
        <is>
          <t>Rebar inspection before concrete</t>
        </is>
      </c>
      <c r="E84" s="44" t="inlineStr">
        <is>
          <t>CH 4+469</t>
        </is>
      </c>
      <c r="F84" s="45" t="n">
        <v>46218</v>
      </c>
      <c r="G84" s="46" t="inlineStr">
        <is>
          <t>Eng. Hana Saleh</t>
        </is>
      </c>
      <c r="H84" s="44" t="inlineStr">
        <is>
          <t>Rejected</t>
        </is>
      </c>
      <c r="I84" s="45" t="n">
        <v>46218</v>
      </c>
      <c r="J84" s="44">
        <f>IF(H84="Pending",TODAY()-B84,IF(I84="","",I84-B84))</f>
        <v/>
      </c>
      <c r="K84" s="46" t="inlineStr">
        <is>
          <t>Re-inspection required</t>
        </is>
      </c>
    </row>
    <row r="85">
      <c r="A85" s="41" t="inlineStr">
        <is>
          <t>CTP-WIR-GEO-0020</t>
        </is>
      </c>
      <c r="B85" s="42" t="n">
        <v>46218</v>
      </c>
      <c r="C85" s="43" t="inlineStr">
        <is>
          <t>Geotechnical</t>
        </is>
      </c>
      <c r="D85" s="43" t="inlineStr">
        <is>
          <t>Ground anchor installation</t>
        </is>
      </c>
      <c r="E85" s="41" t="inlineStr">
        <is>
          <t>CH 3+691</t>
        </is>
      </c>
      <c r="F85" s="42" t="n">
        <v>46220</v>
      </c>
      <c r="G85" s="43" t="inlineStr">
        <is>
          <t>Eng. Sara Nasser</t>
        </is>
      </c>
      <c r="H85" s="41" t="inlineStr">
        <is>
          <t>Approved</t>
        </is>
      </c>
      <c r="I85" s="42" t="n">
        <v>46220</v>
      </c>
      <c r="J85" s="41">
        <f>IF(H85="Pending",TODAY()-B85,IF(I85="","",I85-B85))</f>
        <v/>
      </c>
      <c r="K85" s="43" t="inlineStr"/>
    </row>
    <row r="86">
      <c r="A86" s="44" t="inlineStr">
        <is>
          <t>CTP-WIR-TUN-0012</t>
        </is>
      </c>
      <c r="B86" s="45" t="n">
        <v>46218</v>
      </c>
      <c r="C86" s="46" t="inlineStr">
        <is>
          <t>Tunnelling</t>
        </is>
      </c>
      <c r="D86" s="46" t="inlineStr">
        <is>
          <t>TBM cutter change</t>
        </is>
      </c>
      <c r="E86" s="44" t="inlineStr">
        <is>
          <t>CH 3+938</t>
        </is>
      </c>
      <c r="F86" s="45" t="n">
        <v>46220</v>
      </c>
      <c r="G86" s="46" t="inlineStr">
        <is>
          <t>Eng. Ali Haddad</t>
        </is>
      </c>
      <c r="H86" s="44" t="inlineStr">
        <is>
          <t>Rejected</t>
        </is>
      </c>
      <c r="I86" s="45" t="n">
        <v>46222</v>
      </c>
      <c r="J86" s="44">
        <f>IF(H86="Pending",TODAY()-B86,IF(I86="","",I86-B86))</f>
        <v/>
      </c>
      <c r="K86" s="46" t="inlineStr">
        <is>
          <t>Re-inspection required</t>
        </is>
      </c>
    </row>
    <row r="87">
      <c r="A87" s="41" t="inlineStr">
        <is>
          <t>CTP-WIR-TUN-0013</t>
        </is>
      </c>
      <c r="B87" s="42" t="n">
        <v>46218</v>
      </c>
      <c r="C87" s="43" t="inlineStr">
        <is>
          <t>Tunnelling</t>
        </is>
      </c>
      <c r="D87" s="43" t="inlineStr">
        <is>
          <t>Annulus grouting</t>
        </is>
      </c>
      <c r="E87" s="41" t="inlineStr">
        <is>
          <t>CH 4+975</t>
        </is>
      </c>
      <c r="F87" s="42" t="n">
        <v>46218</v>
      </c>
      <c r="G87" s="43" t="inlineStr">
        <is>
          <t>Eng. Mark Collins</t>
        </is>
      </c>
      <c r="H87" s="41" t="inlineStr">
        <is>
          <t>Approved</t>
        </is>
      </c>
      <c r="I87" s="42" t="n">
        <v>46221</v>
      </c>
      <c r="J87" s="41">
        <f>IF(H87="Pending",TODAY()-B87,IF(I87="","",I87-B87))</f>
        <v/>
      </c>
      <c r="K87" s="43" t="inlineStr"/>
    </row>
    <row r="88">
      <c r="A88" s="44" t="inlineStr">
        <is>
          <t>CTP-WIR-TUN-0014</t>
        </is>
      </c>
      <c r="B88" s="45" t="n">
        <v>46218</v>
      </c>
      <c r="C88" s="46" t="inlineStr">
        <is>
          <t>Tunnelling</t>
        </is>
      </c>
      <c r="D88" s="46" t="inlineStr">
        <is>
          <t>Tunnel invert cleaning</t>
        </is>
      </c>
      <c r="E88" s="44" t="inlineStr">
        <is>
          <t>CH 3+509</t>
        </is>
      </c>
      <c r="F88" s="45" t="n">
        <v>46219</v>
      </c>
      <c r="G88" s="46" t="inlineStr">
        <is>
          <t>Eng. Pedro Alves</t>
        </is>
      </c>
      <c r="H88" s="44" t="inlineStr">
        <is>
          <t>Approved with Comments</t>
        </is>
      </c>
      <c r="I88" s="45" t="n">
        <v>46220</v>
      </c>
      <c r="J88" s="44">
        <f>IF(H88="Pending",TODAY()-B88,IF(I88="","",I88-B88))</f>
        <v/>
      </c>
      <c r="K88" s="46" t="inlineStr">
        <is>
          <t>Minor comments to close</t>
        </is>
      </c>
    </row>
    <row r="89">
      <c r="A89" s="41" t="inlineStr">
        <is>
          <t>CTP-WIR-GEO-0021</t>
        </is>
      </c>
      <c r="B89" s="42" t="n">
        <v>46219</v>
      </c>
      <c r="C89" s="43" t="inlineStr">
        <is>
          <t>Geotechnical</t>
        </is>
      </c>
      <c r="D89" s="43" t="inlineStr">
        <is>
          <t>Ground anchor installation</t>
        </is>
      </c>
      <c r="E89" s="41" t="inlineStr">
        <is>
          <t>CH 6+352</t>
        </is>
      </c>
      <c r="F89" s="42" t="n">
        <v>46221</v>
      </c>
      <c r="G89" s="43" t="inlineStr">
        <is>
          <t>Eng. Sara Nasser</t>
        </is>
      </c>
      <c r="H89" s="41" t="inlineStr">
        <is>
          <t>Approved</t>
        </is>
      </c>
      <c r="I89" s="42" t="n">
        <v>46222</v>
      </c>
      <c r="J89" s="41">
        <f>IF(H89="Pending",TODAY()-B89,IF(I89="","",I89-B89))</f>
        <v/>
      </c>
      <c r="K89" s="43" t="inlineStr"/>
    </row>
    <row r="90">
      <c r="A90" s="44" t="inlineStr">
        <is>
          <t>CTP-WIR-MEP-0013</t>
        </is>
      </c>
      <c r="B90" s="45" t="n">
        <v>46219</v>
      </c>
      <c r="C90" s="46" t="inlineStr">
        <is>
          <t>MEP</t>
        </is>
      </c>
      <c r="D90" s="46" t="inlineStr">
        <is>
          <t>Cable tray installation</t>
        </is>
      </c>
      <c r="E90" s="44" t="inlineStr">
        <is>
          <t>CH 6+399</t>
        </is>
      </c>
      <c r="F90" s="45" t="n">
        <v>46220</v>
      </c>
      <c r="G90" s="46" t="inlineStr">
        <is>
          <t>Eng. Sara Nasser</t>
        </is>
      </c>
      <c r="H90" s="44" t="inlineStr">
        <is>
          <t>Approved</t>
        </is>
      </c>
      <c r="I90" s="45" t="n">
        <v>46220</v>
      </c>
      <c r="J90" s="44">
        <f>IF(H90="Pending",TODAY()-B90,IF(I90="","",I90-B90))</f>
        <v/>
      </c>
      <c r="K90" s="46" t="inlineStr"/>
    </row>
    <row r="91">
      <c r="A91" s="41" t="inlineStr">
        <is>
          <t>CTP-WIR-MEP-0014</t>
        </is>
      </c>
      <c r="B91" s="42" t="n">
        <v>46219</v>
      </c>
      <c r="C91" s="43" t="inlineStr">
        <is>
          <t>MEP</t>
        </is>
      </c>
      <c r="D91" s="43" t="inlineStr">
        <is>
          <t>Cable tray installation</t>
        </is>
      </c>
      <c r="E91" s="41" t="inlineStr">
        <is>
          <t>CH 4+104</t>
        </is>
      </c>
      <c r="F91" s="42" t="n">
        <v>46221</v>
      </c>
      <c r="G91" s="43" t="inlineStr">
        <is>
          <t>Eng. Sara Nasser</t>
        </is>
      </c>
      <c r="H91" s="41" t="inlineStr">
        <is>
          <t>Approved with Comments</t>
        </is>
      </c>
      <c r="I91" s="42" t="n">
        <v>46221</v>
      </c>
      <c r="J91" s="41">
        <f>IF(H91="Pending",TODAY()-B91,IF(I91="","",I91-B91))</f>
        <v/>
      </c>
      <c r="K91" s="43" t="inlineStr">
        <is>
          <t>Minor comments to close</t>
        </is>
      </c>
    </row>
    <row r="92">
      <c r="A92" s="44" t="inlineStr">
        <is>
          <t>CTP-WIR-SUR-0017</t>
        </is>
      </c>
      <c r="B92" s="45" t="n">
        <v>46219</v>
      </c>
      <c r="C92" s="46" t="inlineStr">
        <is>
          <t>Survey</t>
        </is>
      </c>
      <c r="D92" s="46" t="inlineStr">
        <is>
          <t>As-built survey</t>
        </is>
      </c>
      <c r="E92" s="44" t="inlineStr">
        <is>
          <t>CH 6+523</t>
        </is>
      </c>
      <c r="F92" s="45" t="n">
        <v>46220</v>
      </c>
      <c r="G92" s="46" t="inlineStr">
        <is>
          <t>Eng. Mark Collins</t>
        </is>
      </c>
      <c r="H92" s="44" t="inlineStr">
        <is>
          <t>Approved</t>
        </is>
      </c>
      <c r="I92" s="45" t="n">
        <v>46221</v>
      </c>
      <c r="J92" s="44">
        <f>IF(H92="Pending",TODAY()-B92,IF(I92="","",I92-B92))</f>
        <v/>
      </c>
      <c r="K92" s="46" t="inlineStr"/>
    </row>
    <row r="93">
      <c r="A93" s="41" t="inlineStr">
        <is>
          <t>CTP-WIR-TUN-0015</t>
        </is>
      </c>
      <c r="B93" s="42" t="n">
        <v>46219</v>
      </c>
      <c r="C93" s="43" t="inlineStr">
        <is>
          <t>Tunnelling</t>
        </is>
      </c>
      <c r="D93" s="43" t="inlineStr">
        <is>
          <t>TBM cutter change</t>
        </is>
      </c>
      <c r="E93" s="41" t="inlineStr">
        <is>
          <t>CH 1+962</t>
        </is>
      </c>
      <c r="F93" s="42" t="n">
        <v>46220</v>
      </c>
      <c r="G93" s="43" t="inlineStr">
        <is>
          <t>Eng. Ali Haddad</t>
        </is>
      </c>
      <c r="H93" s="41" t="inlineStr">
        <is>
          <t>Approved with Comments</t>
        </is>
      </c>
      <c r="I93" s="42" t="n">
        <v>46222</v>
      </c>
      <c r="J93" s="41">
        <f>IF(H93="Pending",TODAY()-B93,IF(I93="","",I93-B93))</f>
        <v/>
      </c>
      <c r="K93" s="43" t="inlineStr">
        <is>
          <t>Minor comments to close</t>
        </is>
      </c>
    </row>
    <row r="94">
      <c r="A94" s="44" t="inlineStr">
        <is>
          <t>CTP-WIR-CIV-0023</t>
        </is>
      </c>
      <c r="B94" s="45" t="n">
        <v>46221</v>
      </c>
      <c r="C94" s="46" t="inlineStr">
        <is>
          <t>Civil</t>
        </is>
      </c>
      <c r="D94" s="46" t="inlineStr">
        <is>
          <t>Concrete pouring</t>
        </is>
      </c>
      <c r="E94" s="44" t="inlineStr">
        <is>
          <t>CH 5+288</t>
        </is>
      </c>
      <c r="F94" s="45" t="n">
        <v>46222</v>
      </c>
      <c r="G94" s="46" t="inlineStr">
        <is>
          <t>Eng. Sara Nasser</t>
        </is>
      </c>
      <c r="H94" s="44" t="inlineStr">
        <is>
          <t>Approved</t>
        </is>
      </c>
      <c r="I94" s="45" t="n">
        <v>46224</v>
      </c>
      <c r="J94" s="44">
        <f>IF(H94="Pending",TODAY()-B94,IF(I94="","",I94-B94))</f>
        <v/>
      </c>
      <c r="K94" s="46" t="inlineStr"/>
    </row>
    <row r="95">
      <c r="A95" s="41" t="inlineStr">
        <is>
          <t>CTP-WIR-GEO-0022</t>
        </is>
      </c>
      <c r="B95" s="42" t="n">
        <v>46221</v>
      </c>
      <c r="C95" s="43" t="inlineStr">
        <is>
          <t>Geotechnical</t>
        </is>
      </c>
      <c r="D95" s="43" t="inlineStr">
        <is>
          <t>Grout injection</t>
        </is>
      </c>
      <c r="E95" s="41" t="inlineStr">
        <is>
          <t>CH 8+562</t>
        </is>
      </c>
      <c r="F95" s="42" t="n">
        <v>46223</v>
      </c>
      <c r="G95" s="43" t="inlineStr">
        <is>
          <t>Eng. Ali Haddad</t>
        </is>
      </c>
      <c r="H95" s="41" t="inlineStr">
        <is>
          <t>Approved with Comments</t>
        </is>
      </c>
      <c r="I95" s="42" t="n">
        <v>46225</v>
      </c>
      <c r="J95" s="41">
        <f>IF(H95="Pending",TODAY()-B95,IF(I95="","",I95-B95))</f>
        <v/>
      </c>
      <c r="K95" s="43" t="inlineStr">
        <is>
          <t>Minor comments to close</t>
        </is>
      </c>
    </row>
    <row r="96">
      <c r="A96" s="44" t="inlineStr">
        <is>
          <t>CTP-WIR-GEO-0023</t>
        </is>
      </c>
      <c r="B96" s="45" t="n">
        <v>46221</v>
      </c>
      <c r="C96" s="46" t="inlineStr">
        <is>
          <t>Geotechnical</t>
        </is>
      </c>
      <c r="D96" s="46" t="inlineStr">
        <is>
          <t>Grout injection</t>
        </is>
      </c>
      <c r="E96" s="44" t="inlineStr">
        <is>
          <t>CH 7+629</t>
        </is>
      </c>
      <c r="F96" s="45" t="n">
        <v>46221</v>
      </c>
      <c r="G96" s="46" t="inlineStr">
        <is>
          <t>Eng. Sara Nasser</t>
        </is>
      </c>
      <c r="H96" s="44" t="inlineStr">
        <is>
          <t>Rejected</t>
        </is>
      </c>
      <c r="I96" s="45" t="n">
        <v>46223</v>
      </c>
      <c r="J96" s="44">
        <f>IF(H96="Pending",TODAY()-B96,IF(I96="","",I96-B96))</f>
        <v/>
      </c>
      <c r="K96" s="46" t="inlineStr">
        <is>
          <t>Re-inspection required</t>
        </is>
      </c>
    </row>
    <row r="97">
      <c r="A97" s="41" t="inlineStr">
        <is>
          <t>CTP-WIR-SUR-0018</t>
        </is>
      </c>
      <c r="B97" s="42" t="n">
        <v>46221</v>
      </c>
      <c r="C97" s="43" t="inlineStr">
        <is>
          <t>Survey</t>
        </is>
      </c>
      <c r="D97" s="43" t="inlineStr">
        <is>
          <t>Tunnel alignment survey</t>
        </is>
      </c>
      <c r="E97" s="41" t="inlineStr">
        <is>
          <t>CH 3+249</t>
        </is>
      </c>
      <c r="F97" s="42" t="n">
        <v>46223</v>
      </c>
      <c r="G97" s="43" t="inlineStr">
        <is>
          <t>Eng. Mark Collins</t>
        </is>
      </c>
      <c r="H97" s="41" t="inlineStr">
        <is>
          <t>Approved</t>
        </is>
      </c>
      <c r="I97" s="42" t="n">
        <v>46226</v>
      </c>
      <c r="J97" s="41">
        <f>IF(H97="Pending",TODAY()-B97,IF(I97="","",I97-B97))</f>
        <v/>
      </c>
      <c r="K97" s="43" t="inlineStr"/>
    </row>
    <row r="98">
      <c r="A98" s="44" t="inlineStr">
        <is>
          <t>CTP-WIR-SUR-0019</t>
        </is>
      </c>
      <c r="B98" s="45" t="n">
        <v>46221</v>
      </c>
      <c r="C98" s="46" t="inlineStr">
        <is>
          <t>Survey</t>
        </is>
      </c>
      <c r="D98" s="46" t="inlineStr">
        <is>
          <t>As-built survey</t>
        </is>
      </c>
      <c r="E98" s="44" t="inlineStr">
        <is>
          <t>CH 3+377</t>
        </is>
      </c>
      <c r="F98" s="45" t="n">
        <v>46222</v>
      </c>
      <c r="G98" s="46" t="inlineStr">
        <is>
          <t>Eng. Hana Saleh</t>
        </is>
      </c>
      <c r="H98" s="44" t="inlineStr">
        <is>
          <t>Approved</t>
        </is>
      </c>
      <c r="I98" s="45" t="n">
        <v>46223</v>
      </c>
      <c r="J98" s="44">
        <f>IF(H98="Pending",TODAY()-B98,IF(I98="","",I98-B98))</f>
        <v/>
      </c>
      <c r="K98" s="46" t="inlineStr"/>
    </row>
    <row r="99">
      <c r="A99" s="41" t="inlineStr">
        <is>
          <t>CTP-WIR-TUN-0016</t>
        </is>
      </c>
      <c r="B99" s="42" t="n">
        <v>46221</v>
      </c>
      <c r="C99" s="43" t="inlineStr">
        <is>
          <t>Tunnelling</t>
        </is>
      </c>
      <c r="D99" s="43" t="inlineStr">
        <is>
          <t>Tunnel invert cleaning</t>
        </is>
      </c>
      <c r="E99" s="41" t="inlineStr">
        <is>
          <t>CH 4+494</t>
        </is>
      </c>
      <c r="F99" s="42" t="n">
        <v>46222</v>
      </c>
      <c r="G99" s="43" t="inlineStr">
        <is>
          <t>Eng. Ali Haddad</t>
        </is>
      </c>
      <c r="H99" s="41" t="inlineStr">
        <is>
          <t>Approved</t>
        </is>
      </c>
      <c r="I99" s="42" t="n">
        <v>46223</v>
      </c>
      <c r="J99" s="41">
        <f>IF(H99="Pending",TODAY()-B99,IF(I99="","",I99-B99))</f>
        <v/>
      </c>
      <c r="K99" s="43" t="inlineStr"/>
    </row>
    <row r="100">
      <c r="A100" s="44" t="inlineStr">
        <is>
          <t>CTP-WIR-TUN-0017</t>
        </is>
      </c>
      <c r="B100" s="45" t="n">
        <v>46221</v>
      </c>
      <c r="C100" s="46" t="inlineStr">
        <is>
          <t>Tunnelling</t>
        </is>
      </c>
      <c r="D100" s="46" t="inlineStr">
        <is>
          <t>Tunnel invert cleaning</t>
        </is>
      </c>
      <c r="E100" s="44" t="inlineStr">
        <is>
          <t>CH 3+512</t>
        </is>
      </c>
      <c r="F100" s="45" t="n">
        <v>46222</v>
      </c>
      <c r="G100" s="46" t="inlineStr">
        <is>
          <t>Eng. Hana Saleh</t>
        </is>
      </c>
      <c r="H100" s="44" t="inlineStr">
        <is>
          <t>Approved</t>
        </is>
      </c>
      <c r="I100" s="45" t="n">
        <v>46222</v>
      </c>
      <c r="J100" s="44">
        <f>IF(H100="Pending",TODAY()-B100,IF(I100="","",I100-B100))</f>
        <v/>
      </c>
      <c r="K100" s="46" t="inlineStr"/>
    </row>
    <row r="101">
      <c r="A101" s="41" t="inlineStr">
        <is>
          <t>CTP-WIR-TUN-0018</t>
        </is>
      </c>
      <c r="B101" s="42" t="n">
        <v>46222</v>
      </c>
      <c r="C101" s="43" t="inlineStr">
        <is>
          <t>Tunnelling</t>
        </is>
      </c>
      <c r="D101" s="43" t="inlineStr">
        <is>
          <t>Annulus grouting</t>
        </is>
      </c>
      <c r="E101" s="41" t="inlineStr">
        <is>
          <t>CH 3+385</t>
        </is>
      </c>
      <c r="F101" s="42" t="n">
        <v>46224</v>
      </c>
      <c r="G101" s="43" t="inlineStr">
        <is>
          <t>Eng. Sara Nasser</t>
        </is>
      </c>
      <c r="H101" s="41" t="inlineStr">
        <is>
          <t>Approved</t>
        </is>
      </c>
      <c r="I101" s="42" t="n">
        <v>46227</v>
      </c>
      <c r="J101" s="41">
        <f>IF(H101="Pending",TODAY()-B101,IF(I101="","",I101-B101))</f>
        <v/>
      </c>
      <c r="K101" s="43" t="inlineStr"/>
    </row>
    <row r="102">
      <c r="A102" s="44" t="inlineStr">
        <is>
          <t>CTP-WIR-TUN-0019</t>
        </is>
      </c>
      <c r="B102" s="45" t="n">
        <v>46222</v>
      </c>
      <c r="C102" s="46" t="inlineStr">
        <is>
          <t>Tunnelling</t>
        </is>
      </c>
      <c r="D102" s="46" t="inlineStr">
        <is>
          <t>TBM cutter change</t>
        </is>
      </c>
      <c r="E102" s="44" t="inlineStr">
        <is>
          <t>CH 5+128</t>
        </is>
      </c>
      <c r="F102" s="45" t="n">
        <v>46222</v>
      </c>
      <c r="G102" s="46" t="inlineStr">
        <is>
          <t>Eng. Ali Haddad</t>
        </is>
      </c>
      <c r="H102" s="44" t="inlineStr">
        <is>
          <t>Approved</t>
        </is>
      </c>
      <c r="I102" s="45" t="n">
        <v>46225</v>
      </c>
      <c r="J102" s="44">
        <f>IF(H102="Pending",TODAY()-B102,IF(I102="","",I102-B102))</f>
        <v/>
      </c>
      <c r="K102" s="46" t="inlineStr"/>
    </row>
    <row r="103">
      <c r="A103" s="41" t="inlineStr">
        <is>
          <t>CTP-WIR-CIV-0024</t>
        </is>
      </c>
      <c r="B103" s="42" t="n">
        <v>46223</v>
      </c>
      <c r="C103" s="43" t="inlineStr">
        <is>
          <t>Civil</t>
        </is>
      </c>
      <c r="D103" s="43" t="inlineStr">
        <is>
          <t>Backfilling &amp; compaction</t>
        </is>
      </c>
      <c r="E103" s="41" t="inlineStr">
        <is>
          <t>CH 0+074</t>
        </is>
      </c>
      <c r="F103" s="42" t="n">
        <v>46225</v>
      </c>
      <c r="G103" s="43" t="inlineStr">
        <is>
          <t>Eng. Hana Saleh</t>
        </is>
      </c>
      <c r="H103" s="41" t="inlineStr">
        <is>
          <t>Rejected</t>
        </is>
      </c>
      <c r="I103" s="42" t="n">
        <v>46227</v>
      </c>
      <c r="J103" s="41">
        <f>IF(H103="Pending",TODAY()-B103,IF(I103="","",I103-B103))</f>
        <v/>
      </c>
      <c r="K103" s="43" t="inlineStr">
        <is>
          <t>Re-inspection required</t>
        </is>
      </c>
    </row>
    <row r="104">
      <c r="A104" s="44" t="inlineStr">
        <is>
          <t>CTP-WIR-CIV-0025</t>
        </is>
      </c>
      <c r="B104" s="45" t="n">
        <v>46223</v>
      </c>
      <c r="C104" s="46" t="inlineStr">
        <is>
          <t>Civil</t>
        </is>
      </c>
      <c r="D104" s="46" t="inlineStr">
        <is>
          <t>Formwork inspection</t>
        </is>
      </c>
      <c r="E104" s="44" t="inlineStr">
        <is>
          <t>CH 1+229</t>
        </is>
      </c>
      <c r="F104" s="45" t="n">
        <v>46225</v>
      </c>
      <c r="G104" s="46" t="inlineStr">
        <is>
          <t>Eng. Mark Collins</t>
        </is>
      </c>
      <c r="H104" s="44" t="inlineStr">
        <is>
          <t>Rejected</t>
        </is>
      </c>
      <c r="I104" s="45" t="n">
        <v>46226</v>
      </c>
      <c r="J104" s="44">
        <f>IF(H104="Pending",TODAY()-B104,IF(I104="","",I104-B104))</f>
        <v/>
      </c>
      <c r="K104" s="46" t="inlineStr">
        <is>
          <t>Re-inspection required</t>
        </is>
      </c>
    </row>
    <row r="105">
      <c r="A105" s="41" t="inlineStr">
        <is>
          <t>CTP-WIR-GEO-0024</t>
        </is>
      </c>
      <c r="B105" s="42" t="n">
        <v>46223</v>
      </c>
      <c r="C105" s="43" t="inlineStr">
        <is>
          <t>Geotechnical</t>
        </is>
      </c>
      <c r="D105" s="43" t="inlineStr">
        <is>
          <t>Borehole drilling &amp; logging</t>
        </is>
      </c>
      <c r="E105" s="41" t="inlineStr">
        <is>
          <t>CH 0+130</t>
        </is>
      </c>
      <c r="F105" s="42" t="n">
        <v>46225</v>
      </c>
      <c r="G105" s="43" t="inlineStr">
        <is>
          <t>Eng. Pedro Alves</t>
        </is>
      </c>
      <c r="H105" s="41" t="inlineStr">
        <is>
          <t>Approved</t>
        </is>
      </c>
      <c r="I105" s="42" t="n">
        <v>46226</v>
      </c>
      <c r="J105" s="41">
        <f>IF(H105="Pending",TODAY()-B105,IF(I105="","",I105-B105))</f>
        <v/>
      </c>
      <c r="K105" s="43" t="inlineStr"/>
    </row>
    <row r="106">
      <c r="A106" s="44" t="inlineStr">
        <is>
          <t>CTP-WIR-MEP-0015</t>
        </is>
      </c>
      <c r="B106" s="45" t="n">
        <v>46223</v>
      </c>
      <c r="C106" s="46" t="inlineStr">
        <is>
          <t>MEP</t>
        </is>
      </c>
      <c r="D106" s="46" t="inlineStr">
        <is>
          <t>Ventilation duct alignment</t>
        </is>
      </c>
      <c r="E106" s="44" t="inlineStr">
        <is>
          <t>CH 4+985</t>
        </is>
      </c>
      <c r="F106" s="45" t="n">
        <v>46224</v>
      </c>
      <c r="G106" s="46" t="inlineStr">
        <is>
          <t>Eng. Sara Nasser</t>
        </is>
      </c>
      <c r="H106" s="44" t="inlineStr">
        <is>
          <t>Approved</t>
        </is>
      </c>
      <c r="I106" s="45" t="n">
        <v>46224</v>
      </c>
      <c r="J106" s="44">
        <f>IF(H106="Pending",TODAY()-B106,IF(I106="","",I106-B106))</f>
        <v/>
      </c>
      <c r="K106" s="46" t="inlineStr"/>
    </row>
    <row r="107">
      <c r="A107" s="41" t="inlineStr">
        <is>
          <t>CTP-WIR-MEP-0016</t>
        </is>
      </c>
      <c r="B107" s="42" t="n">
        <v>46223</v>
      </c>
      <c r="C107" s="43" t="inlineStr">
        <is>
          <t>MEP</t>
        </is>
      </c>
      <c r="D107" s="43" t="inlineStr">
        <is>
          <t>Pump station testing</t>
        </is>
      </c>
      <c r="E107" s="41" t="inlineStr">
        <is>
          <t>CH 1+072</t>
        </is>
      </c>
      <c r="F107" s="42" t="n">
        <v>46225</v>
      </c>
      <c r="G107" s="43" t="inlineStr">
        <is>
          <t>Eng. Hana Saleh</t>
        </is>
      </c>
      <c r="H107" s="41" t="inlineStr">
        <is>
          <t>Approved</t>
        </is>
      </c>
      <c r="I107" s="42" t="n">
        <v>46225</v>
      </c>
      <c r="J107" s="41">
        <f>IF(H107="Pending",TODAY()-B107,IF(I107="","",I107-B107))</f>
        <v/>
      </c>
      <c r="K107" s="43" t="inlineStr"/>
    </row>
    <row r="108">
      <c r="A108" s="44" t="inlineStr">
        <is>
          <t>CTP-WIR-SUR-0020</t>
        </is>
      </c>
      <c r="B108" s="45" t="n">
        <v>46223</v>
      </c>
      <c r="C108" s="46" t="inlineStr">
        <is>
          <t>Survey</t>
        </is>
      </c>
      <c r="D108" s="46" t="inlineStr">
        <is>
          <t>Tunnel alignment survey</t>
        </is>
      </c>
      <c r="E108" s="44" t="inlineStr">
        <is>
          <t>CH 9+001</t>
        </is>
      </c>
      <c r="F108" s="45" t="n">
        <v>46224</v>
      </c>
      <c r="G108" s="46" t="inlineStr">
        <is>
          <t>Eng. Hana Saleh</t>
        </is>
      </c>
      <c r="H108" s="44" t="inlineStr">
        <is>
          <t>Approved</t>
        </is>
      </c>
      <c r="I108" s="45" t="n">
        <v>46225</v>
      </c>
      <c r="J108" s="44">
        <f>IF(H108="Pending",TODAY()-B108,IF(I108="","",I108-B108))</f>
        <v/>
      </c>
      <c r="K108" s="46" t="inlineStr"/>
    </row>
    <row r="109">
      <c r="A109" s="41" t="inlineStr">
        <is>
          <t>CTP-WIR-SUR-0021</t>
        </is>
      </c>
      <c r="B109" s="42" t="n">
        <v>46223</v>
      </c>
      <c r="C109" s="43" t="inlineStr">
        <is>
          <t>Survey</t>
        </is>
      </c>
      <c r="D109" s="43" t="inlineStr">
        <is>
          <t>Setting-out check</t>
        </is>
      </c>
      <c r="E109" s="41" t="inlineStr">
        <is>
          <t>CH 5+660</t>
        </is>
      </c>
      <c r="F109" s="42" t="n">
        <v>46224</v>
      </c>
      <c r="G109" s="43" t="inlineStr">
        <is>
          <t>Eng. Pedro Alves</t>
        </is>
      </c>
      <c r="H109" s="41" t="inlineStr">
        <is>
          <t>Rejected</t>
        </is>
      </c>
      <c r="I109" s="42" t="n">
        <v>46225</v>
      </c>
      <c r="J109" s="41">
        <f>IF(H109="Pending",TODAY()-B109,IF(I109="","",I109-B109))</f>
        <v/>
      </c>
      <c r="K109" s="43" t="inlineStr">
        <is>
          <t>Re-inspection required</t>
        </is>
      </c>
    </row>
    <row r="110">
      <c r="A110" s="44" t="inlineStr">
        <is>
          <t>CTP-WIR-SUR-0022</t>
        </is>
      </c>
      <c r="B110" s="45" t="n">
        <v>46223</v>
      </c>
      <c r="C110" s="46" t="inlineStr">
        <is>
          <t>Survey</t>
        </is>
      </c>
      <c r="D110" s="46" t="inlineStr">
        <is>
          <t>As-built survey</t>
        </is>
      </c>
      <c r="E110" s="44" t="inlineStr">
        <is>
          <t>CH 6+721</t>
        </is>
      </c>
      <c r="F110" s="45" t="n">
        <v>46224</v>
      </c>
      <c r="G110" s="46" t="inlineStr">
        <is>
          <t>Eng. Ali Haddad</t>
        </is>
      </c>
      <c r="H110" s="44" t="inlineStr">
        <is>
          <t>Approved</t>
        </is>
      </c>
      <c r="I110" s="45" t="n">
        <v>46224</v>
      </c>
      <c r="J110" s="44">
        <f>IF(H110="Pending",TODAY()-B110,IF(I110="","",I110-B110))</f>
        <v/>
      </c>
      <c r="K110" s="46" t="inlineStr"/>
    </row>
    <row r="111">
      <c r="A111" s="41" t="inlineStr">
        <is>
          <t>CTP-WIR-TUN-0020</t>
        </is>
      </c>
      <c r="B111" s="42" t="n">
        <v>46223</v>
      </c>
      <c r="C111" s="43" t="inlineStr">
        <is>
          <t>Tunnelling</t>
        </is>
      </c>
      <c r="D111" s="43" t="inlineStr">
        <is>
          <t>Segment ring build</t>
        </is>
      </c>
      <c r="E111" s="41" t="inlineStr">
        <is>
          <t>CH 1+564</t>
        </is>
      </c>
      <c r="F111" s="42" t="n">
        <v>46223</v>
      </c>
      <c r="G111" s="43" t="inlineStr">
        <is>
          <t>Eng. Ali Haddad</t>
        </is>
      </c>
      <c r="H111" s="41" t="inlineStr">
        <is>
          <t>Rejected</t>
        </is>
      </c>
      <c r="I111" s="42" t="n">
        <v>46225</v>
      </c>
      <c r="J111" s="41">
        <f>IF(H111="Pending",TODAY()-B111,IF(I111="","",I111-B111))</f>
        <v/>
      </c>
      <c r="K111" s="43" t="inlineStr">
        <is>
          <t>Re-inspection required</t>
        </is>
      </c>
    </row>
    <row r="112">
      <c r="A112" s="44" t="inlineStr">
        <is>
          <t>CTP-WIR-CIV-0026</t>
        </is>
      </c>
      <c r="B112" s="45" t="n">
        <v>46224</v>
      </c>
      <c r="C112" s="46" t="inlineStr">
        <is>
          <t>Civil</t>
        </is>
      </c>
      <c r="D112" s="46" t="inlineStr">
        <is>
          <t>Concrete pouring</t>
        </is>
      </c>
      <c r="E112" s="44" t="inlineStr">
        <is>
          <t>CH 6+947</t>
        </is>
      </c>
      <c r="F112" s="45" t="n">
        <v>46226</v>
      </c>
      <c r="G112" s="46" t="inlineStr">
        <is>
          <t>Eng. Mark Collins</t>
        </is>
      </c>
      <c r="H112" s="44" t="inlineStr">
        <is>
          <t>Approved</t>
        </is>
      </c>
      <c r="I112" s="45" t="n">
        <v>46227</v>
      </c>
      <c r="J112" s="44">
        <f>IF(H112="Pending",TODAY()-B112,IF(I112="","",I112-B112))</f>
        <v/>
      </c>
      <c r="K112" s="46" t="inlineStr"/>
    </row>
    <row r="113">
      <c r="A113" s="41" t="inlineStr">
        <is>
          <t>CTP-WIR-MEP-0017</t>
        </is>
      </c>
      <c r="B113" s="42" t="n">
        <v>46224</v>
      </c>
      <c r="C113" s="43" t="inlineStr">
        <is>
          <t>MEP</t>
        </is>
      </c>
      <c r="D113" s="43" t="inlineStr">
        <is>
          <t>Ventilation duct alignment</t>
        </is>
      </c>
      <c r="E113" s="41" t="inlineStr">
        <is>
          <t>CH 4+784</t>
        </is>
      </c>
      <c r="F113" s="42" t="n">
        <v>46224</v>
      </c>
      <c r="G113" s="43" t="inlineStr">
        <is>
          <t>Eng. Mark Collins</t>
        </is>
      </c>
      <c r="H113" s="41" t="inlineStr">
        <is>
          <t>Approved</t>
        </is>
      </c>
      <c r="I113" s="42" t="n">
        <v>46225</v>
      </c>
      <c r="J113" s="41">
        <f>IF(H113="Pending",TODAY()-B113,IF(I113="","",I113-B113))</f>
        <v/>
      </c>
      <c r="K113" s="43" t="inlineStr"/>
    </row>
    <row r="114">
      <c r="A114" s="44" t="inlineStr">
        <is>
          <t>CTP-WIR-MEP-0018</t>
        </is>
      </c>
      <c r="B114" s="45" t="n">
        <v>46224</v>
      </c>
      <c r="C114" s="46" t="inlineStr">
        <is>
          <t>MEP</t>
        </is>
      </c>
      <c r="D114" s="46" t="inlineStr">
        <is>
          <t>Lighting installation</t>
        </is>
      </c>
      <c r="E114" s="44" t="inlineStr">
        <is>
          <t>CH 1+974</t>
        </is>
      </c>
      <c r="F114" s="45" t="n">
        <v>46226</v>
      </c>
      <c r="G114" s="46" t="inlineStr">
        <is>
          <t>Eng. Hana Saleh</t>
        </is>
      </c>
      <c r="H114" s="44" t="inlineStr">
        <is>
          <t>Approved</t>
        </is>
      </c>
      <c r="I114" s="45" t="n">
        <v>46227</v>
      </c>
      <c r="J114" s="44">
        <f>IF(H114="Pending",TODAY()-B114,IF(I114="","",I114-B114))</f>
        <v/>
      </c>
      <c r="K114" s="46" t="inlineStr"/>
    </row>
    <row r="115">
      <c r="A115" s="41" t="inlineStr">
        <is>
          <t>CTP-WIR-TUN-0021</t>
        </is>
      </c>
      <c r="B115" s="42" t="n">
        <v>46224</v>
      </c>
      <c r="C115" s="43" t="inlineStr">
        <is>
          <t>Tunnelling</t>
        </is>
      </c>
      <c r="D115" s="43" t="inlineStr">
        <is>
          <t>Segment ring build</t>
        </is>
      </c>
      <c r="E115" s="41" t="inlineStr">
        <is>
          <t>CH 6+202</t>
        </is>
      </c>
      <c r="F115" s="42" t="n">
        <v>46225</v>
      </c>
      <c r="G115" s="43" t="inlineStr">
        <is>
          <t>Eng. Sara Nasser</t>
        </is>
      </c>
      <c r="H115" s="41" t="inlineStr">
        <is>
          <t>Approved with Comments</t>
        </is>
      </c>
      <c r="I115" s="42" t="n">
        <v>46226</v>
      </c>
      <c r="J115" s="41">
        <f>IF(H115="Pending",TODAY()-B115,IF(I115="","",I115-B115))</f>
        <v/>
      </c>
      <c r="K115" s="43" t="inlineStr">
        <is>
          <t>Minor comments to close</t>
        </is>
      </c>
    </row>
    <row r="116">
      <c r="A116" s="44" t="inlineStr">
        <is>
          <t>CTP-WIR-CIV-0027</t>
        </is>
      </c>
      <c r="B116" s="45" t="n">
        <v>46225</v>
      </c>
      <c r="C116" s="46" t="inlineStr">
        <is>
          <t>Civil</t>
        </is>
      </c>
      <c r="D116" s="46" t="inlineStr">
        <is>
          <t>Formwork inspection</t>
        </is>
      </c>
      <c r="E116" s="44" t="inlineStr">
        <is>
          <t>CH 6+055</t>
        </is>
      </c>
      <c r="F116" s="45" t="n">
        <v>46225</v>
      </c>
      <c r="G116" s="46" t="inlineStr">
        <is>
          <t>Eng. Ali Haddad</t>
        </is>
      </c>
      <c r="H116" s="44" t="inlineStr">
        <is>
          <t>Rejected</t>
        </is>
      </c>
      <c r="I116" s="45" t="n">
        <v>46226</v>
      </c>
      <c r="J116" s="44">
        <f>IF(H116="Pending",TODAY()-B116,IF(I116="","",I116-B116))</f>
        <v/>
      </c>
      <c r="K116" s="46" t="inlineStr">
        <is>
          <t>Re-inspection required</t>
        </is>
      </c>
    </row>
    <row r="117">
      <c r="A117" s="41" t="inlineStr">
        <is>
          <t>CTP-WIR-TUN-0022</t>
        </is>
      </c>
      <c r="B117" s="42" t="n">
        <v>46225</v>
      </c>
      <c r="C117" s="43" t="inlineStr">
        <is>
          <t>Tunnelling</t>
        </is>
      </c>
      <c r="D117" s="43" t="inlineStr">
        <is>
          <t>Tunnel invert cleaning</t>
        </is>
      </c>
      <c r="E117" s="41" t="inlineStr">
        <is>
          <t>CH 2+402</t>
        </is>
      </c>
      <c r="F117" s="42" t="n">
        <v>46226</v>
      </c>
      <c r="G117" s="43" t="inlineStr">
        <is>
          <t>Eng. Sara Nasser</t>
        </is>
      </c>
      <c r="H117" s="41" t="inlineStr">
        <is>
          <t>Approved</t>
        </is>
      </c>
      <c r="I117" s="42" t="n">
        <v>46226</v>
      </c>
      <c r="J117" s="41">
        <f>IF(H117="Pending",TODAY()-B117,IF(I117="","",I117-B117))</f>
        <v/>
      </c>
      <c r="K117" s="43" t="inlineStr"/>
    </row>
    <row r="118">
      <c r="A118" s="44" t="inlineStr">
        <is>
          <t>CTP-WIR-TUN-0023</t>
        </is>
      </c>
      <c r="B118" s="45" t="n">
        <v>46225</v>
      </c>
      <c r="C118" s="46" t="inlineStr">
        <is>
          <t>Tunnelling</t>
        </is>
      </c>
      <c r="D118" s="46" t="inlineStr">
        <is>
          <t>TBM cutter change</t>
        </is>
      </c>
      <c r="E118" s="44" t="inlineStr">
        <is>
          <t>CH 5+195</t>
        </is>
      </c>
      <c r="F118" s="45" t="n">
        <v>46225</v>
      </c>
      <c r="G118" s="46" t="inlineStr">
        <is>
          <t>Eng. Hana Saleh</t>
        </is>
      </c>
      <c r="H118" s="44" t="inlineStr">
        <is>
          <t>Rejected</t>
        </is>
      </c>
      <c r="I118" s="45" t="n">
        <v>46226</v>
      </c>
      <c r="J118" s="44">
        <f>IF(H118="Pending",TODAY()-B118,IF(I118="","",I118-B118))</f>
        <v/>
      </c>
      <c r="K118" s="46" t="inlineStr">
        <is>
          <t>Re-inspection required</t>
        </is>
      </c>
    </row>
    <row r="119">
      <c r="A119" s="41" t="inlineStr">
        <is>
          <t>CTP-WIR-TUN-0024</t>
        </is>
      </c>
      <c r="B119" s="42" t="n">
        <v>46225</v>
      </c>
      <c r="C119" s="43" t="inlineStr">
        <is>
          <t>Tunnelling</t>
        </is>
      </c>
      <c r="D119" s="43" t="inlineStr">
        <is>
          <t>Tunnel invert cleaning</t>
        </is>
      </c>
      <c r="E119" s="41" t="inlineStr">
        <is>
          <t>CH 5+339</t>
        </is>
      </c>
      <c r="F119" s="42" t="n">
        <v>46227</v>
      </c>
      <c r="G119" s="43" t="inlineStr">
        <is>
          <t>Eng. Mark Collins</t>
        </is>
      </c>
      <c r="H119" s="41" t="inlineStr">
        <is>
          <t>Approved</t>
        </is>
      </c>
      <c r="I119" s="42" t="n">
        <v>46229</v>
      </c>
      <c r="J119" s="41">
        <f>IF(H119="Pending",TODAY()-B119,IF(I119="","",I119-B119))</f>
        <v/>
      </c>
      <c r="K119" s="43" t="inlineStr"/>
    </row>
    <row r="120">
      <c r="A120" s="44" t="inlineStr">
        <is>
          <t>CTP-WIR-CIV-0028</t>
        </is>
      </c>
      <c r="B120" s="45" t="n">
        <v>46226</v>
      </c>
      <c r="C120" s="46" t="inlineStr">
        <is>
          <t>Civil</t>
        </is>
      </c>
      <c r="D120" s="46" t="inlineStr">
        <is>
          <t>Concrete pouring</t>
        </is>
      </c>
      <c r="E120" s="44" t="inlineStr">
        <is>
          <t>CH 6+365</t>
        </is>
      </c>
      <c r="F120" s="45" t="n">
        <v>46226</v>
      </c>
      <c r="G120" s="46" t="inlineStr">
        <is>
          <t>Eng. Pedro Alves</t>
        </is>
      </c>
      <c r="H120" s="44" t="inlineStr">
        <is>
          <t>Approved</t>
        </is>
      </c>
      <c r="I120" s="45" t="n">
        <v>46227</v>
      </c>
      <c r="J120" s="44">
        <f>IF(H120="Pending",TODAY()-B120,IF(I120="","",I120-B120))</f>
        <v/>
      </c>
      <c r="K120" s="46" t="inlineStr"/>
    </row>
    <row r="121">
      <c r="A121" s="41" t="inlineStr">
        <is>
          <t>CTP-WIR-MEP-0019</t>
        </is>
      </c>
      <c r="B121" s="42" t="n">
        <v>46226</v>
      </c>
      <c r="C121" s="43" t="inlineStr">
        <is>
          <t>MEP</t>
        </is>
      </c>
      <c r="D121" s="43" t="inlineStr">
        <is>
          <t>Pump station testing</t>
        </is>
      </c>
      <c r="E121" s="41" t="inlineStr">
        <is>
          <t>CH 3+331</t>
        </is>
      </c>
      <c r="F121" s="42" t="n">
        <v>46227</v>
      </c>
      <c r="G121" s="43" t="inlineStr">
        <is>
          <t>Eng. Pedro Alves</t>
        </is>
      </c>
      <c r="H121" s="41" t="inlineStr">
        <is>
          <t>Approved</t>
        </is>
      </c>
      <c r="I121" s="42" t="n">
        <v>46229</v>
      </c>
      <c r="J121" s="41">
        <f>IF(H121="Pending",TODAY()-B121,IF(I121="","",I121-B121))</f>
        <v/>
      </c>
      <c r="K121" s="43" t="inlineStr"/>
    </row>
    <row r="122">
      <c r="A122" s="44" t="inlineStr">
        <is>
          <t>CTP-WIR-MEP-0020</t>
        </is>
      </c>
      <c r="B122" s="45" t="n">
        <v>46226</v>
      </c>
      <c r="C122" s="46" t="inlineStr">
        <is>
          <t>MEP</t>
        </is>
      </c>
      <c r="D122" s="46" t="inlineStr">
        <is>
          <t>Lighting installation</t>
        </is>
      </c>
      <c r="E122" s="44" t="inlineStr">
        <is>
          <t>CH 6+041</t>
        </is>
      </c>
      <c r="F122" s="45" t="n">
        <v>46226</v>
      </c>
      <c r="G122" s="46" t="inlineStr">
        <is>
          <t>Eng. Ali Haddad</t>
        </is>
      </c>
      <c r="H122" s="44" t="inlineStr">
        <is>
          <t>Approved</t>
        </is>
      </c>
      <c r="I122" s="45" t="n">
        <v>46227</v>
      </c>
      <c r="J122" s="44">
        <f>IF(H122="Pending",TODAY()-B122,IF(I122="","",I122-B122))</f>
        <v/>
      </c>
      <c r="K122" s="46" t="inlineStr"/>
    </row>
    <row r="123">
      <c r="A123" s="41" t="inlineStr">
        <is>
          <t>CTP-WIR-SUR-0023</t>
        </is>
      </c>
      <c r="B123" s="42" t="n">
        <v>46226</v>
      </c>
      <c r="C123" s="43" t="inlineStr">
        <is>
          <t>Survey</t>
        </is>
      </c>
      <c r="D123" s="43" t="inlineStr">
        <is>
          <t>As-built survey</t>
        </is>
      </c>
      <c r="E123" s="41" t="inlineStr">
        <is>
          <t>CH 9+347</t>
        </is>
      </c>
      <c r="F123" s="42" t="n">
        <v>46226</v>
      </c>
      <c r="G123" s="43" t="inlineStr">
        <is>
          <t>Eng. Sara Nasser</t>
        </is>
      </c>
      <c r="H123" s="41" t="inlineStr">
        <is>
          <t>Approved</t>
        </is>
      </c>
      <c r="I123" s="42" t="n">
        <v>46226</v>
      </c>
      <c r="J123" s="41">
        <f>IF(H123="Pending",TODAY()-B123,IF(I123="","",I123-B123))</f>
        <v/>
      </c>
      <c r="K123" s="43" t="inlineStr"/>
    </row>
    <row r="124">
      <c r="A124" s="44" t="inlineStr">
        <is>
          <t>CTP-WIR-CIV-0029</t>
        </is>
      </c>
      <c r="B124" s="45" t="n">
        <v>46228</v>
      </c>
      <c r="C124" s="46" t="inlineStr">
        <is>
          <t>Civil</t>
        </is>
      </c>
      <c r="D124" s="46" t="inlineStr">
        <is>
          <t>Backfilling &amp; compaction</t>
        </is>
      </c>
      <c r="E124" s="44" t="inlineStr">
        <is>
          <t>CH 1+486</t>
        </is>
      </c>
      <c r="F124" s="45" t="n">
        <v>46228</v>
      </c>
      <c r="G124" s="46" t="inlineStr">
        <is>
          <t>Eng. Pedro Alves</t>
        </is>
      </c>
      <c r="H124" s="44" t="inlineStr">
        <is>
          <t>Approved</t>
        </is>
      </c>
      <c r="I124" s="45" t="n">
        <v>46229</v>
      </c>
      <c r="J124" s="44">
        <f>IF(H124="Pending",TODAY()-B124,IF(I124="","",I124-B124))</f>
        <v/>
      </c>
      <c r="K124" s="46" t="inlineStr"/>
    </row>
    <row r="125">
      <c r="A125" s="41" t="inlineStr">
        <is>
          <t>CTP-WIR-CIV-0030</t>
        </is>
      </c>
      <c r="B125" s="42" t="n">
        <v>46228</v>
      </c>
      <c r="C125" s="43" t="inlineStr">
        <is>
          <t>Civil</t>
        </is>
      </c>
      <c r="D125" s="43" t="inlineStr">
        <is>
          <t>Backfilling &amp; compaction</t>
        </is>
      </c>
      <c r="E125" s="41" t="inlineStr">
        <is>
          <t>CH 2+950</t>
        </is>
      </c>
      <c r="F125" s="42" t="n">
        <v>46229</v>
      </c>
      <c r="G125" s="43" t="inlineStr">
        <is>
          <t>Eng. Mark Collins</t>
        </is>
      </c>
      <c r="H125" s="41" t="inlineStr">
        <is>
          <t>Rejected</t>
        </is>
      </c>
      <c r="I125" s="42" t="n">
        <v>46231</v>
      </c>
      <c r="J125" s="41">
        <f>IF(H125="Pending",TODAY()-B125,IF(I125="","",I125-B125))</f>
        <v/>
      </c>
      <c r="K125" s="43" t="inlineStr">
        <is>
          <t>Re-inspection required</t>
        </is>
      </c>
    </row>
    <row r="126">
      <c r="A126" s="44" t="inlineStr">
        <is>
          <t>CTP-WIR-CIV-0031</t>
        </is>
      </c>
      <c r="B126" s="45" t="n">
        <v>46228</v>
      </c>
      <c r="C126" s="46" t="inlineStr">
        <is>
          <t>Civil</t>
        </is>
      </c>
      <c r="D126" s="46" t="inlineStr">
        <is>
          <t>Formwork inspection</t>
        </is>
      </c>
      <c r="E126" s="44" t="inlineStr">
        <is>
          <t>CH 2+621</t>
        </is>
      </c>
      <c r="F126" s="45" t="n">
        <v>46228</v>
      </c>
      <c r="G126" s="46" t="inlineStr">
        <is>
          <t>Eng. Sara Nasser</t>
        </is>
      </c>
      <c r="H126" s="44" t="inlineStr">
        <is>
          <t>Approved with Comments</t>
        </is>
      </c>
      <c r="I126" s="45" t="n">
        <v>46229</v>
      </c>
      <c r="J126" s="44">
        <f>IF(H126="Pending",TODAY()-B126,IF(I126="","",I126-B126))</f>
        <v/>
      </c>
      <c r="K126" s="46" t="inlineStr">
        <is>
          <t>Minor comments to close</t>
        </is>
      </c>
    </row>
    <row r="127">
      <c r="A127" s="41" t="inlineStr">
        <is>
          <t>CTP-WIR-GEO-0025</t>
        </is>
      </c>
      <c r="B127" s="42" t="n">
        <v>46228</v>
      </c>
      <c r="C127" s="43" t="inlineStr">
        <is>
          <t>Geotechnical</t>
        </is>
      </c>
      <c r="D127" s="43" t="inlineStr">
        <is>
          <t>Borehole drilling &amp; logging</t>
        </is>
      </c>
      <c r="E127" s="41" t="inlineStr">
        <is>
          <t>CH 4+304</t>
        </is>
      </c>
      <c r="F127" s="42" t="n">
        <v>46228</v>
      </c>
      <c r="G127" s="43" t="inlineStr">
        <is>
          <t>Eng. Hana Saleh</t>
        </is>
      </c>
      <c r="H127" s="41" t="inlineStr">
        <is>
          <t>Approved</t>
        </is>
      </c>
      <c r="I127" s="42" t="n">
        <v>46229</v>
      </c>
      <c r="J127" s="41">
        <f>IF(H127="Pending",TODAY()-B127,IF(I127="","",I127-B127))</f>
        <v/>
      </c>
      <c r="K127" s="43" t="inlineStr"/>
    </row>
    <row r="128">
      <c r="A128" s="44" t="inlineStr">
        <is>
          <t>CTP-WIR-MEP-0021</t>
        </is>
      </c>
      <c r="B128" s="45" t="n">
        <v>46228</v>
      </c>
      <c r="C128" s="46" t="inlineStr">
        <is>
          <t>MEP</t>
        </is>
      </c>
      <c r="D128" s="46" t="inlineStr">
        <is>
          <t>Ventilation duct alignment</t>
        </is>
      </c>
      <c r="E128" s="44" t="inlineStr">
        <is>
          <t>CH 9+086</t>
        </is>
      </c>
      <c r="F128" s="45" t="n">
        <v>46228</v>
      </c>
      <c r="G128" s="46" t="inlineStr">
        <is>
          <t>Eng. Ali Haddad</t>
        </is>
      </c>
      <c r="H128" s="44" t="inlineStr">
        <is>
          <t>Rejected</t>
        </is>
      </c>
      <c r="I128" s="45" t="n">
        <v>46229</v>
      </c>
      <c r="J128" s="44">
        <f>IF(H128="Pending",TODAY()-B128,IF(I128="","",I128-B128))</f>
        <v/>
      </c>
      <c r="K128" s="46" t="inlineStr">
        <is>
          <t>Re-inspection required</t>
        </is>
      </c>
    </row>
    <row r="129">
      <c r="A129" s="41" t="inlineStr">
        <is>
          <t>CTP-WIR-MEP-0022</t>
        </is>
      </c>
      <c r="B129" s="42" t="n">
        <v>46228</v>
      </c>
      <c r="C129" s="43" t="inlineStr">
        <is>
          <t>MEP</t>
        </is>
      </c>
      <c r="D129" s="43" t="inlineStr">
        <is>
          <t>Ventilation duct alignment</t>
        </is>
      </c>
      <c r="E129" s="41" t="inlineStr">
        <is>
          <t>CH 2+239</t>
        </is>
      </c>
      <c r="F129" s="42" t="n">
        <v>46230</v>
      </c>
      <c r="G129" s="43" t="inlineStr">
        <is>
          <t>Eng. Pedro Alves</t>
        </is>
      </c>
      <c r="H129" s="41" t="inlineStr">
        <is>
          <t>Approved</t>
        </is>
      </c>
      <c r="I129" s="42" t="n">
        <v>46232</v>
      </c>
      <c r="J129" s="41">
        <f>IF(H129="Pending",TODAY()-B129,IF(I129="","",I129-B129))</f>
        <v/>
      </c>
      <c r="K129" s="43" t="inlineStr"/>
    </row>
    <row r="130">
      <c r="A130" s="44" t="inlineStr">
        <is>
          <t>CTP-WIR-MEP-0023</t>
        </is>
      </c>
      <c r="B130" s="45" t="n">
        <v>46228</v>
      </c>
      <c r="C130" s="46" t="inlineStr">
        <is>
          <t>MEP</t>
        </is>
      </c>
      <c r="D130" s="46" t="inlineStr">
        <is>
          <t>Cable tray installation</t>
        </is>
      </c>
      <c r="E130" s="44" t="inlineStr">
        <is>
          <t>CH 8+867</t>
        </is>
      </c>
      <c r="F130" s="45" t="n">
        <v>46230</v>
      </c>
      <c r="G130" s="46" t="inlineStr">
        <is>
          <t>Eng. Sara Nasser</t>
        </is>
      </c>
      <c r="H130" s="44" t="inlineStr">
        <is>
          <t>Approved</t>
        </is>
      </c>
      <c r="I130" s="45" t="n">
        <v>46231</v>
      </c>
      <c r="J130" s="44">
        <f>IF(H130="Pending",TODAY()-B130,IF(I130="","",I130-B130))</f>
        <v/>
      </c>
      <c r="K130" s="46" t="inlineStr"/>
    </row>
    <row r="131">
      <c r="A131" s="41" t="inlineStr">
        <is>
          <t>CTP-WIR-SUR-0024</t>
        </is>
      </c>
      <c r="B131" s="42" t="n">
        <v>46228</v>
      </c>
      <c r="C131" s="43" t="inlineStr">
        <is>
          <t>Survey</t>
        </is>
      </c>
      <c r="D131" s="43" t="inlineStr">
        <is>
          <t>Setting-out check</t>
        </is>
      </c>
      <c r="E131" s="41" t="inlineStr">
        <is>
          <t>CH 3+449</t>
        </is>
      </c>
      <c r="F131" s="42" t="n">
        <v>46229</v>
      </c>
      <c r="G131" s="43" t="inlineStr">
        <is>
          <t>Eng. Mark Collins</t>
        </is>
      </c>
      <c r="H131" s="41" t="inlineStr">
        <is>
          <t>Approved</t>
        </is>
      </c>
      <c r="I131" s="42" t="n">
        <v>46230</v>
      </c>
      <c r="J131" s="41">
        <f>IF(H131="Pending",TODAY()-B131,IF(I131="","",I131-B131))</f>
        <v/>
      </c>
      <c r="K131" s="43" t="inlineStr"/>
    </row>
    <row r="132">
      <c r="A132" s="44" t="inlineStr">
        <is>
          <t>CTP-WIR-TUN-0025</t>
        </is>
      </c>
      <c r="B132" s="45" t="n">
        <v>46228</v>
      </c>
      <c r="C132" s="46" t="inlineStr">
        <is>
          <t>Tunnelling</t>
        </is>
      </c>
      <c r="D132" s="46" t="inlineStr">
        <is>
          <t>TBM cutter change</t>
        </is>
      </c>
      <c r="E132" s="44" t="inlineStr">
        <is>
          <t>CH 1+524</t>
        </is>
      </c>
      <c r="F132" s="45" t="n">
        <v>46230</v>
      </c>
      <c r="G132" s="46" t="inlineStr">
        <is>
          <t>Eng. Pedro Alves</t>
        </is>
      </c>
      <c r="H132" s="44" t="inlineStr">
        <is>
          <t>Approved</t>
        </is>
      </c>
      <c r="I132" s="45" t="n">
        <v>46233</v>
      </c>
      <c r="J132" s="44">
        <f>IF(H132="Pending",TODAY()-B132,IF(I132="","",I132-B132))</f>
        <v/>
      </c>
      <c r="K132" s="46" t="inlineStr"/>
    </row>
    <row r="133">
      <c r="A133" s="41" t="inlineStr">
        <is>
          <t>CTP-WIR-TUN-0026</t>
        </is>
      </c>
      <c r="B133" s="42" t="n">
        <v>46228</v>
      </c>
      <c r="C133" s="43" t="inlineStr">
        <is>
          <t>Tunnelling</t>
        </is>
      </c>
      <c r="D133" s="43" t="inlineStr">
        <is>
          <t>Annulus grouting</t>
        </is>
      </c>
      <c r="E133" s="41" t="inlineStr">
        <is>
          <t>CH 0+493</t>
        </is>
      </c>
      <c r="F133" s="42" t="n">
        <v>46229</v>
      </c>
      <c r="G133" s="43" t="inlineStr">
        <is>
          <t>Eng. Mark Collins</t>
        </is>
      </c>
      <c r="H133" s="41" t="inlineStr">
        <is>
          <t>Approved</t>
        </is>
      </c>
      <c r="I133" s="42" t="n">
        <v>46229</v>
      </c>
      <c r="J133" s="41">
        <f>IF(H133="Pending",TODAY()-B133,IF(I133="","",I133-B133))</f>
        <v/>
      </c>
      <c r="K133" s="43" t="inlineStr"/>
    </row>
    <row r="134">
      <c r="A134" s="44" t="inlineStr">
        <is>
          <t>CTP-WIR-MEP-0024</t>
        </is>
      </c>
      <c r="B134" s="45" t="n">
        <v>46229</v>
      </c>
      <c r="C134" s="46" t="inlineStr">
        <is>
          <t>MEP</t>
        </is>
      </c>
      <c r="D134" s="46" t="inlineStr">
        <is>
          <t>Ventilation duct alignment</t>
        </is>
      </c>
      <c r="E134" s="44" t="inlineStr">
        <is>
          <t>CH 1+051</t>
        </is>
      </c>
      <c r="F134" s="45" t="n">
        <v>46229</v>
      </c>
      <c r="G134" s="46" t="inlineStr">
        <is>
          <t>Eng. Hana Saleh</t>
        </is>
      </c>
      <c r="H134" s="44" t="inlineStr">
        <is>
          <t>Approved with Comments</t>
        </is>
      </c>
      <c r="I134" s="45" t="n">
        <v>46230</v>
      </c>
      <c r="J134" s="44">
        <f>IF(H134="Pending",TODAY()-B134,IF(I134="","",I134-B134))</f>
        <v/>
      </c>
      <c r="K134" s="46" t="inlineStr">
        <is>
          <t>Minor comments to close</t>
        </is>
      </c>
    </row>
    <row r="135">
      <c r="A135" s="41" t="inlineStr">
        <is>
          <t>CTP-WIR-MEP-0025</t>
        </is>
      </c>
      <c r="B135" s="42" t="n">
        <v>46229</v>
      </c>
      <c r="C135" s="43" t="inlineStr">
        <is>
          <t>MEP</t>
        </is>
      </c>
      <c r="D135" s="43" t="inlineStr">
        <is>
          <t>Ventilation duct alignment</t>
        </is>
      </c>
      <c r="E135" s="41" t="inlineStr">
        <is>
          <t>CH 8+886</t>
        </is>
      </c>
      <c r="F135" s="42" t="n">
        <v>46230</v>
      </c>
      <c r="G135" s="43" t="inlineStr">
        <is>
          <t>Eng. Pedro Alves</t>
        </is>
      </c>
      <c r="H135" s="41" t="inlineStr">
        <is>
          <t>Rejected</t>
        </is>
      </c>
      <c r="I135" s="42" t="n">
        <v>46231</v>
      </c>
      <c r="J135" s="41">
        <f>IF(H135="Pending",TODAY()-B135,IF(I135="","",I135-B135))</f>
        <v/>
      </c>
      <c r="K135" s="43" t="inlineStr">
        <is>
          <t>Re-inspection required</t>
        </is>
      </c>
    </row>
    <row r="136">
      <c r="A136" s="44" t="inlineStr">
        <is>
          <t>CTP-WIR-MEP-0026</t>
        </is>
      </c>
      <c r="B136" s="45" t="n">
        <v>46229</v>
      </c>
      <c r="C136" s="46" t="inlineStr">
        <is>
          <t>MEP</t>
        </is>
      </c>
      <c r="D136" s="46" t="inlineStr">
        <is>
          <t>Pump station testing</t>
        </is>
      </c>
      <c r="E136" s="44" t="inlineStr">
        <is>
          <t>CH 1+652</t>
        </is>
      </c>
      <c r="F136" s="45" t="n">
        <v>46230</v>
      </c>
      <c r="G136" s="46" t="inlineStr">
        <is>
          <t>Eng. Mark Collins</t>
        </is>
      </c>
      <c r="H136" s="44" t="inlineStr">
        <is>
          <t>Approved with Comments</t>
        </is>
      </c>
      <c r="I136" s="45" t="n">
        <v>46230</v>
      </c>
      <c r="J136" s="44">
        <f>IF(H136="Pending",TODAY()-B136,IF(I136="","",I136-B136))</f>
        <v/>
      </c>
      <c r="K136" s="46" t="inlineStr">
        <is>
          <t>Minor comments to close</t>
        </is>
      </c>
    </row>
    <row r="137">
      <c r="A137" s="41" t="inlineStr">
        <is>
          <t>CTP-WIR-TUN-0027</t>
        </is>
      </c>
      <c r="B137" s="42" t="n">
        <v>46229</v>
      </c>
      <c r="C137" s="43" t="inlineStr">
        <is>
          <t>Tunnelling</t>
        </is>
      </c>
      <c r="D137" s="43" t="inlineStr">
        <is>
          <t>TBM cutter change</t>
        </is>
      </c>
      <c r="E137" s="41" t="inlineStr">
        <is>
          <t>CH 4+251</t>
        </is>
      </c>
      <c r="F137" s="42" t="n">
        <v>46230</v>
      </c>
      <c r="G137" s="43" t="inlineStr">
        <is>
          <t>Eng. Ali Haddad</t>
        </is>
      </c>
      <c r="H137" s="41" t="inlineStr">
        <is>
          <t>Approved</t>
        </is>
      </c>
      <c r="I137" s="42" t="n">
        <v>46232</v>
      </c>
      <c r="J137" s="41">
        <f>IF(H137="Pending",TODAY()-B137,IF(I137="","",I137-B137))</f>
        <v/>
      </c>
      <c r="K137" s="43" t="inlineStr"/>
    </row>
    <row r="138">
      <c r="A138" s="44" t="inlineStr">
        <is>
          <t>CTP-WIR-TUN-0028</t>
        </is>
      </c>
      <c r="B138" s="45" t="n">
        <v>46229</v>
      </c>
      <c r="C138" s="46" t="inlineStr">
        <is>
          <t>Tunnelling</t>
        </is>
      </c>
      <c r="D138" s="46" t="inlineStr">
        <is>
          <t>TBM cutter change</t>
        </is>
      </c>
      <c r="E138" s="44" t="inlineStr">
        <is>
          <t>CH 0+486</t>
        </is>
      </c>
      <c r="F138" s="45" t="n">
        <v>46231</v>
      </c>
      <c r="G138" s="46" t="inlineStr">
        <is>
          <t>Eng. Pedro Alves</t>
        </is>
      </c>
      <c r="H138" s="44" t="inlineStr">
        <is>
          <t>Rejected</t>
        </is>
      </c>
      <c r="I138" s="45" t="n">
        <v>46231</v>
      </c>
      <c r="J138" s="44">
        <f>IF(H138="Pending",TODAY()-B138,IF(I138="","",I138-B138))</f>
        <v/>
      </c>
      <c r="K138" s="46" t="inlineStr">
        <is>
          <t>Re-inspection required</t>
        </is>
      </c>
    </row>
    <row r="139">
      <c r="A139" s="41" t="inlineStr">
        <is>
          <t>CTP-WIR-CIV-0032</t>
        </is>
      </c>
      <c r="B139" s="42" t="n">
        <v>46230</v>
      </c>
      <c r="C139" s="43" t="inlineStr">
        <is>
          <t>Civil</t>
        </is>
      </c>
      <c r="D139" s="43" t="inlineStr">
        <is>
          <t>Rebar inspection before concrete</t>
        </is>
      </c>
      <c r="E139" s="41" t="inlineStr">
        <is>
          <t>CH 9+319</t>
        </is>
      </c>
      <c r="F139" s="42" t="n">
        <v>46232</v>
      </c>
      <c r="G139" s="43" t="inlineStr">
        <is>
          <t>Eng. Mark Collins</t>
        </is>
      </c>
      <c r="H139" s="41" t="inlineStr">
        <is>
          <t>Approved</t>
        </is>
      </c>
      <c r="I139" s="42" t="n">
        <v>46233</v>
      </c>
      <c r="J139" s="41">
        <f>IF(H139="Pending",TODAY()-B139,IF(I139="","",I139-B139))</f>
        <v/>
      </c>
      <c r="K139" s="43" t="inlineStr"/>
    </row>
    <row r="140">
      <c r="A140" s="44" t="inlineStr">
        <is>
          <t>CTP-WIR-CIV-0033</t>
        </is>
      </c>
      <c r="B140" s="45" t="n">
        <v>46230</v>
      </c>
      <c r="C140" s="46" t="inlineStr">
        <is>
          <t>Civil</t>
        </is>
      </c>
      <c r="D140" s="46" t="inlineStr">
        <is>
          <t>Backfilling &amp; compaction</t>
        </is>
      </c>
      <c r="E140" s="44" t="inlineStr">
        <is>
          <t>CH 7+064</t>
        </is>
      </c>
      <c r="F140" s="45" t="n">
        <v>46230</v>
      </c>
      <c r="G140" s="46" t="inlineStr">
        <is>
          <t>Eng. Ali Haddad</t>
        </is>
      </c>
      <c r="H140" s="44" t="inlineStr">
        <is>
          <t>Approved with Comments</t>
        </is>
      </c>
      <c r="I140" s="45" t="n">
        <v>46233</v>
      </c>
      <c r="J140" s="44">
        <f>IF(H140="Pending",TODAY()-B140,IF(I140="","",I140-B140))</f>
        <v/>
      </c>
      <c r="K140" s="46" t="inlineStr">
        <is>
          <t>Minor comments to close</t>
        </is>
      </c>
    </row>
    <row r="141">
      <c r="A141" s="41" t="inlineStr">
        <is>
          <t>CTP-WIR-GEO-0026</t>
        </is>
      </c>
      <c r="B141" s="42" t="n">
        <v>46230</v>
      </c>
      <c r="C141" s="43" t="inlineStr">
        <is>
          <t>Geotechnical</t>
        </is>
      </c>
      <c r="D141" s="43" t="inlineStr">
        <is>
          <t>Grout injection</t>
        </is>
      </c>
      <c r="E141" s="41" t="inlineStr">
        <is>
          <t>CH 0+613</t>
        </is>
      </c>
      <c r="F141" s="42" t="n">
        <v>46230</v>
      </c>
      <c r="G141" s="43" t="inlineStr">
        <is>
          <t>Eng. Ali Haddad</t>
        </is>
      </c>
      <c r="H141" s="41" t="inlineStr">
        <is>
          <t>Approved</t>
        </is>
      </c>
      <c r="I141" s="42" t="n">
        <v>46231</v>
      </c>
      <c r="J141" s="41">
        <f>IF(H141="Pending",TODAY()-B141,IF(I141="","",I141-B141))</f>
        <v/>
      </c>
      <c r="K141" s="43" t="inlineStr"/>
    </row>
    <row r="142">
      <c r="A142" s="44" t="inlineStr">
        <is>
          <t>CTP-WIR-MEP-0027</t>
        </is>
      </c>
      <c r="B142" s="45" t="n">
        <v>46230</v>
      </c>
      <c r="C142" s="46" t="inlineStr">
        <is>
          <t>MEP</t>
        </is>
      </c>
      <c r="D142" s="46" t="inlineStr">
        <is>
          <t>Cable tray installation</t>
        </is>
      </c>
      <c r="E142" s="44" t="inlineStr">
        <is>
          <t>CH 6+208</t>
        </is>
      </c>
      <c r="F142" s="45" t="n">
        <v>46231</v>
      </c>
      <c r="G142" s="46" t="inlineStr">
        <is>
          <t>Eng. Pedro Alves</t>
        </is>
      </c>
      <c r="H142" s="44" t="inlineStr">
        <is>
          <t>Approved</t>
        </is>
      </c>
      <c r="I142" s="45" t="n">
        <v>46233</v>
      </c>
      <c r="J142" s="44">
        <f>IF(H142="Pending",TODAY()-B142,IF(I142="","",I142-B142))</f>
        <v/>
      </c>
      <c r="K142" s="46" t="inlineStr"/>
    </row>
    <row r="143">
      <c r="A143" s="41" t="inlineStr">
        <is>
          <t>CTP-WIR-SUR-0025</t>
        </is>
      </c>
      <c r="B143" s="42" t="n">
        <v>46230</v>
      </c>
      <c r="C143" s="43" t="inlineStr">
        <is>
          <t>Survey</t>
        </is>
      </c>
      <c r="D143" s="43" t="inlineStr">
        <is>
          <t>As-built survey</t>
        </is>
      </c>
      <c r="E143" s="41" t="inlineStr">
        <is>
          <t>CH 6+591</t>
        </is>
      </c>
      <c r="F143" s="42" t="n">
        <v>46232</v>
      </c>
      <c r="G143" s="43" t="inlineStr">
        <is>
          <t>Eng. Pedro Alves</t>
        </is>
      </c>
      <c r="H143" s="41" t="inlineStr">
        <is>
          <t>Approved</t>
        </is>
      </c>
      <c r="I143" s="42" t="n">
        <v>46232</v>
      </c>
      <c r="J143" s="41">
        <f>IF(H143="Pending",TODAY()-B143,IF(I143="","",I143-B143))</f>
        <v/>
      </c>
      <c r="K143" s="43" t="inlineStr"/>
    </row>
    <row r="144">
      <c r="A144" s="44" t="inlineStr">
        <is>
          <t>CTP-WIR-SUR-0026</t>
        </is>
      </c>
      <c r="B144" s="45" t="n">
        <v>46230</v>
      </c>
      <c r="C144" s="46" t="inlineStr">
        <is>
          <t>Survey</t>
        </is>
      </c>
      <c r="D144" s="46" t="inlineStr">
        <is>
          <t>Settlement monitoring</t>
        </is>
      </c>
      <c r="E144" s="44" t="inlineStr">
        <is>
          <t>CH 8+145</t>
        </is>
      </c>
      <c r="F144" s="45" t="n">
        <v>46231</v>
      </c>
      <c r="G144" s="46" t="inlineStr">
        <is>
          <t>Eng. Ali Haddad</t>
        </is>
      </c>
      <c r="H144" s="44" t="inlineStr">
        <is>
          <t>Approved</t>
        </is>
      </c>
      <c r="I144" s="45" t="n">
        <v>46231</v>
      </c>
      <c r="J144" s="44">
        <f>IF(H144="Pending",TODAY()-B144,IF(I144="","",I144-B144))</f>
        <v/>
      </c>
      <c r="K144" s="46" t="inlineStr"/>
    </row>
    <row r="145">
      <c r="A145" s="41" t="inlineStr">
        <is>
          <t>CTP-WIR-TUN-0029</t>
        </is>
      </c>
      <c r="B145" s="42" t="n">
        <v>46230</v>
      </c>
      <c r="C145" s="43" t="inlineStr">
        <is>
          <t>Tunnelling</t>
        </is>
      </c>
      <c r="D145" s="43" t="inlineStr">
        <is>
          <t>Annulus grouting</t>
        </is>
      </c>
      <c r="E145" s="41" t="inlineStr">
        <is>
          <t>CH 2+407</t>
        </is>
      </c>
      <c r="F145" s="42" t="n">
        <v>46231</v>
      </c>
      <c r="G145" s="43" t="inlineStr">
        <is>
          <t>Eng. Pedro Alves</t>
        </is>
      </c>
      <c r="H145" s="41" t="inlineStr">
        <is>
          <t>Approved</t>
        </is>
      </c>
      <c r="I145" s="42" t="n">
        <v>46231</v>
      </c>
      <c r="J145" s="41">
        <f>IF(H145="Pending",TODAY()-B145,IF(I145="","",I145-B145))</f>
        <v/>
      </c>
      <c r="K145" s="43" t="inlineStr"/>
    </row>
    <row r="146">
      <c r="A146" s="44" t="inlineStr">
        <is>
          <t>CTP-WIR-TUN-0030</t>
        </is>
      </c>
      <c r="B146" s="45" t="n">
        <v>46230</v>
      </c>
      <c r="C146" s="46" t="inlineStr">
        <is>
          <t>Tunnelling</t>
        </is>
      </c>
      <c r="D146" s="46" t="inlineStr">
        <is>
          <t>Annulus grouting</t>
        </is>
      </c>
      <c r="E146" s="44" t="inlineStr">
        <is>
          <t>CH 0+319</t>
        </is>
      </c>
      <c r="F146" s="45" t="n">
        <v>46231</v>
      </c>
      <c r="G146" s="46" t="inlineStr">
        <is>
          <t>Eng. Pedro Alves</t>
        </is>
      </c>
      <c r="H146" s="44" t="inlineStr">
        <is>
          <t>Approved</t>
        </is>
      </c>
      <c r="I146" s="45" t="n">
        <v>46233</v>
      </c>
      <c r="J146" s="44">
        <f>IF(H146="Pending",TODAY()-B146,IF(I146="","",I146-B146))</f>
        <v/>
      </c>
      <c r="K146" s="46" t="inlineStr"/>
    </row>
    <row r="147">
      <c r="A147" s="41" t="inlineStr">
        <is>
          <t>CTP-WIR-CIV-0034</t>
        </is>
      </c>
      <c r="B147" s="42" t="n">
        <v>46231</v>
      </c>
      <c r="C147" s="43" t="inlineStr">
        <is>
          <t>Civil</t>
        </is>
      </c>
      <c r="D147" s="43" t="inlineStr">
        <is>
          <t>Formwork inspection</t>
        </is>
      </c>
      <c r="E147" s="41" t="inlineStr">
        <is>
          <t>CH 3+308</t>
        </is>
      </c>
      <c r="F147" s="42" t="n">
        <v>46231</v>
      </c>
      <c r="G147" s="43" t="inlineStr">
        <is>
          <t>Eng. Ali Haddad</t>
        </is>
      </c>
      <c r="H147" s="41" t="inlineStr">
        <is>
          <t>Approved</t>
        </is>
      </c>
      <c r="I147" s="42" t="n">
        <v>46233</v>
      </c>
      <c r="J147" s="41">
        <f>IF(H147="Pending",TODAY()-B147,IF(I147="","",I147-B147))</f>
        <v/>
      </c>
      <c r="K147" s="43" t="inlineStr"/>
    </row>
    <row r="148">
      <c r="A148" s="44" t="inlineStr">
        <is>
          <t>CTP-WIR-GEO-0027</t>
        </is>
      </c>
      <c r="B148" s="45" t="n">
        <v>46231</v>
      </c>
      <c r="C148" s="46" t="inlineStr">
        <is>
          <t>Geotechnical</t>
        </is>
      </c>
      <c r="D148" s="46" t="inlineStr">
        <is>
          <t>Rock bolt pull-out test</t>
        </is>
      </c>
      <c r="E148" s="44" t="inlineStr">
        <is>
          <t>CH 2+356</t>
        </is>
      </c>
      <c r="F148" s="45" t="n">
        <v>46232</v>
      </c>
      <c r="G148" s="46" t="inlineStr">
        <is>
          <t>Eng. Mark Collins</t>
        </is>
      </c>
      <c r="H148" s="44" t="inlineStr">
        <is>
          <t>Approved with Comments</t>
        </is>
      </c>
      <c r="I148" s="45" t="n">
        <v>46233</v>
      </c>
      <c r="J148" s="44">
        <f>IF(H148="Pending",TODAY()-B148,IF(I148="","",I148-B148))</f>
        <v/>
      </c>
      <c r="K148" s="46" t="inlineStr">
        <is>
          <t>Minor comments to close</t>
        </is>
      </c>
    </row>
    <row r="149">
      <c r="A149" s="41" t="inlineStr">
        <is>
          <t>CTP-WIR-SUR-0027</t>
        </is>
      </c>
      <c r="B149" s="42" t="n">
        <v>46231</v>
      </c>
      <c r="C149" s="43" t="inlineStr">
        <is>
          <t>Survey</t>
        </is>
      </c>
      <c r="D149" s="43" t="inlineStr">
        <is>
          <t>As-built survey</t>
        </is>
      </c>
      <c r="E149" s="41" t="inlineStr">
        <is>
          <t>CH 0+683</t>
        </is>
      </c>
      <c r="F149" s="42" t="n">
        <v>46232</v>
      </c>
      <c r="G149" s="43" t="inlineStr">
        <is>
          <t>Eng. Ali Haddad</t>
        </is>
      </c>
      <c r="H149" s="41" t="inlineStr">
        <is>
          <t>Approved</t>
        </is>
      </c>
      <c r="I149" s="42" t="n">
        <v>46235</v>
      </c>
      <c r="J149" s="41">
        <f>IF(H149="Pending",TODAY()-B149,IF(I149="","",I149-B149))</f>
        <v/>
      </c>
      <c r="K149" s="43" t="inlineStr"/>
    </row>
    <row r="150">
      <c r="A150" s="44" t="inlineStr">
        <is>
          <t>CTP-WIR-SUR-0028</t>
        </is>
      </c>
      <c r="B150" s="45" t="n">
        <v>46231</v>
      </c>
      <c r="C150" s="46" t="inlineStr">
        <is>
          <t>Survey</t>
        </is>
      </c>
      <c r="D150" s="46" t="inlineStr">
        <is>
          <t>Settlement monitoring</t>
        </is>
      </c>
      <c r="E150" s="44" t="inlineStr">
        <is>
          <t>CH 4+664</t>
        </is>
      </c>
      <c r="F150" s="45" t="n">
        <v>46233</v>
      </c>
      <c r="G150" s="46" t="inlineStr">
        <is>
          <t>Eng. Sara Nasser</t>
        </is>
      </c>
      <c r="H150" s="44" t="inlineStr">
        <is>
          <t>Approved</t>
        </is>
      </c>
      <c r="I150" s="45" t="n">
        <v>46236</v>
      </c>
      <c r="J150" s="44">
        <f>IF(H150="Pending",TODAY()-B150,IF(I150="","",I150-B150))</f>
        <v/>
      </c>
      <c r="K150" s="46" t="inlineStr"/>
    </row>
    <row r="151">
      <c r="A151" s="41" t="inlineStr">
        <is>
          <t>CTP-WIR-TUN-0031</t>
        </is>
      </c>
      <c r="B151" s="42" t="n">
        <v>46231</v>
      </c>
      <c r="C151" s="43" t="inlineStr">
        <is>
          <t>Tunnelling</t>
        </is>
      </c>
      <c r="D151" s="43" t="inlineStr">
        <is>
          <t>TBM cutter change</t>
        </is>
      </c>
      <c r="E151" s="41" t="inlineStr">
        <is>
          <t>CH 6+088</t>
        </is>
      </c>
      <c r="F151" s="42" t="n">
        <v>46233</v>
      </c>
      <c r="G151" s="43" t="inlineStr">
        <is>
          <t>Eng. Mark Collins</t>
        </is>
      </c>
      <c r="H151" s="41" t="inlineStr">
        <is>
          <t>Approved</t>
        </is>
      </c>
      <c r="I151" s="42" t="n">
        <v>46236</v>
      </c>
      <c r="J151" s="41">
        <f>IF(H151="Pending",TODAY()-B151,IF(I151="","",I151-B151))</f>
        <v/>
      </c>
      <c r="K151" s="43" t="inlineStr"/>
    </row>
    <row r="152">
      <c r="A152" s="44" t="inlineStr">
        <is>
          <t>CTP-WIR-TUN-0032</t>
        </is>
      </c>
      <c r="B152" s="45" t="n">
        <v>46231</v>
      </c>
      <c r="C152" s="46" t="inlineStr">
        <is>
          <t>Tunnelling</t>
        </is>
      </c>
      <c r="D152" s="46" t="inlineStr">
        <is>
          <t>TBM cutter change</t>
        </is>
      </c>
      <c r="E152" s="44" t="inlineStr">
        <is>
          <t>CH 7+187</t>
        </is>
      </c>
      <c r="F152" s="45" t="n">
        <v>46233</v>
      </c>
      <c r="G152" s="46" t="inlineStr">
        <is>
          <t>Eng. Ali Haddad</t>
        </is>
      </c>
      <c r="H152" s="44" t="inlineStr">
        <is>
          <t>Approved</t>
        </is>
      </c>
      <c r="I152" s="45" t="n">
        <v>46234</v>
      </c>
      <c r="J152" s="44">
        <f>IF(H152="Pending",TODAY()-B152,IF(I152="","",I152-B152))</f>
        <v/>
      </c>
      <c r="K152" s="46" t="inlineStr"/>
    </row>
    <row r="153">
      <c r="A153" s="41" t="inlineStr">
        <is>
          <t>CTP-WIR-TUN-0033</t>
        </is>
      </c>
      <c r="B153" s="42" t="n">
        <v>46231</v>
      </c>
      <c r="C153" s="43" t="inlineStr">
        <is>
          <t>Tunnelling</t>
        </is>
      </c>
      <c r="D153" s="43" t="inlineStr">
        <is>
          <t>Segment ring build</t>
        </is>
      </c>
      <c r="E153" s="41" t="inlineStr">
        <is>
          <t>CH 6+367</t>
        </is>
      </c>
      <c r="F153" s="42" t="n">
        <v>46233</v>
      </c>
      <c r="G153" s="43" t="inlineStr">
        <is>
          <t>Eng. Mark Collins</t>
        </is>
      </c>
      <c r="H153" s="41" t="inlineStr">
        <is>
          <t>Rejected</t>
        </is>
      </c>
      <c r="I153" s="42" t="n">
        <v>46234</v>
      </c>
      <c r="J153" s="41">
        <f>IF(H153="Pending",TODAY()-B153,IF(I153="","",I153-B153))</f>
        <v/>
      </c>
      <c r="K153" s="43" t="inlineStr">
        <is>
          <t>Re-inspection required</t>
        </is>
      </c>
    </row>
    <row r="154">
      <c r="A154" s="44" t="inlineStr">
        <is>
          <t>CTP-WIR-GEO-0028</t>
        </is>
      </c>
      <c r="B154" s="45" t="n">
        <v>46232</v>
      </c>
      <c r="C154" s="46" t="inlineStr">
        <is>
          <t>Geotechnical</t>
        </is>
      </c>
      <c r="D154" s="46" t="inlineStr">
        <is>
          <t>Ground anchor installation</t>
        </is>
      </c>
      <c r="E154" s="44" t="inlineStr">
        <is>
          <t>CH 7+515</t>
        </is>
      </c>
      <c r="F154" s="45" t="n">
        <v>46234</v>
      </c>
      <c r="G154" s="46" t="inlineStr">
        <is>
          <t>Eng. Mark Collins</t>
        </is>
      </c>
      <c r="H154" s="44" t="inlineStr">
        <is>
          <t>Approved</t>
        </is>
      </c>
      <c r="I154" s="45" t="n">
        <v>46235</v>
      </c>
      <c r="J154" s="44">
        <f>IF(H154="Pending",TODAY()-B154,IF(I154="","",I154-B154))</f>
        <v/>
      </c>
      <c r="K154" s="46" t="inlineStr"/>
    </row>
    <row r="155">
      <c r="A155" s="41" t="inlineStr">
        <is>
          <t>CTP-WIR-MEP-0028</t>
        </is>
      </c>
      <c r="B155" s="42" t="n">
        <v>46232</v>
      </c>
      <c r="C155" s="43" t="inlineStr">
        <is>
          <t>MEP</t>
        </is>
      </c>
      <c r="D155" s="43" t="inlineStr">
        <is>
          <t>Pump station testing</t>
        </is>
      </c>
      <c r="E155" s="41" t="inlineStr">
        <is>
          <t>CH 5+440</t>
        </is>
      </c>
      <c r="F155" s="42" t="n">
        <v>46234</v>
      </c>
      <c r="G155" s="43" t="inlineStr">
        <is>
          <t>Eng. Ali Haddad</t>
        </is>
      </c>
      <c r="H155" s="41" t="inlineStr">
        <is>
          <t>Approved</t>
        </is>
      </c>
      <c r="I155" s="42" t="n">
        <v>46235</v>
      </c>
      <c r="J155" s="41">
        <f>IF(H155="Pending",TODAY()-B155,IF(I155="","",I155-B155))</f>
        <v/>
      </c>
      <c r="K155" s="43" t="inlineStr"/>
    </row>
    <row r="156">
      <c r="A156" s="44" t="inlineStr">
        <is>
          <t>CTP-WIR-MEP-0029</t>
        </is>
      </c>
      <c r="B156" s="45" t="n">
        <v>46232</v>
      </c>
      <c r="C156" s="46" t="inlineStr">
        <is>
          <t>MEP</t>
        </is>
      </c>
      <c r="D156" s="46" t="inlineStr">
        <is>
          <t>Ventilation duct alignment</t>
        </is>
      </c>
      <c r="E156" s="44" t="inlineStr">
        <is>
          <t>CH 0+651</t>
        </is>
      </c>
      <c r="F156" s="45" t="n">
        <v>46234</v>
      </c>
      <c r="G156" s="46" t="inlineStr">
        <is>
          <t>Eng. Ali Haddad</t>
        </is>
      </c>
      <c r="H156" s="44" t="inlineStr">
        <is>
          <t>Approved</t>
        </is>
      </c>
      <c r="I156" s="45" t="n">
        <v>46234</v>
      </c>
      <c r="J156" s="44">
        <f>IF(H156="Pending",TODAY()-B156,IF(I156="","",I156-B156))</f>
        <v/>
      </c>
      <c r="K156" s="46" t="inlineStr"/>
    </row>
    <row r="157">
      <c r="A157" s="41" t="inlineStr">
        <is>
          <t>CTP-WIR-SUR-0029</t>
        </is>
      </c>
      <c r="B157" s="42" t="n">
        <v>46232</v>
      </c>
      <c r="C157" s="43" t="inlineStr">
        <is>
          <t>Survey</t>
        </is>
      </c>
      <c r="D157" s="43" t="inlineStr">
        <is>
          <t>Settlement monitoring</t>
        </is>
      </c>
      <c r="E157" s="41" t="inlineStr">
        <is>
          <t>CH 1+055</t>
        </is>
      </c>
      <c r="F157" s="42" t="n">
        <v>46233</v>
      </c>
      <c r="G157" s="43" t="inlineStr">
        <is>
          <t>Eng. Mark Collins</t>
        </is>
      </c>
      <c r="H157" s="41" t="inlineStr">
        <is>
          <t>Approved with Comments</t>
        </is>
      </c>
      <c r="I157" s="42" t="n">
        <v>46236</v>
      </c>
      <c r="J157" s="41">
        <f>IF(H157="Pending",TODAY()-B157,IF(I157="","",I157-B157))</f>
        <v/>
      </c>
      <c r="K157" s="43" t="inlineStr">
        <is>
          <t>Minor comments to close</t>
        </is>
      </c>
    </row>
    <row r="158">
      <c r="A158" s="44" t="inlineStr">
        <is>
          <t>CTP-WIR-SUR-0030</t>
        </is>
      </c>
      <c r="B158" s="45" t="n">
        <v>46232</v>
      </c>
      <c r="C158" s="46" t="inlineStr">
        <is>
          <t>Survey</t>
        </is>
      </c>
      <c r="D158" s="46" t="inlineStr">
        <is>
          <t>Setting-out check</t>
        </is>
      </c>
      <c r="E158" s="44" t="inlineStr">
        <is>
          <t>CH 1+198</t>
        </is>
      </c>
      <c r="F158" s="45" t="n">
        <v>46232</v>
      </c>
      <c r="G158" s="46" t="inlineStr">
        <is>
          <t>Eng. Pedro Alves</t>
        </is>
      </c>
      <c r="H158" s="44" t="inlineStr">
        <is>
          <t>Approved with Comments</t>
        </is>
      </c>
      <c r="I158" s="45" t="n">
        <v>46235</v>
      </c>
      <c r="J158" s="44">
        <f>IF(H158="Pending",TODAY()-B158,IF(I158="","",I158-B158))</f>
        <v/>
      </c>
      <c r="K158" s="46" t="inlineStr">
        <is>
          <t>Minor comments to close</t>
        </is>
      </c>
    </row>
    <row r="159">
      <c r="A159" s="41" t="inlineStr">
        <is>
          <t>CTP-WIR-SUR-0031</t>
        </is>
      </c>
      <c r="B159" s="42" t="n">
        <v>46232</v>
      </c>
      <c r="C159" s="43" t="inlineStr">
        <is>
          <t>Survey</t>
        </is>
      </c>
      <c r="D159" s="43" t="inlineStr">
        <is>
          <t>As-built survey</t>
        </is>
      </c>
      <c r="E159" s="41" t="inlineStr">
        <is>
          <t>CH 3+067</t>
        </is>
      </c>
      <c r="F159" s="42" t="n">
        <v>46233</v>
      </c>
      <c r="G159" s="43" t="inlineStr">
        <is>
          <t>Eng. Hana Saleh</t>
        </is>
      </c>
      <c r="H159" s="41" t="inlineStr">
        <is>
          <t>Rejected</t>
        </is>
      </c>
      <c r="I159" s="42" t="n">
        <v>46234</v>
      </c>
      <c r="J159" s="41">
        <f>IF(H159="Pending",TODAY()-B159,IF(I159="","",I159-B159))</f>
        <v/>
      </c>
      <c r="K159" s="43" t="inlineStr">
        <is>
          <t>Re-inspection required</t>
        </is>
      </c>
    </row>
    <row r="160">
      <c r="A160" s="44" t="inlineStr">
        <is>
          <t>CTP-WIR-TUN-0034</t>
        </is>
      </c>
      <c r="B160" s="45" t="n">
        <v>46232</v>
      </c>
      <c r="C160" s="46" t="inlineStr">
        <is>
          <t>Tunnelling</t>
        </is>
      </c>
      <c r="D160" s="46" t="inlineStr">
        <is>
          <t>Tunnel invert cleaning</t>
        </is>
      </c>
      <c r="E160" s="44" t="inlineStr">
        <is>
          <t>CH 9+798</t>
        </is>
      </c>
      <c r="F160" s="45" t="n">
        <v>46234</v>
      </c>
      <c r="G160" s="46" t="inlineStr">
        <is>
          <t>Eng. Mark Collins</t>
        </is>
      </c>
      <c r="H160" s="44" t="inlineStr">
        <is>
          <t>Approved</t>
        </is>
      </c>
      <c r="I160" s="45" t="n">
        <v>46236</v>
      </c>
      <c r="J160" s="44">
        <f>IF(H160="Pending",TODAY()-B160,IF(I160="","",I160-B160))</f>
        <v/>
      </c>
      <c r="K160" s="46" t="inlineStr"/>
    </row>
    <row r="161">
      <c r="A161" s="41" t="inlineStr">
        <is>
          <t>CTP-WIR-CIV-0035</t>
        </is>
      </c>
      <c r="B161" s="42" t="n">
        <v>46233</v>
      </c>
      <c r="C161" s="43" t="inlineStr">
        <is>
          <t>Civil</t>
        </is>
      </c>
      <c r="D161" s="43" t="inlineStr">
        <is>
          <t>Formwork inspection</t>
        </is>
      </c>
      <c r="E161" s="41" t="inlineStr">
        <is>
          <t>CH 2+413</t>
        </is>
      </c>
      <c r="F161" s="42" t="n">
        <v>46234</v>
      </c>
      <c r="G161" s="43" t="inlineStr">
        <is>
          <t>Eng. Sara Nasser</t>
        </is>
      </c>
      <c r="H161" s="41" t="inlineStr">
        <is>
          <t>Approved</t>
        </is>
      </c>
      <c r="I161" s="42" t="n">
        <v>46235</v>
      </c>
      <c r="J161" s="41">
        <f>IF(H161="Pending",TODAY()-B161,IF(I161="","",I161-B161))</f>
        <v/>
      </c>
      <c r="K161" s="43" t="inlineStr"/>
    </row>
    <row r="162">
      <c r="A162" s="44" t="inlineStr">
        <is>
          <t>CTP-WIR-GEO-0029</t>
        </is>
      </c>
      <c r="B162" s="45" t="n">
        <v>46233</v>
      </c>
      <c r="C162" s="46" t="inlineStr">
        <is>
          <t>Geotechnical</t>
        </is>
      </c>
      <c r="D162" s="46" t="inlineStr">
        <is>
          <t>Ground anchor installation</t>
        </is>
      </c>
      <c r="E162" s="44" t="inlineStr">
        <is>
          <t>CH 4+926</t>
        </is>
      </c>
      <c r="F162" s="45" t="n">
        <v>46234</v>
      </c>
      <c r="G162" s="46" t="inlineStr">
        <is>
          <t>Eng. Mark Collins</t>
        </is>
      </c>
      <c r="H162" s="44" t="inlineStr">
        <is>
          <t>Approved</t>
        </is>
      </c>
      <c r="I162" s="45" t="n">
        <v>46237</v>
      </c>
      <c r="J162" s="44">
        <f>IF(H162="Pending",TODAY()-B162,IF(I162="","",I162-B162))</f>
        <v/>
      </c>
      <c r="K162" s="46" t="inlineStr"/>
    </row>
    <row r="163">
      <c r="A163" s="41" t="inlineStr">
        <is>
          <t>CTP-WIR-GEO-0030</t>
        </is>
      </c>
      <c r="B163" s="42" t="n">
        <v>46233</v>
      </c>
      <c r="C163" s="43" t="inlineStr">
        <is>
          <t>Geotechnical</t>
        </is>
      </c>
      <c r="D163" s="43" t="inlineStr">
        <is>
          <t>Rock bolt pull-out test</t>
        </is>
      </c>
      <c r="E163" s="41" t="inlineStr">
        <is>
          <t>CH 3+606</t>
        </is>
      </c>
      <c r="F163" s="42" t="n">
        <v>46234</v>
      </c>
      <c r="G163" s="43" t="inlineStr">
        <is>
          <t>Eng. Hana Saleh</t>
        </is>
      </c>
      <c r="H163" s="41" t="inlineStr">
        <is>
          <t>Approved</t>
        </is>
      </c>
      <c r="I163" s="42" t="n">
        <v>46236</v>
      </c>
      <c r="J163" s="41">
        <f>IF(H163="Pending",TODAY()-B163,IF(I163="","",I163-B163))</f>
        <v/>
      </c>
      <c r="K163" s="43" t="inlineStr"/>
    </row>
    <row r="164">
      <c r="A164" s="44" t="inlineStr">
        <is>
          <t>CTP-WIR-SUR-0032</t>
        </is>
      </c>
      <c r="B164" s="45" t="n">
        <v>46233</v>
      </c>
      <c r="C164" s="46" t="inlineStr">
        <is>
          <t>Survey</t>
        </is>
      </c>
      <c r="D164" s="46" t="inlineStr">
        <is>
          <t>Setting-out check</t>
        </is>
      </c>
      <c r="E164" s="44" t="inlineStr">
        <is>
          <t>CH 7+235</t>
        </is>
      </c>
      <c r="F164" s="45" t="n">
        <v>46234</v>
      </c>
      <c r="G164" s="46" t="inlineStr">
        <is>
          <t>Eng. Hana Saleh</t>
        </is>
      </c>
      <c r="H164" s="44" t="inlineStr">
        <is>
          <t>Approved</t>
        </is>
      </c>
      <c r="I164" s="45" t="n">
        <v>46234</v>
      </c>
      <c r="J164" s="44">
        <f>IF(H164="Pending",TODAY()-B164,IF(I164="","",I164-B164))</f>
        <v/>
      </c>
      <c r="K164" s="46" t="inlineStr"/>
    </row>
    <row r="165">
      <c r="A165" s="41" t="inlineStr">
        <is>
          <t>CTP-WIR-SUR-0033</t>
        </is>
      </c>
      <c r="B165" s="42" t="n">
        <v>46233</v>
      </c>
      <c r="C165" s="43" t="inlineStr">
        <is>
          <t>Survey</t>
        </is>
      </c>
      <c r="D165" s="43" t="inlineStr">
        <is>
          <t>As-built survey</t>
        </is>
      </c>
      <c r="E165" s="41" t="inlineStr">
        <is>
          <t>CH 4+317</t>
        </is>
      </c>
      <c r="F165" s="42" t="n">
        <v>46233</v>
      </c>
      <c r="G165" s="43" t="inlineStr">
        <is>
          <t>Eng. Ali Haddad</t>
        </is>
      </c>
      <c r="H165" s="41" t="inlineStr">
        <is>
          <t>Approved</t>
        </is>
      </c>
      <c r="I165" s="42" t="n">
        <v>46236</v>
      </c>
      <c r="J165" s="41">
        <f>IF(H165="Pending",TODAY()-B165,IF(I165="","",I165-B165))</f>
        <v/>
      </c>
      <c r="K165" s="43" t="inlineStr"/>
    </row>
    <row r="166">
      <c r="A166" s="44" t="inlineStr">
        <is>
          <t>CTP-WIR-SUR-0034</t>
        </is>
      </c>
      <c r="B166" s="45" t="n">
        <v>46233</v>
      </c>
      <c r="C166" s="46" t="inlineStr">
        <is>
          <t>Survey</t>
        </is>
      </c>
      <c r="D166" s="46" t="inlineStr">
        <is>
          <t>Settlement monitoring</t>
        </is>
      </c>
      <c r="E166" s="44" t="inlineStr">
        <is>
          <t>CH 9+640</t>
        </is>
      </c>
      <c r="F166" s="45" t="n">
        <v>46233</v>
      </c>
      <c r="G166" s="46" t="inlineStr">
        <is>
          <t>Eng. Pedro Alves</t>
        </is>
      </c>
      <c r="H166" s="44" t="inlineStr">
        <is>
          <t>Approved</t>
        </is>
      </c>
      <c r="I166" s="45" t="n">
        <v>46234</v>
      </c>
      <c r="J166" s="44">
        <f>IF(H166="Pending",TODAY()-B166,IF(I166="","",I166-B166))</f>
        <v/>
      </c>
      <c r="K166" s="46" t="inlineStr"/>
    </row>
    <row r="167">
      <c r="A167" s="41" t="inlineStr">
        <is>
          <t>CTP-WIR-TUN-0035</t>
        </is>
      </c>
      <c r="B167" s="42" t="n">
        <v>46233</v>
      </c>
      <c r="C167" s="43" t="inlineStr">
        <is>
          <t>Tunnelling</t>
        </is>
      </c>
      <c r="D167" s="43" t="inlineStr">
        <is>
          <t>Segment ring build</t>
        </is>
      </c>
      <c r="E167" s="41" t="inlineStr">
        <is>
          <t>CH 1+786</t>
        </is>
      </c>
      <c r="F167" s="42" t="n">
        <v>46235</v>
      </c>
      <c r="G167" s="43" t="inlineStr">
        <is>
          <t>Eng. Sara Nasser</t>
        </is>
      </c>
      <c r="H167" s="41" t="inlineStr">
        <is>
          <t>Approved</t>
        </is>
      </c>
      <c r="I167" s="42" t="n">
        <v>46236</v>
      </c>
      <c r="J167" s="41">
        <f>IF(H167="Pending",TODAY()-B167,IF(I167="","",I167-B167))</f>
        <v/>
      </c>
      <c r="K167" s="43" t="inlineStr"/>
    </row>
    <row r="168">
      <c r="A168" s="44" t="inlineStr">
        <is>
          <t>CTP-WIR-TUN-0036</t>
        </is>
      </c>
      <c r="B168" s="45" t="n">
        <v>46233</v>
      </c>
      <c r="C168" s="46" t="inlineStr">
        <is>
          <t>Tunnelling</t>
        </is>
      </c>
      <c r="D168" s="46" t="inlineStr">
        <is>
          <t>Tunnel invert cleaning</t>
        </is>
      </c>
      <c r="E168" s="44" t="inlineStr">
        <is>
          <t>CH 1+258</t>
        </is>
      </c>
      <c r="F168" s="45" t="n">
        <v>46235</v>
      </c>
      <c r="G168" s="46" t="inlineStr">
        <is>
          <t>Eng. Sara Nasser</t>
        </is>
      </c>
      <c r="H168" s="44" t="inlineStr">
        <is>
          <t>Approved</t>
        </is>
      </c>
      <c r="I168" s="45" t="n">
        <v>46238</v>
      </c>
      <c r="J168" s="44">
        <f>IF(H168="Pending",TODAY()-B168,IF(I168="","",I168-B168))</f>
        <v/>
      </c>
      <c r="K168" s="46" t="inlineStr"/>
    </row>
    <row r="169">
      <c r="A169" s="41" t="inlineStr">
        <is>
          <t>CTP-WIR-GEO-0031</t>
        </is>
      </c>
      <c r="B169" s="42" t="n">
        <v>46235</v>
      </c>
      <c r="C169" s="43" t="inlineStr">
        <is>
          <t>Geotechnical</t>
        </is>
      </c>
      <c r="D169" s="43" t="inlineStr">
        <is>
          <t>Borehole drilling &amp; logging</t>
        </is>
      </c>
      <c r="E169" s="41" t="inlineStr">
        <is>
          <t>CH 9+668</t>
        </is>
      </c>
      <c r="F169" s="42" t="n">
        <v>46235</v>
      </c>
      <c r="G169" s="43" t="inlineStr">
        <is>
          <t>Eng. Ali Haddad</t>
        </is>
      </c>
      <c r="H169" s="41" t="inlineStr">
        <is>
          <t>Approved</t>
        </is>
      </c>
      <c r="I169" s="42" t="n">
        <v>46236</v>
      </c>
      <c r="J169" s="41">
        <f>IF(H169="Pending",TODAY()-B169,IF(I169="","",I169-B169))</f>
        <v/>
      </c>
      <c r="K169" s="43" t="inlineStr"/>
    </row>
    <row r="170">
      <c r="A170" s="44" t="inlineStr">
        <is>
          <t>CTP-WIR-MEP-0030</t>
        </is>
      </c>
      <c r="B170" s="45" t="n">
        <v>46235</v>
      </c>
      <c r="C170" s="46" t="inlineStr">
        <is>
          <t>MEP</t>
        </is>
      </c>
      <c r="D170" s="46" t="inlineStr">
        <is>
          <t>Ventilation duct alignment</t>
        </is>
      </c>
      <c r="E170" s="44" t="inlineStr">
        <is>
          <t>CH 7+162</t>
        </is>
      </c>
      <c r="F170" s="45" t="n">
        <v>46236</v>
      </c>
      <c r="G170" s="46" t="inlineStr">
        <is>
          <t>Eng. Ali Haddad</t>
        </is>
      </c>
      <c r="H170" s="44" t="inlineStr">
        <is>
          <t>Approved</t>
        </is>
      </c>
      <c r="I170" s="45" t="n">
        <v>46239</v>
      </c>
      <c r="J170" s="44">
        <f>IF(H170="Pending",TODAY()-B170,IF(I170="","",I170-B170))</f>
        <v/>
      </c>
      <c r="K170" s="46" t="inlineStr"/>
    </row>
    <row r="171">
      <c r="A171" s="41" t="inlineStr">
        <is>
          <t>CTP-WIR-SUR-0035</t>
        </is>
      </c>
      <c r="B171" s="42" t="n">
        <v>46235</v>
      </c>
      <c r="C171" s="43" t="inlineStr">
        <is>
          <t>Survey</t>
        </is>
      </c>
      <c r="D171" s="43" t="inlineStr">
        <is>
          <t>Setting-out check</t>
        </is>
      </c>
      <c r="E171" s="41" t="inlineStr">
        <is>
          <t>CH 1+065</t>
        </is>
      </c>
      <c r="F171" s="42" t="n">
        <v>46236</v>
      </c>
      <c r="G171" s="43" t="inlineStr">
        <is>
          <t>Eng. Sara Nasser</t>
        </is>
      </c>
      <c r="H171" s="41" t="inlineStr">
        <is>
          <t>Approved with Comments</t>
        </is>
      </c>
      <c r="I171" s="42" t="n">
        <v>46238</v>
      </c>
      <c r="J171" s="41">
        <f>IF(H171="Pending",TODAY()-B171,IF(I171="","",I171-B171))</f>
        <v/>
      </c>
      <c r="K171" s="43" t="inlineStr">
        <is>
          <t>Minor comments to close</t>
        </is>
      </c>
    </row>
    <row r="172">
      <c r="A172" s="44" t="inlineStr">
        <is>
          <t>CTP-WIR-SUR-0036</t>
        </is>
      </c>
      <c r="B172" s="45" t="n">
        <v>46235</v>
      </c>
      <c r="C172" s="46" t="inlineStr">
        <is>
          <t>Survey</t>
        </is>
      </c>
      <c r="D172" s="46" t="inlineStr">
        <is>
          <t>As-built survey</t>
        </is>
      </c>
      <c r="E172" s="44" t="inlineStr">
        <is>
          <t>CH 0+660</t>
        </is>
      </c>
      <c r="F172" s="45" t="n">
        <v>46237</v>
      </c>
      <c r="G172" s="46" t="inlineStr">
        <is>
          <t>Eng. Hana Saleh</t>
        </is>
      </c>
      <c r="H172" s="44" t="inlineStr">
        <is>
          <t>Approved with Comments</t>
        </is>
      </c>
      <c r="I172" s="45" t="n">
        <v>46237</v>
      </c>
      <c r="J172" s="44">
        <f>IF(H172="Pending",TODAY()-B172,IF(I172="","",I172-B172))</f>
        <v/>
      </c>
      <c r="K172" s="46" t="inlineStr">
        <is>
          <t>Minor comments to close</t>
        </is>
      </c>
    </row>
    <row r="173">
      <c r="A173" s="41" t="inlineStr">
        <is>
          <t>CTP-WIR-SUR-0037</t>
        </is>
      </c>
      <c r="B173" s="42" t="n">
        <v>46235</v>
      </c>
      <c r="C173" s="43" t="inlineStr">
        <is>
          <t>Survey</t>
        </is>
      </c>
      <c r="D173" s="43" t="inlineStr">
        <is>
          <t>Setting-out check</t>
        </is>
      </c>
      <c r="E173" s="41" t="inlineStr">
        <is>
          <t>CH 7+254</t>
        </is>
      </c>
      <c r="F173" s="42" t="n">
        <v>46237</v>
      </c>
      <c r="G173" s="43" t="inlineStr">
        <is>
          <t>Eng. Ali Haddad</t>
        </is>
      </c>
      <c r="H173" s="41" t="inlineStr">
        <is>
          <t>Approved</t>
        </is>
      </c>
      <c r="I173" s="42" t="n">
        <v>46240</v>
      </c>
      <c r="J173" s="41">
        <f>IF(H173="Pending",TODAY()-B173,IF(I173="","",I173-B173))</f>
        <v/>
      </c>
      <c r="K173" s="43" t="inlineStr"/>
    </row>
    <row r="174">
      <c r="A174" s="44" t="inlineStr">
        <is>
          <t>CTP-WIR-TUN-0037</t>
        </is>
      </c>
      <c r="B174" s="45" t="n">
        <v>46235</v>
      </c>
      <c r="C174" s="46" t="inlineStr">
        <is>
          <t>Tunnelling</t>
        </is>
      </c>
      <c r="D174" s="46" t="inlineStr">
        <is>
          <t>Tunnel invert cleaning</t>
        </is>
      </c>
      <c r="E174" s="44" t="inlineStr">
        <is>
          <t>CH 8+229</t>
        </is>
      </c>
      <c r="F174" s="45" t="n">
        <v>46236</v>
      </c>
      <c r="G174" s="46" t="inlineStr">
        <is>
          <t>Eng. Hana Saleh</t>
        </is>
      </c>
      <c r="H174" s="44" t="inlineStr">
        <is>
          <t>Approved</t>
        </is>
      </c>
      <c r="I174" s="45" t="n">
        <v>46237</v>
      </c>
      <c r="J174" s="44">
        <f>IF(H174="Pending",TODAY()-B174,IF(I174="","",I174-B174))</f>
        <v/>
      </c>
      <c r="K174" s="46" t="inlineStr"/>
    </row>
    <row r="175">
      <c r="A175" s="41" t="inlineStr">
        <is>
          <t>CTP-WIR-CIV-0036</t>
        </is>
      </c>
      <c r="B175" s="42" t="n">
        <v>46236</v>
      </c>
      <c r="C175" s="43" t="inlineStr">
        <is>
          <t>Civil</t>
        </is>
      </c>
      <c r="D175" s="43" t="inlineStr">
        <is>
          <t>Rebar inspection before concrete</t>
        </is>
      </c>
      <c r="E175" s="41" t="inlineStr">
        <is>
          <t>CH 0+933</t>
        </is>
      </c>
      <c r="F175" s="42" t="n">
        <v>46238</v>
      </c>
      <c r="G175" s="43" t="inlineStr">
        <is>
          <t>Eng. Ali Haddad</t>
        </is>
      </c>
      <c r="H175" s="41" t="inlineStr">
        <is>
          <t>Approved</t>
        </is>
      </c>
      <c r="I175" s="42" t="n">
        <v>46239</v>
      </c>
      <c r="J175" s="41">
        <f>IF(H175="Pending",TODAY()-B175,IF(I175="","",I175-B175))</f>
        <v/>
      </c>
      <c r="K175" s="43" t="inlineStr"/>
    </row>
    <row r="176">
      <c r="A176" s="44" t="inlineStr">
        <is>
          <t>CTP-WIR-SUR-0038</t>
        </is>
      </c>
      <c r="B176" s="45" t="n">
        <v>46236</v>
      </c>
      <c r="C176" s="46" t="inlineStr">
        <is>
          <t>Survey</t>
        </is>
      </c>
      <c r="D176" s="46" t="inlineStr">
        <is>
          <t>Settlement monitoring</t>
        </is>
      </c>
      <c r="E176" s="44" t="inlineStr">
        <is>
          <t>CH 8+006</t>
        </is>
      </c>
      <c r="F176" s="45" t="n">
        <v>46237</v>
      </c>
      <c r="G176" s="46" t="inlineStr">
        <is>
          <t>Eng. Pedro Alves</t>
        </is>
      </c>
      <c r="H176" s="44" t="inlineStr">
        <is>
          <t>Approved</t>
        </is>
      </c>
      <c r="I176" s="45" t="n">
        <v>46239</v>
      </c>
      <c r="J176" s="44">
        <f>IF(H176="Pending",TODAY()-B176,IF(I176="","",I176-B176))</f>
        <v/>
      </c>
      <c r="K176" s="46" t="inlineStr"/>
    </row>
    <row r="177">
      <c r="A177" s="41" t="inlineStr">
        <is>
          <t>CTP-WIR-TUN-0038</t>
        </is>
      </c>
      <c r="B177" s="42" t="n">
        <v>46236</v>
      </c>
      <c r="C177" s="43" t="inlineStr">
        <is>
          <t>Tunnelling</t>
        </is>
      </c>
      <c r="D177" s="43" t="inlineStr">
        <is>
          <t>Tunnel invert cleaning</t>
        </is>
      </c>
      <c r="E177" s="41" t="inlineStr">
        <is>
          <t>CH 8+622</t>
        </is>
      </c>
      <c r="F177" s="42" t="n">
        <v>46237</v>
      </c>
      <c r="G177" s="43" t="inlineStr">
        <is>
          <t>Eng. Hana Saleh</t>
        </is>
      </c>
      <c r="H177" s="41" t="inlineStr">
        <is>
          <t>Approved</t>
        </is>
      </c>
      <c r="I177" s="42" t="n">
        <v>46238</v>
      </c>
      <c r="J177" s="41">
        <f>IF(H177="Pending",TODAY()-B177,IF(I177="","",I177-B177))</f>
        <v/>
      </c>
      <c r="K177" s="43" t="inlineStr"/>
    </row>
    <row r="178">
      <c r="A178" s="44" t="inlineStr">
        <is>
          <t>CTP-WIR-GEO-0032</t>
        </is>
      </c>
      <c r="B178" s="45" t="n">
        <v>46237</v>
      </c>
      <c r="C178" s="46" t="inlineStr">
        <is>
          <t>Geotechnical</t>
        </is>
      </c>
      <c r="D178" s="46" t="inlineStr">
        <is>
          <t>Borehole drilling &amp; logging</t>
        </is>
      </c>
      <c r="E178" s="44" t="inlineStr">
        <is>
          <t>CH 2+231</t>
        </is>
      </c>
      <c r="F178" s="45" t="n">
        <v>46239</v>
      </c>
      <c r="G178" s="46" t="inlineStr">
        <is>
          <t>Eng. Sara Nasser</t>
        </is>
      </c>
      <c r="H178" s="44" t="inlineStr">
        <is>
          <t>Approved</t>
        </is>
      </c>
      <c r="I178" s="45" t="n">
        <v>46241</v>
      </c>
      <c r="J178" s="44">
        <f>IF(H178="Pending",TODAY()-B178,IF(I178="","",I178-B178))</f>
        <v/>
      </c>
      <c r="K178" s="46" t="inlineStr"/>
    </row>
    <row r="179">
      <c r="A179" s="41" t="inlineStr">
        <is>
          <t>CTP-WIR-GEO-0033</t>
        </is>
      </c>
      <c r="B179" s="42" t="n">
        <v>46237</v>
      </c>
      <c r="C179" s="43" t="inlineStr">
        <is>
          <t>Geotechnical</t>
        </is>
      </c>
      <c r="D179" s="43" t="inlineStr">
        <is>
          <t>Rock bolt pull-out test</t>
        </is>
      </c>
      <c r="E179" s="41" t="inlineStr">
        <is>
          <t>CH 5+912</t>
        </is>
      </c>
      <c r="F179" s="42" t="n">
        <v>46238</v>
      </c>
      <c r="G179" s="43" t="inlineStr">
        <is>
          <t>Eng. Ali Haddad</t>
        </is>
      </c>
      <c r="H179" s="41" t="inlineStr">
        <is>
          <t>Approved</t>
        </is>
      </c>
      <c r="I179" s="42" t="n">
        <v>46238</v>
      </c>
      <c r="J179" s="41">
        <f>IF(H179="Pending",TODAY()-B179,IF(I179="","",I179-B179))</f>
        <v/>
      </c>
      <c r="K179" s="43" t="inlineStr"/>
    </row>
    <row r="180">
      <c r="A180" s="44" t="inlineStr">
        <is>
          <t>CTP-WIR-MEP-0031</t>
        </is>
      </c>
      <c r="B180" s="45" t="n">
        <v>46237</v>
      </c>
      <c r="C180" s="46" t="inlineStr">
        <is>
          <t>MEP</t>
        </is>
      </c>
      <c r="D180" s="46" t="inlineStr">
        <is>
          <t>Ventilation duct alignment</t>
        </is>
      </c>
      <c r="E180" s="44" t="inlineStr">
        <is>
          <t>CH 3+967</t>
        </is>
      </c>
      <c r="F180" s="45" t="n">
        <v>46237</v>
      </c>
      <c r="G180" s="46" t="inlineStr">
        <is>
          <t>Eng. Sara Nasser</t>
        </is>
      </c>
      <c r="H180" s="44" t="inlineStr">
        <is>
          <t>Approved</t>
        </is>
      </c>
      <c r="I180" s="45" t="n">
        <v>46238</v>
      </c>
      <c r="J180" s="44">
        <f>IF(H180="Pending",TODAY()-B180,IF(I180="","",I180-B180))</f>
        <v/>
      </c>
      <c r="K180" s="46" t="inlineStr"/>
    </row>
    <row r="181">
      <c r="A181" s="41" t="inlineStr">
        <is>
          <t>CTP-WIR-MEP-0032</t>
        </is>
      </c>
      <c r="B181" s="42" t="n">
        <v>46237</v>
      </c>
      <c r="C181" s="43" t="inlineStr">
        <is>
          <t>MEP</t>
        </is>
      </c>
      <c r="D181" s="43" t="inlineStr">
        <is>
          <t>Lighting installation</t>
        </is>
      </c>
      <c r="E181" s="41" t="inlineStr">
        <is>
          <t>CH 9+244</t>
        </is>
      </c>
      <c r="F181" s="42" t="n">
        <v>46238</v>
      </c>
      <c r="G181" s="43" t="inlineStr">
        <is>
          <t>Eng. Hana Saleh</t>
        </is>
      </c>
      <c r="H181" s="41" t="inlineStr">
        <is>
          <t>Approved with Comments</t>
        </is>
      </c>
      <c r="I181" s="42" t="n">
        <v>46239</v>
      </c>
      <c r="J181" s="41">
        <f>IF(H181="Pending",TODAY()-B181,IF(I181="","",I181-B181))</f>
        <v/>
      </c>
      <c r="K181" s="43" t="inlineStr">
        <is>
          <t>Minor comments to close</t>
        </is>
      </c>
    </row>
    <row r="182">
      <c r="A182" s="44" t="inlineStr">
        <is>
          <t>CTP-WIR-SUR-0039</t>
        </is>
      </c>
      <c r="B182" s="45" t="n">
        <v>46237</v>
      </c>
      <c r="C182" s="46" t="inlineStr">
        <is>
          <t>Survey</t>
        </is>
      </c>
      <c r="D182" s="46" t="inlineStr">
        <is>
          <t>As-built survey</t>
        </is>
      </c>
      <c r="E182" s="44" t="inlineStr">
        <is>
          <t>CH 3+584</t>
        </is>
      </c>
      <c r="F182" s="45" t="n">
        <v>46237</v>
      </c>
      <c r="G182" s="46" t="inlineStr">
        <is>
          <t>Eng. Mark Collins</t>
        </is>
      </c>
      <c r="H182" s="44" t="inlineStr">
        <is>
          <t>Approved with Comments</t>
        </is>
      </c>
      <c r="I182" s="45" t="n">
        <v>46239</v>
      </c>
      <c r="J182" s="44">
        <f>IF(H182="Pending",TODAY()-B182,IF(I182="","",I182-B182))</f>
        <v/>
      </c>
      <c r="K182" s="46" t="inlineStr">
        <is>
          <t>Minor comments to close</t>
        </is>
      </c>
    </row>
    <row r="183">
      <c r="A183" s="41" t="inlineStr">
        <is>
          <t>CTP-WIR-TUN-0039</t>
        </is>
      </c>
      <c r="B183" s="42" t="n">
        <v>46237</v>
      </c>
      <c r="C183" s="43" t="inlineStr">
        <is>
          <t>Tunnelling</t>
        </is>
      </c>
      <c r="D183" s="43" t="inlineStr">
        <is>
          <t>TBM cutter change</t>
        </is>
      </c>
      <c r="E183" s="41" t="inlineStr">
        <is>
          <t>CH 4+302</t>
        </is>
      </c>
      <c r="F183" s="42" t="n">
        <v>46239</v>
      </c>
      <c r="G183" s="43" t="inlineStr">
        <is>
          <t>Eng. Ali Haddad</t>
        </is>
      </c>
      <c r="H183" s="41" t="inlineStr">
        <is>
          <t>Approved</t>
        </is>
      </c>
      <c r="I183" s="42" t="n">
        <v>46242</v>
      </c>
      <c r="J183" s="41">
        <f>IF(H183="Pending",TODAY()-B183,IF(I183="","",I183-B183))</f>
        <v/>
      </c>
      <c r="K183" s="43" t="inlineStr"/>
    </row>
    <row r="184">
      <c r="A184" s="44" t="inlineStr">
        <is>
          <t>CTP-WIR-GEO-0034</t>
        </is>
      </c>
      <c r="B184" s="45" t="n">
        <v>46238</v>
      </c>
      <c r="C184" s="46" t="inlineStr">
        <is>
          <t>Geotechnical</t>
        </is>
      </c>
      <c r="D184" s="46" t="inlineStr">
        <is>
          <t>Borehole drilling &amp; logging</t>
        </is>
      </c>
      <c r="E184" s="44" t="inlineStr">
        <is>
          <t>CH 2+033</t>
        </is>
      </c>
      <c r="F184" s="45" t="n">
        <v>46238</v>
      </c>
      <c r="G184" s="46" t="inlineStr">
        <is>
          <t>Eng. Ali Haddad</t>
        </is>
      </c>
      <c r="H184" s="44" t="inlineStr">
        <is>
          <t>Approved</t>
        </is>
      </c>
      <c r="I184" s="45" t="n">
        <v>46239</v>
      </c>
      <c r="J184" s="44">
        <f>IF(H184="Pending",TODAY()-B184,IF(I184="","",I184-B184))</f>
        <v/>
      </c>
      <c r="K184" s="46" t="inlineStr"/>
    </row>
    <row r="185">
      <c r="A185" s="41" t="inlineStr">
        <is>
          <t>CTP-WIR-TUN-0040</t>
        </is>
      </c>
      <c r="B185" s="42" t="n">
        <v>46238</v>
      </c>
      <c r="C185" s="43" t="inlineStr">
        <is>
          <t>Tunnelling</t>
        </is>
      </c>
      <c r="D185" s="43" t="inlineStr">
        <is>
          <t>TBM cutter change</t>
        </is>
      </c>
      <c r="E185" s="41" t="inlineStr">
        <is>
          <t>CH 0+042</t>
        </is>
      </c>
      <c r="F185" s="42" t="n">
        <v>46239</v>
      </c>
      <c r="G185" s="43" t="inlineStr">
        <is>
          <t>Eng. Ali Haddad</t>
        </is>
      </c>
      <c r="H185" s="41" t="inlineStr">
        <is>
          <t>Rejected</t>
        </is>
      </c>
      <c r="I185" s="42" t="n">
        <v>46239</v>
      </c>
      <c r="J185" s="41">
        <f>IF(H185="Pending",TODAY()-B185,IF(I185="","",I185-B185))</f>
        <v/>
      </c>
      <c r="K185" s="43" t="inlineStr">
        <is>
          <t>Re-inspection required</t>
        </is>
      </c>
    </row>
    <row r="186">
      <c r="A186" s="44" t="inlineStr">
        <is>
          <t>CTP-WIR-TUN-0041</t>
        </is>
      </c>
      <c r="B186" s="45" t="n">
        <v>46238</v>
      </c>
      <c r="C186" s="46" t="inlineStr">
        <is>
          <t>Tunnelling</t>
        </is>
      </c>
      <c r="D186" s="46" t="inlineStr">
        <is>
          <t>Annulus grouting</t>
        </is>
      </c>
      <c r="E186" s="44" t="inlineStr">
        <is>
          <t>CH 9+780</t>
        </is>
      </c>
      <c r="F186" s="45" t="n">
        <v>46238</v>
      </c>
      <c r="G186" s="46" t="inlineStr">
        <is>
          <t>Eng. Mark Collins</t>
        </is>
      </c>
      <c r="H186" s="44" t="inlineStr">
        <is>
          <t>Approved with Comments</t>
        </is>
      </c>
      <c r="I186" s="45" t="n">
        <v>46238</v>
      </c>
      <c r="J186" s="44">
        <f>IF(H186="Pending",TODAY()-B186,IF(I186="","",I186-B186))</f>
        <v/>
      </c>
      <c r="K186" s="46" t="inlineStr">
        <is>
          <t>Minor comments to close</t>
        </is>
      </c>
    </row>
    <row r="187">
      <c r="A187" s="41" t="inlineStr">
        <is>
          <t>CTP-WIR-TUN-0042</t>
        </is>
      </c>
      <c r="B187" s="42" t="n">
        <v>46238</v>
      </c>
      <c r="C187" s="43" t="inlineStr">
        <is>
          <t>Tunnelling</t>
        </is>
      </c>
      <c r="D187" s="43" t="inlineStr">
        <is>
          <t>TBM cutter change</t>
        </is>
      </c>
      <c r="E187" s="41" t="inlineStr">
        <is>
          <t>CH 1+252</t>
        </is>
      </c>
      <c r="F187" s="42" t="n">
        <v>46238</v>
      </c>
      <c r="G187" s="43" t="inlineStr">
        <is>
          <t>Eng. Mark Collins</t>
        </is>
      </c>
      <c r="H187" s="41" t="inlineStr">
        <is>
          <t>Approved with Comments</t>
        </is>
      </c>
      <c r="I187" s="42" t="n">
        <v>46240</v>
      </c>
      <c r="J187" s="41">
        <f>IF(H187="Pending",TODAY()-B187,IF(I187="","",I187-B187))</f>
        <v/>
      </c>
      <c r="K187" s="43" t="inlineStr">
        <is>
          <t>Minor comments to close</t>
        </is>
      </c>
    </row>
    <row r="188">
      <c r="A188" s="44" t="inlineStr">
        <is>
          <t>CTP-WIR-GEO-0035</t>
        </is>
      </c>
      <c r="B188" s="45" t="n">
        <v>46239</v>
      </c>
      <c r="C188" s="46" t="inlineStr">
        <is>
          <t>Geotechnical</t>
        </is>
      </c>
      <c r="D188" s="46" t="inlineStr">
        <is>
          <t>Grout injection</t>
        </is>
      </c>
      <c r="E188" s="44" t="inlineStr">
        <is>
          <t>CH 7+102</t>
        </is>
      </c>
      <c r="F188" s="45" t="n">
        <v>46239</v>
      </c>
      <c r="G188" s="46" t="inlineStr">
        <is>
          <t>Eng. Ali Haddad</t>
        </is>
      </c>
      <c r="H188" s="44" t="inlineStr">
        <is>
          <t>Approved with Comments</t>
        </is>
      </c>
      <c r="I188" s="45" t="n">
        <v>46240</v>
      </c>
      <c r="J188" s="44">
        <f>IF(H188="Pending",TODAY()-B188,IF(I188="","",I188-B188))</f>
        <v/>
      </c>
      <c r="K188" s="46" t="inlineStr">
        <is>
          <t>Minor comments to close</t>
        </is>
      </c>
    </row>
    <row r="189">
      <c r="A189" s="41" t="inlineStr">
        <is>
          <t>CTP-WIR-GEO-0036</t>
        </is>
      </c>
      <c r="B189" s="42" t="n">
        <v>46239</v>
      </c>
      <c r="C189" s="43" t="inlineStr">
        <is>
          <t>Geotechnical</t>
        </is>
      </c>
      <c r="D189" s="43" t="inlineStr">
        <is>
          <t>Borehole drilling &amp; logging</t>
        </is>
      </c>
      <c r="E189" s="41" t="inlineStr">
        <is>
          <t>CH 6+267</t>
        </is>
      </c>
      <c r="F189" s="42" t="n">
        <v>46240</v>
      </c>
      <c r="G189" s="43" t="inlineStr">
        <is>
          <t>Eng. Sara Nasser</t>
        </is>
      </c>
      <c r="H189" s="41" t="inlineStr">
        <is>
          <t>Approved</t>
        </is>
      </c>
      <c r="I189" s="42" t="n">
        <v>46241</v>
      </c>
      <c r="J189" s="41">
        <f>IF(H189="Pending",TODAY()-B189,IF(I189="","",I189-B189))</f>
        <v/>
      </c>
      <c r="K189" s="43" t="inlineStr"/>
    </row>
    <row r="190">
      <c r="A190" s="44" t="inlineStr">
        <is>
          <t>CTP-WIR-MEP-0033</t>
        </is>
      </c>
      <c r="B190" s="45" t="n">
        <v>46239</v>
      </c>
      <c r="C190" s="46" t="inlineStr">
        <is>
          <t>MEP</t>
        </is>
      </c>
      <c r="D190" s="46" t="inlineStr">
        <is>
          <t>Lighting installation</t>
        </is>
      </c>
      <c r="E190" s="44" t="inlineStr">
        <is>
          <t>CH 1+355</t>
        </is>
      </c>
      <c r="F190" s="45" t="n">
        <v>46241</v>
      </c>
      <c r="G190" s="46" t="inlineStr">
        <is>
          <t>Eng. Ali Haddad</t>
        </is>
      </c>
      <c r="H190" s="44" t="inlineStr">
        <is>
          <t>Approved</t>
        </is>
      </c>
      <c r="I190" s="45" t="n">
        <v>46244</v>
      </c>
      <c r="J190" s="44">
        <f>IF(H190="Pending",TODAY()-B190,IF(I190="","",I190-B190))</f>
        <v/>
      </c>
      <c r="K190" s="46" t="inlineStr"/>
    </row>
    <row r="191">
      <c r="A191" s="41" t="inlineStr">
        <is>
          <t>CTP-WIR-MEP-0034</t>
        </is>
      </c>
      <c r="B191" s="42" t="n">
        <v>46239</v>
      </c>
      <c r="C191" s="43" t="inlineStr">
        <is>
          <t>MEP</t>
        </is>
      </c>
      <c r="D191" s="43" t="inlineStr">
        <is>
          <t>Pump station testing</t>
        </is>
      </c>
      <c r="E191" s="41" t="inlineStr">
        <is>
          <t>CH 9+839</t>
        </is>
      </c>
      <c r="F191" s="42" t="n">
        <v>46240</v>
      </c>
      <c r="G191" s="43" t="inlineStr">
        <is>
          <t>Eng. Mark Collins</t>
        </is>
      </c>
      <c r="H191" s="41" t="inlineStr">
        <is>
          <t>Approved with Comments</t>
        </is>
      </c>
      <c r="I191" s="42" t="n">
        <v>46240</v>
      </c>
      <c r="J191" s="41">
        <f>IF(H191="Pending",TODAY()-B191,IF(I191="","",I191-B191))</f>
        <v/>
      </c>
      <c r="K191" s="43" t="inlineStr">
        <is>
          <t>Minor comments to close</t>
        </is>
      </c>
    </row>
    <row r="192">
      <c r="A192" s="44" t="inlineStr">
        <is>
          <t>CTP-WIR-SUR-0040</t>
        </is>
      </c>
      <c r="B192" s="45" t="n">
        <v>46239</v>
      </c>
      <c r="C192" s="46" t="inlineStr">
        <is>
          <t>Survey</t>
        </is>
      </c>
      <c r="D192" s="46" t="inlineStr">
        <is>
          <t>Settlement monitoring</t>
        </is>
      </c>
      <c r="E192" s="44" t="inlineStr">
        <is>
          <t>CH 0+356</t>
        </is>
      </c>
      <c r="F192" s="45" t="n">
        <v>46240</v>
      </c>
      <c r="G192" s="46" t="inlineStr">
        <is>
          <t>Eng. Ali Haddad</t>
        </is>
      </c>
      <c r="H192" s="44" t="inlineStr">
        <is>
          <t>Approved</t>
        </is>
      </c>
      <c r="I192" s="45" t="n">
        <v>46240</v>
      </c>
      <c r="J192" s="44">
        <f>IF(H192="Pending",TODAY()-B192,IF(I192="","",I192-B192))</f>
        <v/>
      </c>
      <c r="K192" s="46" t="inlineStr"/>
    </row>
    <row r="193">
      <c r="A193" s="41" t="inlineStr">
        <is>
          <t>CTP-WIR-TUN-0043</t>
        </is>
      </c>
      <c r="B193" s="42" t="n">
        <v>46239</v>
      </c>
      <c r="C193" s="43" t="inlineStr">
        <is>
          <t>Tunnelling</t>
        </is>
      </c>
      <c r="D193" s="43" t="inlineStr">
        <is>
          <t>Annulus grouting</t>
        </is>
      </c>
      <c r="E193" s="41" t="inlineStr">
        <is>
          <t>CH 8+487</t>
        </is>
      </c>
      <c r="F193" s="42" t="n">
        <v>46240</v>
      </c>
      <c r="G193" s="43" t="inlineStr">
        <is>
          <t>Eng. Hana Saleh</t>
        </is>
      </c>
      <c r="H193" s="41" t="inlineStr">
        <is>
          <t>Rejected</t>
        </is>
      </c>
      <c r="I193" s="42" t="n">
        <v>46243</v>
      </c>
      <c r="J193" s="41">
        <f>IF(H193="Pending",TODAY()-B193,IF(I193="","",I193-B193))</f>
        <v/>
      </c>
      <c r="K193" s="43" t="inlineStr">
        <is>
          <t>Re-inspection required</t>
        </is>
      </c>
    </row>
    <row r="194">
      <c r="A194" s="44" t="inlineStr">
        <is>
          <t>CTP-WIR-CIV-0037</t>
        </is>
      </c>
      <c r="B194" s="45" t="n">
        <v>46240</v>
      </c>
      <c r="C194" s="46" t="inlineStr">
        <is>
          <t>Civil</t>
        </is>
      </c>
      <c r="D194" s="46" t="inlineStr">
        <is>
          <t>Rebar inspection before concrete</t>
        </is>
      </c>
      <c r="E194" s="44" t="inlineStr">
        <is>
          <t>CH 7+169</t>
        </is>
      </c>
      <c r="F194" s="45" t="n">
        <v>46241</v>
      </c>
      <c r="G194" s="46" t="inlineStr">
        <is>
          <t>Eng. Ali Haddad</t>
        </is>
      </c>
      <c r="H194" s="44" t="inlineStr">
        <is>
          <t>Approved with Comments</t>
        </is>
      </c>
      <c r="I194" s="45" t="n">
        <v>46242</v>
      </c>
      <c r="J194" s="44">
        <f>IF(H194="Pending",TODAY()-B194,IF(I194="","",I194-B194))</f>
        <v/>
      </c>
      <c r="K194" s="46" t="inlineStr">
        <is>
          <t>Minor comments to close</t>
        </is>
      </c>
    </row>
    <row r="195">
      <c r="A195" s="41" t="inlineStr">
        <is>
          <t>CTP-WIR-CIV-0038</t>
        </is>
      </c>
      <c r="B195" s="42" t="n">
        <v>46240</v>
      </c>
      <c r="C195" s="43" t="inlineStr">
        <is>
          <t>Civil</t>
        </is>
      </c>
      <c r="D195" s="43" t="inlineStr">
        <is>
          <t>Concrete pouring</t>
        </is>
      </c>
      <c r="E195" s="41" t="inlineStr">
        <is>
          <t>CH 1+643</t>
        </is>
      </c>
      <c r="F195" s="42" t="n">
        <v>46242</v>
      </c>
      <c r="G195" s="43" t="inlineStr">
        <is>
          <t>Eng. Sara Nasser</t>
        </is>
      </c>
      <c r="H195" s="41" t="inlineStr">
        <is>
          <t>Approved with Comments</t>
        </is>
      </c>
      <c r="I195" s="42" t="n">
        <v>46245</v>
      </c>
      <c r="J195" s="41">
        <f>IF(H195="Pending",TODAY()-B195,IF(I195="","",I195-B195))</f>
        <v/>
      </c>
      <c r="K195" s="43" t="inlineStr">
        <is>
          <t>Minor comments to close</t>
        </is>
      </c>
    </row>
    <row r="196">
      <c r="A196" s="44" t="inlineStr">
        <is>
          <t>CTP-WIR-CIV-0039</t>
        </is>
      </c>
      <c r="B196" s="45" t="n">
        <v>46240</v>
      </c>
      <c r="C196" s="46" t="inlineStr">
        <is>
          <t>Civil</t>
        </is>
      </c>
      <c r="D196" s="46" t="inlineStr">
        <is>
          <t>Rebar inspection before concrete</t>
        </is>
      </c>
      <c r="E196" s="44" t="inlineStr">
        <is>
          <t>CH 1+432</t>
        </is>
      </c>
      <c r="F196" s="45" t="n">
        <v>46240</v>
      </c>
      <c r="G196" s="46" t="inlineStr">
        <is>
          <t>Eng. Sara Nasser</t>
        </is>
      </c>
      <c r="H196" s="44" t="inlineStr">
        <is>
          <t>Approved</t>
        </is>
      </c>
      <c r="I196" s="45" t="n">
        <v>46242</v>
      </c>
      <c r="J196" s="44">
        <f>IF(H196="Pending",TODAY()-B196,IF(I196="","",I196-B196))</f>
        <v/>
      </c>
      <c r="K196" s="46" t="inlineStr"/>
    </row>
    <row r="197">
      <c r="A197" s="41" t="inlineStr">
        <is>
          <t>CTP-WIR-GEO-0037</t>
        </is>
      </c>
      <c r="B197" s="42" t="n">
        <v>46240</v>
      </c>
      <c r="C197" s="43" t="inlineStr">
        <is>
          <t>Geotechnical</t>
        </is>
      </c>
      <c r="D197" s="43" t="inlineStr">
        <is>
          <t>Rock bolt pull-out test</t>
        </is>
      </c>
      <c r="E197" s="41" t="inlineStr">
        <is>
          <t>CH 5+980</t>
        </is>
      </c>
      <c r="F197" s="42" t="n">
        <v>46241</v>
      </c>
      <c r="G197" s="43" t="inlineStr">
        <is>
          <t>Eng. Hana Saleh</t>
        </is>
      </c>
      <c r="H197" s="41" t="inlineStr">
        <is>
          <t>Rejected</t>
        </is>
      </c>
      <c r="I197" s="42" t="n">
        <v>46244</v>
      </c>
      <c r="J197" s="41">
        <f>IF(H197="Pending",TODAY()-B197,IF(I197="","",I197-B197))</f>
        <v/>
      </c>
      <c r="K197" s="43" t="inlineStr">
        <is>
          <t>Re-inspection required</t>
        </is>
      </c>
    </row>
    <row r="198">
      <c r="A198" s="44" t="inlineStr">
        <is>
          <t>CTP-WIR-SUR-0041</t>
        </is>
      </c>
      <c r="B198" s="45" t="n">
        <v>46240</v>
      </c>
      <c r="C198" s="46" t="inlineStr">
        <is>
          <t>Survey</t>
        </is>
      </c>
      <c r="D198" s="46" t="inlineStr">
        <is>
          <t>Tunnel alignment survey</t>
        </is>
      </c>
      <c r="E198" s="44" t="inlineStr">
        <is>
          <t>CH 7+129</t>
        </is>
      </c>
      <c r="F198" s="45" t="n">
        <v>46241</v>
      </c>
      <c r="G198" s="46" t="inlineStr">
        <is>
          <t>Eng. Sara Nasser</t>
        </is>
      </c>
      <c r="H198" s="44" t="inlineStr">
        <is>
          <t>Approved</t>
        </is>
      </c>
      <c r="I198" s="45" t="n">
        <v>46242</v>
      </c>
      <c r="J198" s="44">
        <f>IF(H198="Pending",TODAY()-B198,IF(I198="","",I198-B198))</f>
        <v/>
      </c>
      <c r="K198" s="46" t="inlineStr"/>
    </row>
    <row r="199">
      <c r="A199" s="41" t="inlineStr">
        <is>
          <t>CTP-WIR-SUR-0042</t>
        </is>
      </c>
      <c r="B199" s="42" t="n">
        <v>46240</v>
      </c>
      <c r="C199" s="43" t="inlineStr">
        <is>
          <t>Survey</t>
        </is>
      </c>
      <c r="D199" s="43" t="inlineStr">
        <is>
          <t>As-built survey</t>
        </is>
      </c>
      <c r="E199" s="41" t="inlineStr">
        <is>
          <t>CH 8+759</t>
        </is>
      </c>
      <c r="F199" s="42" t="n">
        <v>46241</v>
      </c>
      <c r="G199" s="43" t="inlineStr">
        <is>
          <t>Eng. Mark Collins</t>
        </is>
      </c>
      <c r="H199" s="41" t="inlineStr">
        <is>
          <t>Approved</t>
        </is>
      </c>
      <c r="I199" s="42" t="n">
        <v>46243</v>
      </c>
      <c r="J199" s="41">
        <f>IF(H199="Pending",TODAY()-B199,IF(I199="","",I199-B199))</f>
        <v/>
      </c>
      <c r="K199" s="43" t="inlineStr"/>
    </row>
    <row r="200">
      <c r="A200" s="44" t="inlineStr">
        <is>
          <t>CTP-WIR-GEO-0038</t>
        </is>
      </c>
      <c r="B200" s="45" t="n">
        <v>46242</v>
      </c>
      <c r="C200" s="46" t="inlineStr">
        <is>
          <t>Geotechnical</t>
        </is>
      </c>
      <c r="D200" s="46" t="inlineStr">
        <is>
          <t>Grout injection</t>
        </is>
      </c>
      <c r="E200" s="44" t="inlineStr">
        <is>
          <t>CH 5+473</t>
        </is>
      </c>
      <c r="F200" s="45" t="n">
        <v>46243</v>
      </c>
      <c r="G200" s="46" t="inlineStr">
        <is>
          <t>Eng. Hana Saleh</t>
        </is>
      </c>
      <c r="H200" s="44" t="inlineStr">
        <is>
          <t>Approved</t>
        </is>
      </c>
      <c r="I200" s="45" t="n">
        <v>46244</v>
      </c>
      <c r="J200" s="44">
        <f>IF(H200="Pending",TODAY()-B200,IF(I200="","",I200-B200))</f>
        <v/>
      </c>
      <c r="K200" s="46" t="inlineStr"/>
    </row>
    <row r="201">
      <c r="A201" s="41" t="inlineStr">
        <is>
          <t>CTP-WIR-SUR-0043</t>
        </is>
      </c>
      <c r="B201" s="42" t="n">
        <v>46242</v>
      </c>
      <c r="C201" s="43" t="inlineStr">
        <is>
          <t>Survey</t>
        </is>
      </c>
      <c r="D201" s="43" t="inlineStr">
        <is>
          <t>Tunnel alignment survey</t>
        </is>
      </c>
      <c r="E201" s="41" t="inlineStr">
        <is>
          <t>CH 2+985</t>
        </is>
      </c>
      <c r="F201" s="42" t="n">
        <v>46243</v>
      </c>
      <c r="G201" s="43" t="inlineStr">
        <is>
          <t>Eng. Mark Collins</t>
        </is>
      </c>
      <c r="H201" s="41" t="inlineStr">
        <is>
          <t>Rejected</t>
        </is>
      </c>
      <c r="I201" s="42" t="n">
        <v>46243</v>
      </c>
      <c r="J201" s="41">
        <f>IF(H201="Pending",TODAY()-B201,IF(I201="","",I201-B201))</f>
        <v/>
      </c>
      <c r="K201" s="43" t="inlineStr">
        <is>
          <t>Re-inspection required</t>
        </is>
      </c>
    </row>
    <row r="202">
      <c r="A202" s="44" t="inlineStr">
        <is>
          <t>CTP-WIR-SUR-0044</t>
        </is>
      </c>
      <c r="B202" s="45" t="n">
        <v>46242</v>
      </c>
      <c r="C202" s="46" t="inlineStr">
        <is>
          <t>Survey</t>
        </is>
      </c>
      <c r="D202" s="46" t="inlineStr">
        <is>
          <t>As-built survey</t>
        </is>
      </c>
      <c r="E202" s="44" t="inlineStr">
        <is>
          <t>CH 4+750</t>
        </is>
      </c>
      <c r="F202" s="45" t="n">
        <v>46244</v>
      </c>
      <c r="G202" s="46" t="inlineStr">
        <is>
          <t>Eng. Pedro Alves</t>
        </is>
      </c>
      <c r="H202" s="44" t="inlineStr">
        <is>
          <t>Approved</t>
        </is>
      </c>
      <c r="I202" s="45" t="n">
        <v>46245</v>
      </c>
      <c r="J202" s="44">
        <f>IF(H202="Pending",TODAY()-B202,IF(I202="","",I202-B202))</f>
        <v/>
      </c>
      <c r="K202" s="46" t="inlineStr"/>
    </row>
    <row r="203">
      <c r="A203" s="41" t="inlineStr">
        <is>
          <t>CTP-WIR-SUR-0045</t>
        </is>
      </c>
      <c r="B203" s="42" t="n">
        <v>46242</v>
      </c>
      <c r="C203" s="43" t="inlineStr">
        <is>
          <t>Survey</t>
        </is>
      </c>
      <c r="D203" s="43" t="inlineStr">
        <is>
          <t>Settlement monitoring</t>
        </is>
      </c>
      <c r="E203" s="41" t="inlineStr">
        <is>
          <t>CH 4+211</t>
        </is>
      </c>
      <c r="F203" s="42" t="n">
        <v>46243</v>
      </c>
      <c r="G203" s="43" t="inlineStr">
        <is>
          <t>Eng. Pedro Alves</t>
        </is>
      </c>
      <c r="H203" s="41" t="inlineStr">
        <is>
          <t>Approved</t>
        </is>
      </c>
      <c r="I203" s="42" t="n">
        <v>46243</v>
      </c>
      <c r="J203" s="41">
        <f>IF(H203="Pending",TODAY()-B203,IF(I203="","",I203-B203))</f>
        <v/>
      </c>
      <c r="K203" s="43" t="inlineStr"/>
    </row>
    <row r="204">
      <c r="A204" s="44" t="inlineStr">
        <is>
          <t>CTP-WIR-TUN-0044</t>
        </is>
      </c>
      <c r="B204" s="45" t="n">
        <v>46242</v>
      </c>
      <c r="C204" s="46" t="inlineStr">
        <is>
          <t>Tunnelling</t>
        </is>
      </c>
      <c r="D204" s="46" t="inlineStr">
        <is>
          <t>Annulus grouting</t>
        </is>
      </c>
      <c r="E204" s="44" t="inlineStr">
        <is>
          <t>CH 5+617</t>
        </is>
      </c>
      <c r="F204" s="45" t="n">
        <v>46243</v>
      </c>
      <c r="G204" s="46" t="inlineStr">
        <is>
          <t>Eng. Mark Collins</t>
        </is>
      </c>
      <c r="H204" s="44" t="inlineStr">
        <is>
          <t>Approved with Comments</t>
        </is>
      </c>
      <c r="I204" s="45" t="n">
        <v>46244</v>
      </c>
      <c r="J204" s="44">
        <f>IF(H204="Pending",TODAY()-B204,IF(I204="","",I204-B204))</f>
        <v/>
      </c>
      <c r="K204" s="46" t="inlineStr">
        <is>
          <t>Minor comments to close</t>
        </is>
      </c>
    </row>
    <row r="205">
      <c r="A205" s="41" t="inlineStr">
        <is>
          <t>CTP-WIR-CIV-0040</t>
        </is>
      </c>
      <c r="B205" s="42" t="n">
        <v>46243</v>
      </c>
      <c r="C205" s="43" t="inlineStr">
        <is>
          <t>Civil</t>
        </is>
      </c>
      <c r="D205" s="43" t="inlineStr">
        <is>
          <t>Rebar inspection before concrete</t>
        </is>
      </c>
      <c r="E205" s="41" t="inlineStr">
        <is>
          <t>CH 4+474</t>
        </is>
      </c>
      <c r="F205" s="42" t="n">
        <v>46245</v>
      </c>
      <c r="G205" s="43" t="inlineStr">
        <is>
          <t>Eng. Mark Collins</t>
        </is>
      </c>
      <c r="H205" s="41" t="inlineStr">
        <is>
          <t>Approved</t>
        </is>
      </c>
      <c r="I205" s="42" t="n">
        <v>46248</v>
      </c>
      <c r="J205" s="41">
        <f>IF(H205="Pending",TODAY()-B205,IF(I205="","",I205-B205))</f>
        <v/>
      </c>
      <c r="K205" s="43" t="inlineStr"/>
    </row>
    <row r="206">
      <c r="A206" s="44" t="inlineStr">
        <is>
          <t>CTP-WIR-MEP-0035</t>
        </is>
      </c>
      <c r="B206" s="45" t="n">
        <v>46243</v>
      </c>
      <c r="C206" s="46" t="inlineStr">
        <is>
          <t>MEP</t>
        </is>
      </c>
      <c r="D206" s="46" t="inlineStr">
        <is>
          <t>Lighting installation</t>
        </is>
      </c>
      <c r="E206" s="44" t="inlineStr">
        <is>
          <t>CH 9+601</t>
        </is>
      </c>
      <c r="F206" s="45" t="n">
        <v>46243</v>
      </c>
      <c r="G206" s="46" t="inlineStr">
        <is>
          <t>Eng. Mark Collins</t>
        </is>
      </c>
      <c r="H206" s="44" t="inlineStr">
        <is>
          <t>Approved with Comments</t>
        </is>
      </c>
      <c r="I206" s="45" t="n">
        <v>46245</v>
      </c>
      <c r="J206" s="44">
        <f>IF(H206="Pending",TODAY()-B206,IF(I206="","",I206-B206))</f>
        <v/>
      </c>
      <c r="K206" s="46" t="inlineStr">
        <is>
          <t>Minor comments to close</t>
        </is>
      </c>
    </row>
    <row r="207">
      <c r="A207" s="41" t="inlineStr">
        <is>
          <t>CTP-WIR-MEP-0036</t>
        </is>
      </c>
      <c r="B207" s="42" t="n">
        <v>46243</v>
      </c>
      <c r="C207" s="43" t="inlineStr">
        <is>
          <t>MEP</t>
        </is>
      </c>
      <c r="D207" s="43" t="inlineStr">
        <is>
          <t>Pump station testing</t>
        </is>
      </c>
      <c r="E207" s="41" t="inlineStr">
        <is>
          <t>CH 7+442</t>
        </is>
      </c>
      <c r="F207" s="42" t="n">
        <v>46244</v>
      </c>
      <c r="G207" s="43" t="inlineStr">
        <is>
          <t>Eng. Sara Nasser</t>
        </is>
      </c>
      <c r="H207" s="41" t="inlineStr">
        <is>
          <t>Approved</t>
        </is>
      </c>
      <c r="I207" s="42" t="n">
        <v>46244</v>
      </c>
      <c r="J207" s="41">
        <f>IF(H207="Pending",TODAY()-B207,IF(I207="","",I207-B207))</f>
        <v/>
      </c>
      <c r="K207" s="43" t="inlineStr"/>
    </row>
    <row r="208">
      <c r="A208" s="44" t="inlineStr">
        <is>
          <t>CTP-WIR-SUR-0046</t>
        </is>
      </c>
      <c r="B208" s="45" t="n">
        <v>46243</v>
      </c>
      <c r="C208" s="46" t="inlineStr">
        <is>
          <t>Survey</t>
        </is>
      </c>
      <c r="D208" s="46" t="inlineStr">
        <is>
          <t>Setting-out check</t>
        </is>
      </c>
      <c r="E208" s="44" t="inlineStr">
        <is>
          <t>CH 6+730</t>
        </is>
      </c>
      <c r="F208" s="45" t="n">
        <v>46243</v>
      </c>
      <c r="G208" s="46" t="inlineStr">
        <is>
          <t>Eng. Sara Nasser</t>
        </is>
      </c>
      <c r="H208" s="44" t="inlineStr">
        <is>
          <t>Approved with Comments</t>
        </is>
      </c>
      <c r="I208" s="45" t="n">
        <v>46244</v>
      </c>
      <c r="J208" s="44">
        <f>IF(H208="Pending",TODAY()-B208,IF(I208="","",I208-B208))</f>
        <v/>
      </c>
      <c r="K208" s="46" t="inlineStr">
        <is>
          <t>Minor comments to close</t>
        </is>
      </c>
    </row>
    <row r="209">
      <c r="A209" s="41" t="inlineStr">
        <is>
          <t>CTP-WIR-GEO-0039</t>
        </is>
      </c>
      <c r="B209" s="42" t="n">
        <v>46244</v>
      </c>
      <c r="C209" s="43" t="inlineStr">
        <is>
          <t>Geotechnical</t>
        </is>
      </c>
      <c r="D209" s="43" t="inlineStr">
        <is>
          <t>Grout injection</t>
        </is>
      </c>
      <c r="E209" s="41" t="inlineStr">
        <is>
          <t>CH 6+530</t>
        </is>
      </c>
      <c r="F209" s="42" t="n">
        <v>46246</v>
      </c>
      <c r="G209" s="43" t="inlineStr">
        <is>
          <t>Eng. Sara Nasser</t>
        </is>
      </c>
      <c r="H209" s="41" t="inlineStr">
        <is>
          <t>Approved</t>
        </is>
      </c>
      <c r="I209" s="42" t="n">
        <v>46249</v>
      </c>
      <c r="J209" s="41">
        <f>IF(H209="Pending",TODAY()-B209,IF(I209="","",I209-B209))</f>
        <v/>
      </c>
      <c r="K209" s="43" t="inlineStr"/>
    </row>
    <row r="210">
      <c r="A210" s="44" t="inlineStr">
        <is>
          <t>CTP-WIR-GEO-0040</t>
        </is>
      </c>
      <c r="B210" s="45" t="n">
        <v>46244</v>
      </c>
      <c r="C210" s="46" t="inlineStr">
        <is>
          <t>Geotechnical</t>
        </is>
      </c>
      <c r="D210" s="46" t="inlineStr">
        <is>
          <t>Rock bolt pull-out test</t>
        </is>
      </c>
      <c r="E210" s="44" t="inlineStr">
        <is>
          <t>CH 1+039</t>
        </is>
      </c>
      <c r="F210" s="45" t="n">
        <v>46244</v>
      </c>
      <c r="G210" s="46" t="inlineStr">
        <is>
          <t>Eng. Hana Saleh</t>
        </is>
      </c>
      <c r="H210" s="44" t="inlineStr">
        <is>
          <t>Approved</t>
        </is>
      </c>
      <c r="I210" s="45" t="n">
        <v>46246</v>
      </c>
      <c r="J210" s="44">
        <f>IF(H210="Pending",TODAY()-B210,IF(I210="","",I210-B210))</f>
        <v/>
      </c>
      <c r="K210" s="46" t="inlineStr"/>
    </row>
    <row r="211">
      <c r="A211" s="41" t="inlineStr">
        <is>
          <t>CTP-WIR-SUR-0047</t>
        </is>
      </c>
      <c r="B211" s="42" t="n">
        <v>46244</v>
      </c>
      <c r="C211" s="43" t="inlineStr">
        <is>
          <t>Survey</t>
        </is>
      </c>
      <c r="D211" s="43" t="inlineStr">
        <is>
          <t>Tunnel alignment survey</t>
        </is>
      </c>
      <c r="E211" s="41" t="inlineStr">
        <is>
          <t>CH 9+364</t>
        </is>
      </c>
      <c r="F211" s="42" t="n">
        <v>46246</v>
      </c>
      <c r="G211" s="43" t="inlineStr">
        <is>
          <t>Eng. Sara Nasser</t>
        </is>
      </c>
      <c r="H211" s="41" t="inlineStr">
        <is>
          <t>Approved</t>
        </is>
      </c>
      <c r="I211" s="42" t="n">
        <v>46246</v>
      </c>
      <c r="J211" s="41">
        <f>IF(H211="Pending",TODAY()-B211,IF(I211="","",I211-B211))</f>
        <v/>
      </c>
      <c r="K211" s="43" t="inlineStr"/>
    </row>
    <row r="212">
      <c r="A212" s="44" t="inlineStr">
        <is>
          <t>CTP-WIR-SUR-0048</t>
        </is>
      </c>
      <c r="B212" s="45" t="n">
        <v>46244</v>
      </c>
      <c r="C212" s="46" t="inlineStr">
        <is>
          <t>Survey</t>
        </is>
      </c>
      <c r="D212" s="46" t="inlineStr">
        <is>
          <t>Settlement monitoring</t>
        </is>
      </c>
      <c r="E212" s="44" t="inlineStr">
        <is>
          <t>CH 0+076</t>
        </is>
      </c>
      <c r="F212" s="45" t="n">
        <v>46245</v>
      </c>
      <c r="G212" s="46" t="inlineStr">
        <is>
          <t>Eng. Pedro Alves</t>
        </is>
      </c>
      <c r="H212" s="44" t="inlineStr">
        <is>
          <t>Approved</t>
        </is>
      </c>
      <c r="I212" s="45" t="n">
        <v>46245</v>
      </c>
      <c r="J212" s="44">
        <f>IF(H212="Pending",TODAY()-B212,IF(I212="","",I212-B212))</f>
        <v/>
      </c>
      <c r="K212" s="46" t="inlineStr"/>
    </row>
    <row r="213">
      <c r="A213" s="41" t="inlineStr">
        <is>
          <t>CTP-WIR-TUN-0045</t>
        </is>
      </c>
      <c r="B213" s="42" t="n">
        <v>46244</v>
      </c>
      <c r="C213" s="43" t="inlineStr">
        <is>
          <t>Tunnelling</t>
        </is>
      </c>
      <c r="D213" s="43" t="inlineStr">
        <is>
          <t>TBM cutter change</t>
        </is>
      </c>
      <c r="E213" s="41" t="inlineStr">
        <is>
          <t>CH 9+467</t>
        </is>
      </c>
      <c r="F213" s="42" t="n">
        <v>46245</v>
      </c>
      <c r="G213" s="43" t="inlineStr">
        <is>
          <t>Eng. Pedro Alves</t>
        </is>
      </c>
      <c r="H213" s="41" t="inlineStr">
        <is>
          <t>Approved</t>
        </is>
      </c>
      <c r="I213" s="42" t="n">
        <v>46245</v>
      </c>
      <c r="J213" s="41">
        <f>IF(H213="Pending",TODAY()-B213,IF(I213="","",I213-B213))</f>
        <v/>
      </c>
      <c r="K213" s="43" t="inlineStr"/>
    </row>
    <row r="214">
      <c r="A214" s="44" t="inlineStr">
        <is>
          <t>CTP-WIR-TUN-0046</t>
        </is>
      </c>
      <c r="B214" s="45" t="n">
        <v>46244</v>
      </c>
      <c r="C214" s="46" t="inlineStr">
        <is>
          <t>Tunnelling</t>
        </is>
      </c>
      <c r="D214" s="46" t="inlineStr">
        <is>
          <t>Tunnel invert cleaning</t>
        </is>
      </c>
      <c r="E214" s="44" t="inlineStr">
        <is>
          <t>CH 8+351</t>
        </is>
      </c>
      <c r="F214" s="45" t="n">
        <v>46244</v>
      </c>
      <c r="G214" s="46" t="inlineStr">
        <is>
          <t>Eng. Pedro Alves</t>
        </is>
      </c>
      <c r="H214" s="44" t="inlineStr">
        <is>
          <t>Approved</t>
        </is>
      </c>
      <c r="I214" s="45" t="n">
        <v>46245</v>
      </c>
      <c r="J214" s="44">
        <f>IF(H214="Pending",TODAY()-B214,IF(I214="","",I214-B214))</f>
        <v/>
      </c>
      <c r="K214" s="46" t="inlineStr"/>
    </row>
    <row r="215">
      <c r="A215" s="41" t="inlineStr">
        <is>
          <t>CTP-WIR-CIV-0041</t>
        </is>
      </c>
      <c r="B215" s="42" t="n">
        <v>46245</v>
      </c>
      <c r="C215" s="43" t="inlineStr">
        <is>
          <t>Civil</t>
        </is>
      </c>
      <c r="D215" s="43" t="inlineStr">
        <is>
          <t>Rebar inspection before concrete</t>
        </is>
      </c>
      <c r="E215" s="41" t="inlineStr">
        <is>
          <t>CH 2+951</t>
        </is>
      </c>
      <c r="F215" s="42" t="n">
        <v>46247</v>
      </c>
      <c r="G215" s="43" t="inlineStr">
        <is>
          <t>Eng. Mark Collins</t>
        </is>
      </c>
      <c r="H215" s="41" t="inlineStr">
        <is>
          <t>Approved</t>
        </is>
      </c>
      <c r="I215" s="42" t="n">
        <v>46248</v>
      </c>
      <c r="J215" s="41">
        <f>IF(H215="Pending",TODAY()-B215,IF(I215="","",I215-B215))</f>
        <v/>
      </c>
      <c r="K215" s="43" t="inlineStr"/>
    </row>
    <row r="216">
      <c r="A216" s="44" t="inlineStr">
        <is>
          <t>CTP-WIR-CIV-0042</t>
        </is>
      </c>
      <c r="B216" s="45" t="n">
        <v>46245</v>
      </c>
      <c r="C216" s="46" t="inlineStr">
        <is>
          <t>Civil</t>
        </is>
      </c>
      <c r="D216" s="46" t="inlineStr">
        <is>
          <t>Backfilling &amp; compaction</t>
        </is>
      </c>
      <c r="E216" s="44" t="inlineStr">
        <is>
          <t>CH 2+361</t>
        </is>
      </c>
      <c r="F216" s="45" t="n">
        <v>46247</v>
      </c>
      <c r="G216" s="46" t="inlineStr">
        <is>
          <t>Eng. Pedro Alves</t>
        </is>
      </c>
      <c r="H216" s="44" t="inlineStr">
        <is>
          <t>Approved</t>
        </is>
      </c>
      <c r="I216" s="45" t="n">
        <v>46248</v>
      </c>
      <c r="J216" s="44">
        <f>IF(H216="Pending",TODAY()-B216,IF(I216="","",I216-B216))</f>
        <v/>
      </c>
      <c r="K216" s="46" t="inlineStr"/>
    </row>
    <row r="217">
      <c r="A217" s="41" t="inlineStr">
        <is>
          <t>CTP-WIR-CIV-0043</t>
        </is>
      </c>
      <c r="B217" s="42" t="n">
        <v>46245</v>
      </c>
      <c r="C217" s="43" t="inlineStr">
        <is>
          <t>Civil</t>
        </is>
      </c>
      <c r="D217" s="43" t="inlineStr">
        <is>
          <t>Formwork inspection</t>
        </is>
      </c>
      <c r="E217" s="41" t="inlineStr">
        <is>
          <t>CH 7+363</t>
        </is>
      </c>
      <c r="F217" s="42" t="n">
        <v>46246</v>
      </c>
      <c r="G217" s="43" t="inlineStr">
        <is>
          <t>Eng. Sara Nasser</t>
        </is>
      </c>
      <c r="H217" s="41" t="inlineStr">
        <is>
          <t>Approved with Comments</t>
        </is>
      </c>
      <c r="I217" s="42" t="n">
        <v>46247</v>
      </c>
      <c r="J217" s="41">
        <f>IF(H217="Pending",TODAY()-B217,IF(I217="","",I217-B217))</f>
        <v/>
      </c>
      <c r="K217" s="43" t="inlineStr">
        <is>
          <t>Minor comments to close</t>
        </is>
      </c>
    </row>
    <row r="218">
      <c r="A218" s="44" t="inlineStr">
        <is>
          <t>CTP-WIR-GEO-0041</t>
        </is>
      </c>
      <c r="B218" s="45" t="n">
        <v>46245</v>
      </c>
      <c r="C218" s="46" t="inlineStr">
        <is>
          <t>Geotechnical</t>
        </is>
      </c>
      <c r="D218" s="46" t="inlineStr">
        <is>
          <t>Ground anchor installation</t>
        </is>
      </c>
      <c r="E218" s="44" t="inlineStr">
        <is>
          <t>CH 3+310</t>
        </is>
      </c>
      <c r="F218" s="45" t="n">
        <v>46246</v>
      </c>
      <c r="G218" s="46" t="inlineStr">
        <is>
          <t>Eng. Hana Saleh</t>
        </is>
      </c>
      <c r="H218" s="44" t="inlineStr">
        <is>
          <t>Approved</t>
        </is>
      </c>
      <c r="I218" s="45" t="n">
        <v>46246</v>
      </c>
      <c r="J218" s="44">
        <f>IF(H218="Pending",TODAY()-B218,IF(I218="","",I218-B218))</f>
        <v/>
      </c>
      <c r="K218" s="46" t="inlineStr"/>
    </row>
    <row r="219">
      <c r="A219" s="41" t="inlineStr">
        <is>
          <t>CTP-WIR-MEP-0037</t>
        </is>
      </c>
      <c r="B219" s="42" t="n">
        <v>46245</v>
      </c>
      <c r="C219" s="43" t="inlineStr">
        <is>
          <t>MEP</t>
        </is>
      </c>
      <c r="D219" s="43" t="inlineStr">
        <is>
          <t>Cable tray installation</t>
        </is>
      </c>
      <c r="E219" s="41" t="inlineStr">
        <is>
          <t>CH 6+058</t>
        </is>
      </c>
      <c r="F219" s="42" t="n">
        <v>46246</v>
      </c>
      <c r="G219" s="43" t="inlineStr">
        <is>
          <t>Eng. Hana Saleh</t>
        </is>
      </c>
      <c r="H219" s="41" t="inlineStr">
        <is>
          <t>Approved</t>
        </is>
      </c>
      <c r="I219" s="42" t="n">
        <v>46247</v>
      </c>
      <c r="J219" s="41">
        <f>IF(H219="Pending",TODAY()-B219,IF(I219="","",I219-B219))</f>
        <v/>
      </c>
      <c r="K219" s="43" t="inlineStr"/>
    </row>
    <row r="220">
      <c r="A220" s="44" t="inlineStr">
        <is>
          <t>CTP-WIR-MEP-0038</t>
        </is>
      </c>
      <c r="B220" s="45" t="n">
        <v>46245</v>
      </c>
      <c r="C220" s="46" t="inlineStr">
        <is>
          <t>MEP</t>
        </is>
      </c>
      <c r="D220" s="46" t="inlineStr">
        <is>
          <t>Pump station testing</t>
        </is>
      </c>
      <c r="E220" s="44" t="inlineStr">
        <is>
          <t>CH 8+851</t>
        </is>
      </c>
      <c r="F220" s="45" t="n">
        <v>46246</v>
      </c>
      <c r="G220" s="46" t="inlineStr">
        <is>
          <t>Eng. Hana Saleh</t>
        </is>
      </c>
      <c r="H220" s="44" t="inlineStr">
        <is>
          <t>Approved with Comments</t>
        </is>
      </c>
      <c r="I220" s="45" t="n">
        <v>46247</v>
      </c>
      <c r="J220" s="44">
        <f>IF(H220="Pending",TODAY()-B220,IF(I220="","",I220-B220))</f>
        <v/>
      </c>
      <c r="K220" s="46" t="inlineStr">
        <is>
          <t>Minor comments to close</t>
        </is>
      </c>
    </row>
    <row r="221">
      <c r="A221" s="41" t="inlineStr">
        <is>
          <t>CTP-WIR-TUN-0047</t>
        </is>
      </c>
      <c r="B221" s="42" t="n">
        <v>46245</v>
      </c>
      <c r="C221" s="43" t="inlineStr">
        <is>
          <t>Tunnelling</t>
        </is>
      </c>
      <c r="D221" s="43" t="inlineStr">
        <is>
          <t>Annulus grouting</t>
        </is>
      </c>
      <c r="E221" s="41" t="inlineStr">
        <is>
          <t>CH 7+002</t>
        </is>
      </c>
      <c r="F221" s="42" t="n">
        <v>46246</v>
      </c>
      <c r="G221" s="43" t="inlineStr">
        <is>
          <t>Eng. Sara Nasser</t>
        </is>
      </c>
      <c r="H221" s="41" t="inlineStr">
        <is>
          <t>Rejected</t>
        </is>
      </c>
      <c r="I221" s="42" t="n">
        <v>46247</v>
      </c>
      <c r="J221" s="41">
        <f>IF(H221="Pending",TODAY()-B221,IF(I221="","",I221-B221))</f>
        <v/>
      </c>
      <c r="K221" s="43" t="inlineStr">
        <is>
          <t>Re-inspection required</t>
        </is>
      </c>
    </row>
    <row r="222">
      <c r="A222" s="44" t="inlineStr">
        <is>
          <t>CTP-WIR-TUN-0048</t>
        </is>
      </c>
      <c r="B222" s="45" t="n">
        <v>46245</v>
      </c>
      <c r="C222" s="46" t="inlineStr">
        <is>
          <t>Tunnelling</t>
        </is>
      </c>
      <c r="D222" s="46" t="inlineStr">
        <is>
          <t>Tunnel invert cleaning</t>
        </is>
      </c>
      <c r="E222" s="44" t="inlineStr">
        <is>
          <t>CH 7+496</t>
        </is>
      </c>
      <c r="F222" s="45" t="n">
        <v>46246</v>
      </c>
      <c r="G222" s="46" t="inlineStr">
        <is>
          <t>Eng. Hana Saleh</t>
        </is>
      </c>
      <c r="H222" s="44" t="inlineStr">
        <is>
          <t>Approved</t>
        </is>
      </c>
      <c r="I222" s="45" t="n">
        <v>46247</v>
      </c>
      <c r="J222" s="44">
        <f>IF(H222="Pending",TODAY()-B222,IF(I222="","",I222-B222))</f>
        <v/>
      </c>
      <c r="K222" s="46" t="inlineStr"/>
    </row>
    <row r="223">
      <c r="A223" s="41" t="inlineStr">
        <is>
          <t>CTP-WIR-CIV-0044</t>
        </is>
      </c>
      <c r="B223" s="42" t="n">
        <v>46246</v>
      </c>
      <c r="C223" s="43" t="inlineStr">
        <is>
          <t>Civil</t>
        </is>
      </c>
      <c r="D223" s="43" t="inlineStr">
        <is>
          <t>Formwork inspection</t>
        </is>
      </c>
      <c r="E223" s="41" t="inlineStr">
        <is>
          <t>CH 9+146</t>
        </is>
      </c>
      <c r="F223" s="42" t="n">
        <v>46247</v>
      </c>
      <c r="G223" s="43" t="inlineStr">
        <is>
          <t>Eng. Mark Collins</t>
        </is>
      </c>
      <c r="H223" s="41" t="inlineStr">
        <is>
          <t>Approved</t>
        </is>
      </c>
      <c r="I223" s="42" t="n">
        <v>46247</v>
      </c>
      <c r="J223" s="41">
        <f>IF(H223="Pending",TODAY()-B223,IF(I223="","",I223-B223))</f>
        <v/>
      </c>
      <c r="K223" s="43" t="inlineStr"/>
    </row>
    <row r="224">
      <c r="A224" s="44" t="inlineStr">
        <is>
          <t>CTP-WIR-CIV-0045</t>
        </is>
      </c>
      <c r="B224" s="45" t="n">
        <v>46246</v>
      </c>
      <c r="C224" s="46" t="inlineStr">
        <is>
          <t>Civil</t>
        </is>
      </c>
      <c r="D224" s="46" t="inlineStr">
        <is>
          <t>Backfilling &amp; compaction</t>
        </is>
      </c>
      <c r="E224" s="44" t="inlineStr">
        <is>
          <t>CH 3+925</t>
        </is>
      </c>
      <c r="F224" s="45" t="n">
        <v>46248</v>
      </c>
      <c r="G224" s="46" t="inlineStr">
        <is>
          <t>Eng. Hana Saleh</t>
        </is>
      </c>
      <c r="H224" s="44" t="inlineStr">
        <is>
          <t>Approved</t>
        </is>
      </c>
      <c r="I224" s="45" t="n">
        <v>46249</v>
      </c>
      <c r="J224" s="44">
        <f>IF(H224="Pending",TODAY()-B224,IF(I224="","",I224-B224))</f>
        <v/>
      </c>
      <c r="K224" s="46" t="inlineStr"/>
    </row>
    <row r="225">
      <c r="A225" s="41" t="inlineStr">
        <is>
          <t>CTP-WIR-CIV-0046</t>
        </is>
      </c>
      <c r="B225" s="42" t="n">
        <v>46246</v>
      </c>
      <c r="C225" s="43" t="inlineStr">
        <is>
          <t>Civil</t>
        </is>
      </c>
      <c r="D225" s="43" t="inlineStr">
        <is>
          <t>Concrete pouring</t>
        </is>
      </c>
      <c r="E225" s="41" t="inlineStr">
        <is>
          <t>CH 1+684</t>
        </is>
      </c>
      <c r="F225" s="42" t="n">
        <v>46247</v>
      </c>
      <c r="G225" s="43" t="inlineStr">
        <is>
          <t>Eng. Mark Collins</t>
        </is>
      </c>
      <c r="H225" s="41" t="inlineStr">
        <is>
          <t>Approved</t>
        </is>
      </c>
      <c r="I225" s="42" t="n">
        <v>46250</v>
      </c>
      <c r="J225" s="41">
        <f>IF(H225="Pending",TODAY()-B225,IF(I225="","",I225-B225))</f>
        <v/>
      </c>
      <c r="K225" s="43" t="inlineStr"/>
    </row>
    <row r="226">
      <c r="A226" s="44" t="inlineStr">
        <is>
          <t>CTP-WIR-MEP-0039</t>
        </is>
      </c>
      <c r="B226" s="45" t="n">
        <v>46246</v>
      </c>
      <c r="C226" s="46" t="inlineStr">
        <is>
          <t>MEP</t>
        </is>
      </c>
      <c r="D226" s="46" t="inlineStr">
        <is>
          <t>Lighting installation</t>
        </is>
      </c>
      <c r="E226" s="44" t="inlineStr">
        <is>
          <t>CH 0+495</t>
        </is>
      </c>
      <c r="F226" s="45" t="n">
        <v>46247</v>
      </c>
      <c r="G226" s="46" t="inlineStr">
        <is>
          <t>Eng. Mark Collins</t>
        </is>
      </c>
      <c r="H226" s="44" t="inlineStr">
        <is>
          <t>Approved</t>
        </is>
      </c>
      <c r="I226" s="45" t="n">
        <v>46250</v>
      </c>
      <c r="J226" s="44">
        <f>IF(H226="Pending",TODAY()-B226,IF(I226="","",I226-B226))</f>
        <v/>
      </c>
      <c r="K226" s="46" t="inlineStr"/>
    </row>
    <row r="227">
      <c r="A227" s="41" t="inlineStr">
        <is>
          <t>CTP-WIR-SUR-0049</t>
        </is>
      </c>
      <c r="B227" s="42" t="n">
        <v>46246</v>
      </c>
      <c r="C227" s="43" t="inlineStr">
        <is>
          <t>Survey</t>
        </is>
      </c>
      <c r="D227" s="43" t="inlineStr">
        <is>
          <t>Tunnel alignment survey</t>
        </is>
      </c>
      <c r="E227" s="41" t="inlineStr">
        <is>
          <t>CH 9+883</t>
        </is>
      </c>
      <c r="F227" s="42" t="n">
        <v>46247</v>
      </c>
      <c r="G227" s="43" t="inlineStr">
        <is>
          <t>Eng. Mark Collins</t>
        </is>
      </c>
      <c r="H227" s="41" t="inlineStr">
        <is>
          <t>Approved</t>
        </is>
      </c>
      <c r="I227" s="42" t="n">
        <v>46250</v>
      </c>
      <c r="J227" s="41">
        <f>IF(H227="Pending",TODAY()-B227,IF(I227="","",I227-B227))</f>
        <v/>
      </c>
      <c r="K227" s="43" t="inlineStr"/>
    </row>
    <row r="228">
      <c r="A228" s="44" t="inlineStr">
        <is>
          <t>CTP-WIR-SUR-0050</t>
        </is>
      </c>
      <c r="B228" s="45" t="n">
        <v>46246</v>
      </c>
      <c r="C228" s="46" t="inlineStr">
        <is>
          <t>Survey</t>
        </is>
      </c>
      <c r="D228" s="46" t="inlineStr">
        <is>
          <t>As-built survey</t>
        </is>
      </c>
      <c r="E228" s="44" t="inlineStr">
        <is>
          <t>CH 7+681</t>
        </is>
      </c>
      <c r="F228" s="45" t="n">
        <v>46247</v>
      </c>
      <c r="G228" s="46" t="inlineStr">
        <is>
          <t>Eng. Pedro Alves</t>
        </is>
      </c>
      <c r="H228" s="44" t="inlineStr">
        <is>
          <t>Approved</t>
        </is>
      </c>
      <c r="I228" s="45" t="n">
        <v>46250</v>
      </c>
      <c r="J228" s="44">
        <f>IF(H228="Pending",TODAY()-B228,IF(I228="","",I228-B228))</f>
        <v/>
      </c>
      <c r="K228" s="46" t="inlineStr"/>
    </row>
    <row r="229">
      <c r="A229" s="41" t="inlineStr">
        <is>
          <t>CTP-WIR-TUN-0049</t>
        </is>
      </c>
      <c r="B229" s="42" t="n">
        <v>46246</v>
      </c>
      <c r="C229" s="43" t="inlineStr">
        <is>
          <t>Tunnelling</t>
        </is>
      </c>
      <c r="D229" s="43" t="inlineStr">
        <is>
          <t>Segment ring build</t>
        </is>
      </c>
      <c r="E229" s="41" t="inlineStr">
        <is>
          <t>CH 1+568</t>
        </is>
      </c>
      <c r="F229" s="42" t="n">
        <v>46247</v>
      </c>
      <c r="G229" s="43" t="inlineStr">
        <is>
          <t>Eng. Sara Nasser</t>
        </is>
      </c>
      <c r="H229" s="41" t="inlineStr">
        <is>
          <t>Approved</t>
        </is>
      </c>
      <c r="I229" s="42" t="n">
        <v>46249</v>
      </c>
      <c r="J229" s="41">
        <f>IF(H229="Pending",TODAY()-B229,IF(I229="","",I229-B229))</f>
        <v/>
      </c>
      <c r="K229" s="43" t="inlineStr"/>
    </row>
    <row r="230">
      <c r="A230" s="44" t="inlineStr">
        <is>
          <t>CTP-WIR-GEO-0042</t>
        </is>
      </c>
      <c r="B230" s="45" t="n">
        <v>46247</v>
      </c>
      <c r="C230" s="46" t="inlineStr">
        <is>
          <t>Geotechnical</t>
        </is>
      </c>
      <c r="D230" s="46" t="inlineStr">
        <is>
          <t>Rock bolt pull-out test</t>
        </is>
      </c>
      <c r="E230" s="44" t="inlineStr">
        <is>
          <t>CH 2+652</t>
        </is>
      </c>
      <c r="F230" s="45" t="n">
        <v>46249</v>
      </c>
      <c r="G230" s="46" t="inlineStr">
        <is>
          <t>Eng. Ali Haddad</t>
        </is>
      </c>
      <c r="H230" s="44" t="inlineStr">
        <is>
          <t>Rejected</t>
        </is>
      </c>
      <c r="I230" s="45" t="n">
        <v>46249</v>
      </c>
      <c r="J230" s="44">
        <f>IF(H230="Pending",TODAY()-B230,IF(I230="","",I230-B230))</f>
        <v/>
      </c>
      <c r="K230" s="46" t="inlineStr">
        <is>
          <t>Re-inspection required</t>
        </is>
      </c>
    </row>
    <row r="231">
      <c r="A231" s="41" t="inlineStr">
        <is>
          <t>CTP-WIR-MEP-0040</t>
        </is>
      </c>
      <c r="B231" s="42" t="n">
        <v>46247</v>
      </c>
      <c r="C231" s="43" t="inlineStr">
        <is>
          <t>MEP</t>
        </is>
      </c>
      <c r="D231" s="43" t="inlineStr">
        <is>
          <t>Lighting installation</t>
        </is>
      </c>
      <c r="E231" s="41" t="inlineStr">
        <is>
          <t>CH 8+495</t>
        </is>
      </c>
      <c r="F231" s="42" t="n">
        <v>46248</v>
      </c>
      <c r="G231" s="43" t="inlineStr">
        <is>
          <t>Eng. Mark Collins</t>
        </is>
      </c>
      <c r="H231" s="41" t="inlineStr">
        <is>
          <t>Approved with Comments</t>
        </is>
      </c>
      <c r="I231" s="42" t="n">
        <v>46248</v>
      </c>
      <c r="J231" s="41">
        <f>IF(H231="Pending",TODAY()-B231,IF(I231="","",I231-B231))</f>
        <v/>
      </c>
      <c r="K231" s="43" t="inlineStr">
        <is>
          <t>Minor comments to close</t>
        </is>
      </c>
    </row>
    <row r="232">
      <c r="A232" s="44" t="inlineStr">
        <is>
          <t>CTP-WIR-MEP-0041</t>
        </is>
      </c>
      <c r="B232" s="45" t="n">
        <v>46247</v>
      </c>
      <c r="C232" s="46" t="inlineStr">
        <is>
          <t>MEP</t>
        </is>
      </c>
      <c r="D232" s="46" t="inlineStr">
        <is>
          <t>Cable tray installation</t>
        </is>
      </c>
      <c r="E232" s="44" t="inlineStr">
        <is>
          <t>CH 2+346</t>
        </is>
      </c>
      <c r="F232" s="45" t="n">
        <v>46247</v>
      </c>
      <c r="G232" s="46" t="inlineStr">
        <is>
          <t>Eng. Sara Nasser</t>
        </is>
      </c>
      <c r="H232" s="44" t="inlineStr">
        <is>
          <t>Approved</t>
        </is>
      </c>
      <c r="I232" s="45" t="n">
        <v>46249</v>
      </c>
      <c r="J232" s="44">
        <f>IF(H232="Pending",TODAY()-B232,IF(I232="","",I232-B232))</f>
        <v/>
      </c>
      <c r="K232" s="46" t="inlineStr"/>
    </row>
    <row r="233">
      <c r="A233" s="41" t="inlineStr">
        <is>
          <t>CTP-WIR-SUR-0051</t>
        </is>
      </c>
      <c r="B233" s="42" t="n">
        <v>46247</v>
      </c>
      <c r="C233" s="43" t="inlineStr">
        <is>
          <t>Survey</t>
        </is>
      </c>
      <c r="D233" s="43" t="inlineStr">
        <is>
          <t>Tunnel alignment survey</t>
        </is>
      </c>
      <c r="E233" s="41" t="inlineStr">
        <is>
          <t>CH 6+257</t>
        </is>
      </c>
      <c r="F233" s="42" t="n">
        <v>46248</v>
      </c>
      <c r="G233" s="43" t="inlineStr">
        <is>
          <t>Eng. Sara Nasser</t>
        </is>
      </c>
      <c r="H233" s="41" t="inlineStr">
        <is>
          <t>Approved</t>
        </is>
      </c>
      <c r="I233" s="42" t="n">
        <v>46249</v>
      </c>
      <c r="J233" s="41">
        <f>IF(H233="Pending",TODAY()-B233,IF(I233="","",I233-B233))</f>
        <v/>
      </c>
      <c r="K233" s="43" t="inlineStr"/>
    </row>
    <row r="234">
      <c r="A234" s="44" t="inlineStr">
        <is>
          <t>CTP-WIR-CIV-0047</t>
        </is>
      </c>
      <c r="B234" s="45" t="n">
        <v>46249</v>
      </c>
      <c r="C234" s="46" t="inlineStr">
        <is>
          <t>Civil</t>
        </is>
      </c>
      <c r="D234" s="46" t="inlineStr">
        <is>
          <t>Rebar inspection before concrete</t>
        </is>
      </c>
      <c r="E234" s="44" t="inlineStr">
        <is>
          <t>CH 4+130</t>
        </is>
      </c>
      <c r="F234" s="45" t="n">
        <v>46249</v>
      </c>
      <c r="G234" s="46" t="inlineStr">
        <is>
          <t>Eng. Ali Haddad</t>
        </is>
      </c>
      <c r="H234" s="44" t="inlineStr">
        <is>
          <t>Approved</t>
        </is>
      </c>
      <c r="I234" s="45" t="n">
        <v>46250</v>
      </c>
      <c r="J234" s="44">
        <f>IF(H234="Pending",TODAY()-B234,IF(I234="","",I234-B234))</f>
        <v/>
      </c>
      <c r="K234" s="46" t="inlineStr"/>
    </row>
    <row r="235">
      <c r="A235" s="41" t="inlineStr">
        <is>
          <t>CTP-WIR-CIV-0048</t>
        </is>
      </c>
      <c r="B235" s="42" t="n">
        <v>46249</v>
      </c>
      <c r="C235" s="43" t="inlineStr">
        <is>
          <t>Civil</t>
        </is>
      </c>
      <c r="D235" s="43" t="inlineStr">
        <is>
          <t>Rebar inspection before concrete</t>
        </is>
      </c>
      <c r="E235" s="41" t="inlineStr">
        <is>
          <t>CH 8+587</t>
        </is>
      </c>
      <c r="F235" s="42" t="n">
        <v>46251</v>
      </c>
      <c r="G235" s="43" t="inlineStr">
        <is>
          <t>Eng. Pedro Alves</t>
        </is>
      </c>
      <c r="H235" s="41" t="inlineStr">
        <is>
          <t>Approved with Comments</t>
        </is>
      </c>
      <c r="I235" s="42" t="n">
        <v>46253</v>
      </c>
      <c r="J235" s="41">
        <f>IF(H235="Pending",TODAY()-B235,IF(I235="","",I235-B235))</f>
        <v/>
      </c>
      <c r="K235" s="43" t="inlineStr">
        <is>
          <t>Minor comments to close</t>
        </is>
      </c>
    </row>
    <row r="236">
      <c r="A236" s="44" t="inlineStr">
        <is>
          <t>CTP-WIR-GEO-0043</t>
        </is>
      </c>
      <c r="B236" s="45" t="n">
        <v>46249</v>
      </c>
      <c r="C236" s="46" t="inlineStr">
        <is>
          <t>Geotechnical</t>
        </is>
      </c>
      <c r="D236" s="46" t="inlineStr">
        <is>
          <t>Rock bolt pull-out test</t>
        </is>
      </c>
      <c r="E236" s="44" t="inlineStr">
        <is>
          <t>CH 4+893</t>
        </is>
      </c>
      <c r="F236" s="45" t="n">
        <v>46251</v>
      </c>
      <c r="G236" s="46" t="inlineStr">
        <is>
          <t>Eng. Mark Collins</t>
        </is>
      </c>
      <c r="H236" s="44" t="inlineStr">
        <is>
          <t>Approved</t>
        </is>
      </c>
      <c r="I236" s="45" t="n">
        <v>46254</v>
      </c>
      <c r="J236" s="44">
        <f>IF(H236="Pending",TODAY()-B236,IF(I236="","",I236-B236))</f>
        <v/>
      </c>
      <c r="K236" s="46" t="inlineStr"/>
    </row>
    <row r="237">
      <c r="A237" s="41" t="inlineStr">
        <is>
          <t>CTP-WIR-MEP-0042</t>
        </is>
      </c>
      <c r="B237" s="42" t="n">
        <v>46249</v>
      </c>
      <c r="C237" s="43" t="inlineStr">
        <is>
          <t>MEP</t>
        </is>
      </c>
      <c r="D237" s="43" t="inlineStr">
        <is>
          <t>Cable tray installation</t>
        </is>
      </c>
      <c r="E237" s="41" t="inlineStr">
        <is>
          <t>CH 1+217</t>
        </is>
      </c>
      <c r="F237" s="42" t="n">
        <v>46251</v>
      </c>
      <c r="G237" s="43" t="inlineStr">
        <is>
          <t>Eng. Pedro Alves</t>
        </is>
      </c>
      <c r="H237" s="41" t="inlineStr">
        <is>
          <t>Approved</t>
        </is>
      </c>
      <c r="I237" s="42" t="n">
        <v>46254</v>
      </c>
      <c r="J237" s="41">
        <f>IF(H237="Pending",TODAY()-B237,IF(I237="","",I237-B237))</f>
        <v/>
      </c>
      <c r="K237" s="43" t="inlineStr"/>
    </row>
    <row r="238">
      <c r="A238" s="44" t="inlineStr">
        <is>
          <t>CTP-WIR-MEP-0043</t>
        </is>
      </c>
      <c r="B238" s="45" t="n">
        <v>46249</v>
      </c>
      <c r="C238" s="46" t="inlineStr">
        <is>
          <t>MEP</t>
        </is>
      </c>
      <c r="D238" s="46" t="inlineStr">
        <is>
          <t>Cable tray installation</t>
        </is>
      </c>
      <c r="E238" s="44" t="inlineStr">
        <is>
          <t>CH 0+431</t>
        </is>
      </c>
      <c r="F238" s="45" t="n">
        <v>46250</v>
      </c>
      <c r="G238" s="46" t="inlineStr">
        <is>
          <t>Eng. Ali Haddad</t>
        </is>
      </c>
      <c r="H238" s="44" t="inlineStr">
        <is>
          <t>Approved</t>
        </is>
      </c>
      <c r="I238" s="45" t="n">
        <v>46251</v>
      </c>
      <c r="J238" s="44">
        <f>IF(H238="Pending",TODAY()-B238,IF(I238="","",I238-B238))</f>
        <v/>
      </c>
      <c r="K238" s="46" t="inlineStr"/>
    </row>
    <row r="239">
      <c r="A239" s="41" t="inlineStr">
        <is>
          <t>CTP-WIR-MEP-0044</t>
        </is>
      </c>
      <c r="B239" s="42" t="n">
        <v>46249</v>
      </c>
      <c r="C239" s="43" t="inlineStr">
        <is>
          <t>MEP</t>
        </is>
      </c>
      <c r="D239" s="43" t="inlineStr">
        <is>
          <t>Pump station testing</t>
        </is>
      </c>
      <c r="E239" s="41" t="inlineStr">
        <is>
          <t>CH 4+575</t>
        </is>
      </c>
      <c r="F239" s="42" t="n">
        <v>46250</v>
      </c>
      <c r="G239" s="43" t="inlineStr">
        <is>
          <t>Eng. Sara Nasser</t>
        </is>
      </c>
      <c r="H239" s="41" t="inlineStr">
        <is>
          <t>Approved with Comments</t>
        </is>
      </c>
      <c r="I239" s="42" t="n">
        <v>46251</v>
      </c>
      <c r="J239" s="41">
        <f>IF(H239="Pending",TODAY()-B239,IF(I239="","",I239-B239))</f>
        <v/>
      </c>
      <c r="K239" s="43" t="inlineStr">
        <is>
          <t>Minor comments to close</t>
        </is>
      </c>
    </row>
    <row r="240">
      <c r="A240" s="44" t="inlineStr">
        <is>
          <t>CTP-WIR-TUN-0050</t>
        </is>
      </c>
      <c r="B240" s="45" t="n">
        <v>46249</v>
      </c>
      <c r="C240" s="46" t="inlineStr">
        <is>
          <t>Tunnelling</t>
        </is>
      </c>
      <c r="D240" s="46" t="inlineStr">
        <is>
          <t>Segment ring build</t>
        </is>
      </c>
      <c r="E240" s="44" t="inlineStr">
        <is>
          <t>CH 9+784</t>
        </is>
      </c>
      <c r="F240" s="45" t="n">
        <v>46249</v>
      </c>
      <c r="G240" s="46" t="inlineStr">
        <is>
          <t>Eng. Hana Saleh</t>
        </is>
      </c>
      <c r="H240" s="44" t="inlineStr">
        <is>
          <t>Approved</t>
        </is>
      </c>
      <c r="I240" s="45" t="n">
        <v>46251</v>
      </c>
      <c r="J240" s="44">
        <f>IF(H240="Pending",TODAY()-B240,IF(I240="","",I240-B240))</f>
        <v/>
      </c>
      <c r="K240" s="46" t="inlineStr"/>
    </row>
    <row r="241">
      <c r="A241" s="41" t="inlineStr">
        <is>
          <t>CTP-WIR-MEP-0045</t>
        </is>
      </c>
      <c r="B241" s="42" t="n">
        <v>46250</v>
      </c>
      <c r="C241" s="43" t="inlineStr">
        <is>
          <t>MEP</t>
        </is>
      </c>
      <c r="D241" s="43" t="inlineStr">
        <is>
          <t>Ventilation duct alignment</t>
        </is>
      </c>
      <c r="E241" s="41" t="inlineStr">
        <is>
          <t>CH 6+608</t>
        </is>
      </c>
      <c r="F241" s="42" t="n">
        <v>46252</v>
      </c>
      <c r="G241" s="43" t="inlineStr">
        <is>
          <t>Eng. Pedro Alves</t>
        </is>
      </c>
      <c r="H241" s="41" t="inlineStr">
        <is>
          <t>Approved</t>
        </is>
      </c>
      <c r="I241" s="42" t="n">
        <v>46252</v>
      </c>
      <c r="J241" s="41">
        <f>IF(H241="Pending",TODAY()-B241,IF(I241="","",I241-B241))</f>
        <v/>
      </c>
      <c r="K241" s="43" t="inlineStr"/>
    </row>
    <row r="242">
      <c r="A242" s="44" t="inlineStr">
        <is>
          <t>CTP-WIR-SUR-0052</t>
        </is>
      </c>
      <c r="B242" s="45" t="n">
        <v>46250</v>
      </c>
      <c r="C242" s="46" t="inlineStr">
        <is>
          <t>Survey</t>
        </is>
      </c>
      <c r="D242" s="46" t="inlineStr">
        <is>
          <t>Setting-out check</t>
        </is>
      </c>
      <c r="E242" s="44" t="inlineStr">
        <is>
          <t>CH 3+917</t>
        </is>
      </c>
      <c r="F242" s="45" t="n">
        <v>46250</v>
      </c>
      <c r="G242" s="46" t="inlineStr">
        <is>
          <t>Eng. Ali Haddad</t>
        </is>
      </c>
      <c r="H242" s="44" t="inlineStr">
        <is>
          <t>Approved</t>
        </is>
      </c>
      <c r="I242" s="45" t="n">
        <v>46252</v>
      </c>
      <c r="J242" s="44">
        <f>IF(H242="Pending",TODAY()-B242,IF(I242="","",I242-B242))</f>
        <v/>
      </c>
      <c r="K242" s="46" t="inlineStr"/>
    </row>
    <row r="243">
      <c r="A243" s="41" t="inlineStr">
        <is>
          <t>CTP-WIR-SUR-0053</t>
        </is>
      </c>
      <c r="B243" s="42" t="n">
        <v>46250</v>
      </c>
      <c r="C243" s="43" t="inlineStr">
        <is>
          <t>Survey</t>
        </is>
      </c>
      <c r="D243" s="43" t="inlineStr">
        <is>
          <t>Tunnel alignment survey</t>
        </is>
      </c>
      <c r="E243" s="41" t="inlineStr">
        <is>
          <t>CH 1+223</t>
        </is>
      </c>
      <c r="F243" s="42" t="n">
        <v>46252</v>
      </c>
      <c r="G243" s="43" t="inlineStr">
        <is>
          <t>Eng. Mark Collins</t>
        </is>
      </c>
      <c r="H243" s="41" t="inlineStr">
        <is>
          <t>Approved</t>
        </is>
      </c>
      <c r="I243" s="42" t="n">
        <v>46252</v>
      </c>
      <c r="J243" s="41">
        <f>IF(H243="Pending",TODAY()-B243,IF(I243="","",I243-B243))</f>
        <v/>
      </c>
      <c r="K243" s="43" t="inlineStr"/>
    </row>
    <row r="244">
      <c r="A244" s="44" t="inlineStr">
        <is>
          <t>CTP-WIR-TUN-0051</t>
        </is>
      </c>
      <c r="B244" s="45" t="n">
        <v>46250</v>
      </c>
      <c r="C244" s="46" t="inlineStr">
        <is>
          <t>Tunnelling</t>
        </is>
      </c>
      <c r="D244" s="46" t="inlineStr">
        <is>
          <t>Segment ring build</t>
        </is>
      </c>
      <c r="E244" s="44" t="inlineStr">
        <is>
          <t>CH 0+844</t>
        </is>
      </c>
      <c r="F244" s="45" t="n">
        <v>46250</v>
      </c>
      <c r="G244" s="46" t="inlineStr">
        <is>
          <t>Eng. Pedro Alves</t>
        </is>
      </c>
      <c r="H244" s="44" t="inlineStr">
        <is>
          <t>Approved</t>
        </is>
      </c>
      <c r="I244" s="45" t="n">
        <v>46253</v>
      </c>
      <c r="J244" s="44">
        <f>IF(H244="Pending",TODAY()-B244,IF(I244="","",I244-B244))</f>
        <v/>
      </c>
      <c r="K244" s="46" t="inlineStr"/>
    </row>
    <row r="245">
      <c r="A245" s="41" t="inlineStr">
        <is>
          <t>CTP-WIR-CIV-0049</t>
        </is>
      </c>
      <c r="B245" s="42" t="n">
        <v>46251</v>
      </c>
      <c r="C245" s="43" t="inlineStr">
        <is>
          <t>Civil</t>
        </is>
      </c>
      <c r="D245" s="43" t="inlineStr">
        <is>
          <t>Backfilling &amp; compaction</t>
        </is>
      </c>
      <c r="E245" s="41" t="inlineStr">
        <is>
          <t>CH 4+643</t>
        </is>
      </c>
      <c r="F245" s="42" t="n">
        <v>46252</v>
      </c>
      <c r="G245" s="43" t="inlineStr">
        <is>
          <t>Eng. Pedro Alves</t>
        </is>
      </c>
      <c r="H245" s="41" t="inlineStr">
        <is>
          <t>Approved with Comments</t>
        </is>
      </c>
      <c r="I245" s="42" t="n">
        <v>46252</v>
      </c>
      <c r="J245" s="41">
        <f>IF(H245="Pending",TODAY()-B245,IF(I245="","",I245-B245))</f>
        <v/>
      </c>
      <c r="K245" s="43" t="inlineStr">
        <is>
          <t>Minor comments to close</t>
        </is>
      </c>
    </row>
    <row r="246">
      <c r="A246" s="44" t="inlineStr">
        <is>
          <t>CTP-WIR-GEO-0044</t>
        </is>
      </c>
      <c r="B246" s="45" t="n">
        <v>46251</v>
      </c>
      <c r="C246" s="46" t="inlineStr">
        <is>
          <t>Geotechnical</t>
        </is>
      </c>
      <c r="D246" s="46" t="inlineStr">
        <is>
          <t>Grout injection</t>
        </is>
      </c>
      <c r="E246" s="44" t="inlineStr">
        <is>
          <t>CH 7+751</t>
        </is>
      </c>
      <c r="F246" s="45" t="n">
        <v>46252</v>
      </c>
      <c r="G246" s="46" t="inlineStr">
        <is>
          <t>Eng. Ali Haddad</t>
        </is>
      </c>
      <c r="H246" s="44" t="inlineStr">
        <is>
          <t>Approved with Comments</t>
        </is>
      </c>
      <c r="I246" s="45" t="n">
        <v>46253</v>
      </c>
      <c r="J246" s="44">
        <f>IF(H246="Pending",TODAY()-B246,IF(I246="","",I246-B246))</f>
        <v/>
      </c>
      <c r="K246" s="46" t="inlineStr">
        <is>
          <t>Minor comments to close</t>
        </is>
      </c>
    </row>
    <row r="247">
      <c r="A247" s="41" t="inlineStr">
        <is>
          <t>CTP-WIR-SUR-0054</t>
        </is>
      </c>
      <c r="B247" s="42" t="n">
        <v>46251</v>
      </c>
      <c r="C247" s="43" t="inlineStr">
        <is>
          <t>Survey</t>
        </is>
      </c>
      <c r="D247" s="43" t="inlineStr">
        <is>
          <t>Tunnel alignment survey</t>
        </is>
      </c>
      <c r="E247" s="41" t="inlineStr">
        <is>
          <t>CH 2+989</t>
        </is>
      </c>
      <c r="F247" s="42" t="n">
        <v>46253</v>
      </c>
      <c r="G247" s="43" t="inlineStr">
        <is>
          <t>Eng. Sara Nasser</t>
        </is>
      </c>
      <c r="H247" s="41" t="inlineStr">
        <is>
          <t>Approved</t>
        </is>
      </c>
      <c r="I247" s="42" t="n">
        <v>46254</v>
      </c>
      <c r="J247" s="41">
        <f>IF(H247="Pending",TODAY()-B247,IF(I247="","",I247-B247))</f>
        <v/>
      </c>
      <c r="K247" s="43" t="inlineStr"/>
    </row>
    <row r="248">
      <c r="A248" s="44" t="inlineStr">
        <is>
          <t>CTP-WIR-TUN-0052</t>
        </is>
      </c>
      <c r="B248" s="45" t="n">
        <v>46251</v>
      </c>
      <c r="C248" s="46" t="inlineStr">
        <is>
          <t>Tunnelling</t>
        </is>
      </c>
      <c r="D248" s="46" t="inlineStr">
        <is>
          <t>Segment ring build</t>
        </is>
      </c>
      <c r="E248" s="44" t="inlineStr">
        <is>
          <t>CH 0+011</t>
        </is>
      </c>
      <c r="F248" s="45" t="n">
        <v>46252</v>
      </c>
      <c r="G248" s="46" t="inlineStr">
        <is>
          <t>Eng. Ali Haddad</t>
        </is>
      </c>
      <c r="H248" s="44" t="inlineStr">
        <is>
          <t>Rejected</t>
        </is>
      </c>
      <c r="I248" s="45" t="n">
        <v>46252</v>
      </c>
      <c r="J248" s="44">
        <f>IF(H248="Pending",TODAY()-B248,IF(I248="","",I248-B248))</f>
        <v/>
      </c>
      <c r="K248" s="46" t="inlineStr">
        <is>
          <t>Re-inspection required</t>
        </is>
      </c>
    </row>
    <row r="249">
      <c r="A249" s="41" t="inlineStr">
        <is>
          <t>CTP-WIR-TUN-0053</t>
        </is>
      </c>
      <c r="B249" s="42" t="n">
        <v>46251</v>
      </c>
      <c r="C249" s="43" t="inlineStr">
        <is>
          <t>Tunnelling</t>
        </is>
      </c>
      <c r="D249" s="43" t="inlineStr">
        <is>
          <t>Tunnel invert cleaning</t>
        </is>
      </c>
      <c r="E249" s="41" t="inlineStr">
        <is>
          <t>CH 9+169</t>
        </is>
      </c>
      <c r="F249" s="42" t="n">
        <v>46251</v>
      </c>
      <c r="G249" s="43" t="inlineStr">
        <is>
          <t>Eng. Hana Saleh</t>
        </is>
      </c>
      <c r="H249" s="41" t="inlineStr">
        <is>
          <t>Approved</t>
        </is>
      </c>
      <c r="I249" s="42" t="n">
        <v>46252</v>
      </c>
      <c r="J249" s="41">
        <f>IF(H249="Pending",TODAY()-B249,IF(I249="","",I249-B249))</f>
        <v/>
      </c>
      <c r="K249" s="43" t="inlineStr"/>
    </row>
    <row r="250">
      <c r="A250" s="44" t="inlineStr">
        <is>
          <t>CTP-WIR-CIV-0050</t>
        </is>
      </c>
      <c r="B250" s="45" t="n">
        <v>46252</v>
      </c>
      <c r="C250" s="46" t="inlineStr">
        <is>
          <t>Civil</t>
        </is>
      </c>
      <c r="D250" s="46" t="inlineStr">
        <is>
          <t>Rebar inspection before concrete</t>
        </is>
      </c>
      <c r="E250" s="44" t="inlineStr">
        <is>
          <t>CH 7+290</t>
        </is>
      </c>
      <c r="F250" s="45" t="n">
        <v>46254</v>
      </c>
      <c r="G250" s="46" t="inlineStr">
        <is>
          <t>Eng. Sara Nasser</t>
        </is>
      </c>
      <c r="H250" s="44" t="inlineStr">
        <is>
          <t>Approved</t>
        </is>
      </c>
      <c r="I250" s="45" t="n">
        <v>46255</v>
      </c>
      <c r="J250" s="44">
        <f>IF(H250="Pending",TODAY()-B250,IF(I250="","",I250-B250))</f>
        <v/>
      </c>
      <c r="K250" s="46" t="inlineStr"/>
    </row>
    <row r="251">
      <c r="A251" s="41" t="inlineStr">
        <is>
          <t>CTP-WIR-GEO-0045</t>
        </is>
      </c>
      <c r="B251" s="42" t="n">
        <v>46252</v>
      </c>
      <c r="C251" s="43" t="inlineStr">
        <is>
          <t>Geotechnical</t>
        </is>
      </c>
      <c r="D251" s="43" t="inlineStr">
        <is>
          <t>Ground anchor installation</t>
        </is>
      </c>
      <c r="E251" s="41" t="inlineStr">
        <is>
          <t>CH 7+394</t>
        </is>
      </c>
      <c r="F251" s="42" t="n">
        <v>46253</v>
      </c>
      <c r="G251" s="43" t="inlineStr">
        <is>
          <t>Eng. Sara Nasser</t>
        </is>
      </c>
      <c r="H251" s="41" t="inlineStr">
        <is>
          <t>Approved</t>
        </is>
      </c>
      <c r="I251" s="42" t="n">
        <v>46255</v>
      </c>
      <c r="J251" s="41">
        <f>IF(H251="Pending",TODAY()-B251,IF(I251="","",I251-B251))</f>
        <v/>
      </c>
      <c r="K251" s="43" t="inlineStr"/>
    </row>
    <row r="252">
      <c r="A252" s="44" t="inlineStr">
        <is>
          <t>CTP-WIR-GEO-0046</t>
        </is>
      </c>
      <c r="B252" s="45" t="n">
        <v>46252</v>
      </c>
      <c r="C252" s="46" t="inlineStr">
        <is>
          <t>Geotechnical</t>
        </is>
      </c>
      <c r="D252" s="46" t="inlineStr">
        <is>
          <t>Rock bolt pull-out test</t>
        </is>
      </c>
      <c r="E252" s="44" t="inlineStr">
        <is>
          <t>CH 9+997</t>
        </is>
      </c>
      <c r="F252" s="45" t="n">
        <v>46253</v>
      </c>
      <c r="G252" s="46" t="inlineStr">
        <is>
          <t>Eng. Hana Saleh</t>
        </is>
      </c>
      <c r="H252" s="44" t="inlineStr">
        <is>
          <t>Approved</t>
        </is>
      </c>
      <c r="I252" s="45" t="n">
        <v>46253</v>
      </c>
      <c r="J252" s="44">
        <f>IF(H252="Pending",TODAY()-B252,IF(I252="","",I252-B252))</f>
        <v/>
      </c>
      <c r="K252" s="46" t="inlineStr"/>
    </row>
    <row r="253">
      <c r="A253" s="41" t="inlineStr">
        <is>
          <t>CTP-WIR-GEO-0047</t>
        </is>
      </c>
      <c r="B253" s="42" t="n">
        <v>46252</v>
      </c>
      <c r="C253" s="43" t="inlineStr">
        <is>
          <t>Geotechnical</t>
        </is>
      </c>
      <c r="D253" s="43" t="inlineStr">
        <is>
          <t>Ground anchor installation</t>
        </is>
      </c>
      <c r="E253" s="41" t="inlineStr">
        <is>
          <t>CH 4+598</t>
        </is>
      </c>
      <c r="F253" s="42" t="n">
        <v>46252</v>
      </c>
      <c r="G253" s="43" t="inlineStr">
        <is>
          <t>Eng. Mark Collins</t>
        </is>
      </c>
      <c r="H253" s="41" t="inlineStr">
        <is>
          <t>Approved with Comments</t>
        </is>
      </c>
      <c r="I253" s="42" t="n">
        <v>46255</v>
      </c>
      <c r="J253" s="41">
        <f>IF(H253="Pending",TODAY()-B253,IF(I253="","",I253-B253))</f>
        <v/>
      </c>
      <c r="K253" s="43" t="inlineStr">
        <is>
          <t>Minor comments to close</t>
        </is>
      </c>
    </row>
    <row r="254">
      <c r="A254" s="44" t="inlineStr">
        <is>
          <t>CTP-WIR-MEP-0046</t>
        </is>
      </c>
      <c r="B254" s="45" t="n">
        <v>46252</v>
      </c>
      <c r="C254" s="46" t="inlineStr">
        <is>
          <t>MEP</t>
        </is>
      </c>
      <c r="D254" s="46" t="inlineStr">
        <is>
          <t>Pump station testing</t>
        </is>
      </c>
      <c r="E254" s="44" t="inlineStr">
        <is>
          <t>CH 9+150</t>
        </is>
      </c>
      <c r="F254" s="45" t="n">
        <v>46252</v>
      </c>
      <c r="G254" s="46" t="inlineStr">
        <is>
          <t>Eng. Hana Saleh</t>
        </is>
      </c>
      <c r="H254" s="44" t="inlineStr">
        <is>
          <t>Approved</t>
        </is>
      </c>
      <c r="I254" s="45" t="n">
        <v>46253</v>
      </c>
      <c r="J254" s="44">
        <f>IF(H254="Pending",TODAY()-B254,IF(I254="","",I254-B254))</f>
        <v/>
      </c>
      <c r="K254" s="46" t="inlineStr"/>
    </row>
    <row r="255">
      <c r="A255" s="41" t="inlineStr">
        <is>
          <t>CTP-WIR-SUR-0055</t>
        </is>
      </c>
      <c r="B255" s="42" t="n">
        <v>46252</v>
      </c>
      <c r="C255" s="43" t="inlineStr">
        <is>
          <t>Survey</t>
        </is>
      </c>
      <c r="D255" s="43" t="inlineStr">
        <is>
          <t>Settlement monitoring</t>
        </is>
      </c>
      <c r="E255" s="41" t="inlineStr">
        <is>
          <t>CH 8+566</t>
        </is>
      </c>
      <c r="F255" s="42" t="n">
        <v>46254</v>
      </c>
      <c r="G255" s="43" t="inlineStr">
        <is>
          <t>Eng. Pedro Alves</t>
        </is>
      </c>
      <c r="H255" s="41" t="inlineStr">
        <is>
          <t>Approved</t>
        </is>
      </c>
      <c r="I255" s="42" t="n">
        <v>46254</v>
      </c>
      <c r="J255" s="41">
        <f>IF(H255="Pending",TODAY()-B255,IF(I255="","",I255-B255))</f>
        <v/>
      </c>
      <c r="K255" s="43" t="inlineStr"/>
    </row>
    <row r="256">
      <c r="A256" s="44" t="inlineStr">
        <is>
          <t>CTP-WIR-SUR-0056</t>
        </is>
      </c>
      <c r="B256" s="45" t="n">
        <v>46252</v>
      </c>
      <c r="C256" s="46" t="inlineStr">
        <is>
          <t>Survey</t>
        </is>
      </c>
      <c r="D256" s="46" t="inlineStr">
        <is>
          <t>Tunnel alignment survey</t>
        </is>
      </c>
      <c r="E256" s="44" t="inlineStr">
        <is>
          <t>CH 4+621</t>
        </is>
      </c>
      <c r="F256" s="45" t="n">
        <v>46253</v>
      </c>
      <c r="G256" s="46" t="inlineStr">
        <is>
          <t>Eng. Pedro Alves</t>
        </is>
      </c>
      <c r="H256" s="44" t="inlineStr">
        <is>
          <t>Approved with Comments</t>
        </is>
      </c>
      <c r="I256" s="45" t="n">
        <v>46254</v>
      </c>
      <c r="J256" s="44">
        <f>IF(H256="Pending",TODAY()-B256,IF(I256="","",I256-B256))</f>
        <v/>
      </c>
      <c r="K256" s="46" t="inlineStr">
        <is>
          <t>Minor comments to close</t>
        </is>
      </c>
    </row>
    <row r="257">
      <c r="A257" s="41" t="inlineStr">
        <is>
          <t>CTP-WIR-CIV-0051</t>
        </is>
      </c>
      <c r="B257" s="42" t="n">
        <v>46253</v>
      </c>
      <c r="C257" s="43" t="inlineStr">
        <is>
          <t>Civil</t>
        </is>
      </c>
      <c r="D257" s="43" t="inlineStr">
        <is>
          <t>Concrete pouring</t>
        </is>
      </c>
      <c r="E257" s="41" t="inlineStr">
        <is>
          <t>CH 6+593</t>
        </is>
      </c>
      <c r="F257" s="42" t="n">
        <v>46254</v>
      </c>
      <c r="G257" s="43" t="inlineStr">
        <is>
          <t>Eng. Hana Saleh</t>
        </is>
      </c>
      <c r="H257" s="41" t="inlineStr">
        <is>
          <t>Approved with Comments</t>
        </is>
      </c>
      <c r="I257" s="42" t="n">
        <v>46255</v>
      </c>
      <c r="J257" s="41">
        <f>IF(H257="Pending",TODAY()-B257,IF(I257="","",I257-B257))</f>
        <v/>
      </c>
      <c r="K257" s="43" t="inlineStr">
        <is>
          <t>Minor comments to close</t>
        </is>
      </c>
    </row>
    <row r="258">
      <c r="A258" s="44" t="inlineStr">
        <is>
          <t>CTP-WIR-GEO-0048</t>
        </is>
      </c>
      <c r="B258" s="45" t="n">
        <v>46253</v>
      </c>
      <c r="C258" s="46" t="inlineStr">
        <is>
          <t>Geotechnical</t>
        </is>
      </c>
      <c r="D258" s="46" t="inlineStr">
        <is>
          <t>Ground anchor installation</t>
        </is>
      </c>
      <c r="E258" s="44" t="inlineStr">
        <is>
          <t>CH 0+810</t>
        </is>
      </c>
      <c r="F258" s="45" t="n">
        <v>46254</v>
      </c>
      <c r="G258" s="46" t="inlineStr">
        <is>
          <t>Eng. Pedro Alves</t>
        </is>
      </c>
      <c r="H258" s="44" t="inlineStr">
        <is>
          <t>Rejected</t>
        </is>
      </c>
      <c r="I258" s="45" t="n">
        <v>46257</v>
      </c>
      <c r="J258" s="44">
        <f>IF(H258="Pending",TODAY()-B258,IF(I258="","",I258-B258))</f>
        <v/>
      </c>
      <c r="K258" s="46" t="inlineStr">
        <is>
          <t>Re-inspection required</t>
        </is>
      </c>
    </row>
    <row r="259">
      <c r="A259" s="41" t="inlineStr">
        <is>
          <t>CTP-WIR-MEP-0047</t>
        </is>
      </c>
      <c r="B259" s="42" t="n">
        <v>46253</v>
      </c>
      <c r="C259" s="43" t="inlineStr">
        <is>
          <t>MEP</t>
        </is>
      </c>
      <c r="D259" s="43" t="inlineStr">
        <is>
          <t>Cable tray installation</t>
        </is>
      </c>
      <c r="E259" s="41" t="inlineStr">
        <is>
          <t>CH 2+252</t>
        </is>
      </c>
      <c r="F259" s="42" t="n">
        <v>46254</v>
      </c>
      <c r="G259" s="43" t="inlineStr">
        <is>
          <t>Eng. Pedro Alves</t>
        </is>
      </c>
      <c r="H259" s="41" t="inlineStr">
        <is>
          <t>Approved</t>
        </is>
      </c>
      <c r="I259" s="42" t="n">
        <v>46257</v>
      </c>
      <c r="J259" s="41">
        <f>IF(H259="Pending",TODAY()-B259,IF(I259="","",I259-B259))</f>
        <v/>
      </c>
      <c r="K259" s="43" t="inlineStr"/>
    </row>
    <row r="260">
      <c r="A260" s="44" t="inlineStr">
        <is>
          <t>CTP-WIR-SUR-0057</t>
        </is>
      </c>
      <c r="B260" s="45" t="n">
        <v>46253</v>
      </c>
      <c r="C260" s="46" t="inlineStr">
        <is>
          <t>Survey</t>
        </is>
      </c>
      <c r="D260" s="46" t="inlineStr">
        <is>
          <t>As-built survey</t>
        </is>
      </c>
      <c r="E260" s="44" t="inlineStr">
        <is>
          <t>CH 1+159</t>
        </is>
      </c>
      <c r="F260" s="45" t="n">
        <v>46253</v>
      </c>
      <c r="G260" s="46" t="inlineStr">
        <is>
          <t>Eng. Hana Saleh</t>
        </is>
      </c>
      <c r="H260" s="44" t="inlineStr">
        <is>
          <t>Approved</t>
        </is>
      </c>
      <c r="I260" s="45" t="n">
        <v>46255</v>
      </c>
      <c r="J260" s="44">
        <f>IF(H260="Pending",TODAY()-B260,IF(I260="","",I260-B260))</f>
        <v/>
      </c>
      <c r="K260" s="46" t="inlineStr"/>
    </row>
    <row r="261">
      <c r="A261" s="41" t="inlineStr">
        <is>
          <t>CTP-WIR-TUN-0054</t>
        </is>
      </c>
      <c r="B261" s="42" t="n">
        <v>46253</v>
      </c>
      <c r="C261" s="43" t="inlineStr">
        <is>
          <t>Tunnelling</t>
        </is>
      </c>
      <c r="D261" s="43" t="inlineStr">
        <is>
          <t>Annulus grouting</t>
        </is>
      </c>
      <c r="E261" s="41" t="inlineStr">
        <is>
          <t>CH 1+185</t>
        </is>
      </c>
      <c r="F261" s="42" t="n">
        <v>46254</v>
      </c>
      <c r="G261" s="43" t="inlineStr">
        <is>
          <t>Eng. Sara Nasser</t>
        </is>
      </c>
      <c r="H261" s="41" t="inlineStr">
        <is>
          <t>Approved</t>
        </is>
      </c>
      <c r="I261" s="42" t="n">
        <v>46255</v>
      </c>
      <c r="J261" s="41">
        <f>IF(H261="Pending",TODAY()-B261,IF(I261="","",I261-B261))</f>
        <v/>
      </c>
      <c r="K261" s="43" t="inlineStr"/>
    </row>
    <row r="262">
      <c r="A262" s="44" t="inlineStr">
        <is>
          <t>CTP-WIR-CIV-0052</t>
        </is>
      </c>
      <c r="B262" s="45" t="n">
        <v>46254</v>
      </c>
      <c r="C262" s="46" t="inlineStr">
        <is>
          <t>Civil</t>
        </is>
      </c>
      <c r="D262" s="46" t="inlineStr">
        <is>
          <t>Formwork inspection</t>
        </is>
      </c>
      <c r="E262" s="44" t="inlineStr">
        <is>
          <t>CH 9+497</t>
        </is>
      </c>
      <c r="F262" s="45" t="n">
        <v>46254</v>
      </c>
      <c r="G262" s="46" t="inlineStr">
        <is>
          <t>Eng. Sara Nasser</t>
        </is>
      </c>
      <c r="H262" s="44" t="inlineStr">
        <is>
          <t>Approved</t>
        </is>
      </c>
      <c r="I262" s="45" t="n">
        <v>46255</v>
      </c>
      <c r="J262" s="44">
        <f>IF(H262="Pending",TODAY()-B262,IF(I262="","",I262-B262))</f>
        <v/>
      </c>
      <c r="K262" s="46" t="inlineStr"/>
    </row>
    <row r="263">
      <c r="A263" s="41" t="inlineStr">
        <is>
          <t>CTP-WIR-MEP-0048</t>
        </is>
      </c>
      <c r="B263" s="42" t="n">
        <v>46254</v>
      </c>
      <c r="C263" s="43" t="inlineStr">
        <is>
          <t>MEP</t>
        </is>
      </c>
      <c r="D263" s="43" t="inlineStr">
        <is>
          <t>Ventilation duct alignment</t>
        </is>
      </c>
      <c r="E263" s="41" t="inlineStr">
        <is>
          <t>CH 4+326</t>
        </is>
      </c>
      <c r="F263" s="42" t="n">
        <v>46254</v>
      </c>
      <c r="G263" s="43" t="inlineStr">
        <is>
          <t>Eng. Ali Haddad</t>
        </is>
      </c>
      <c r="H263" s="41" t="inlineStr">
        <is>
          <t>Approved with Comments</t>
        </is>
      </c>
      <c r="I263" s="42" t="n">
        <v>46254</v>
      </c>
      <c r="J263" s="41">
        <f>IF(H263="Pending",TODAY()-B263,IF(I263="","",I263-B263))</f>
        <v/>
      </c>
      <c r="K263" s="43" t="inlineStr">
        <is>
          <t>Minor comments to close</t>
        </is>
      </c>
    </row>
    <row r="264">
      <c r="A264" s="44" t="inlineStr">
        <is>
          <t>CTP-WIR-MEP-0049</t>
        </is>
      </c>
      <c r="B264" s="45" t="n">
        <v>46254</v>
      </c>
      <c r="C264" s="46" t="inlineStr">
        <is>
          <t>MEP</t>
        </is>
      </c>
      <c r="D264" s="46" t="inlineStr">
        <is>
          <t>Ventilation duct alignment</t>
        </is>
      </c>
      <c r="E264" s="44" t="inlineStr">
        <is>
          <t>CH 5+988</t>
        </is>
      </c>
      <c r="F264" s="45" t="n">
        <v>46256</v>
      </c>
      <c r="G264" s="46" t="inlineStr">
        <is>
          <t>Eng. Mark Collins</t>
        </is>
      </c>
      <c r="H264" s="44" t="inlineStr">
        <is>
          <t>Approved</t>
        </is>
      </c>
      <c r="I264" s="45" t="n">
        <v>46257</v>
      </c>
      <c r="J264" s="44">
        <f>IF(H264="Pending",TODAY()-B264,IF(I264="","",I264-B264))</f>
        <v/>
      </c>
      <c r="K264" s="46" t="inlineStr"/>
    </row>
    <row r="265">
      <c r="A265" s="41" t="inlineStr">
        <is>
          <t>CTP-WIR-TUN-0055</t>
        </is>
      </c>
      <c r="B265" s="42" t="n">
        <v>46254</v>
      </c>
      <c r="C265" s="43" t="inlineStr">
        <is>
          <t>Tunnelling</t>
        </is>
      </c>
      <c r="D265" s="43" t="inlineStr">
        <is>
          <t>TBM cutter change</t>
        </is>
      </c>
      <c r="E265" s="41" t="inlineStr">
        <is>
          <t>CH 9+838</t>
        </is>
      </c>
      <c r="F265" s="42" t="n">
        <v>46255</v>
      </c>
      <c r="G265" s="43" t="inlineStr">
        <is>
          <t>Eng. Sara Nasser</t>
        </is>
      </c>
      <c r="H265" s="41" t="inlineStr">
        <is>
          <t>Approved</t>
        </is>
      </c>
      <c r="I265" s="42" t="n">
        <v>46257</v>
      </c>
      <c r="J265" s="41">
        <f>IF(H265="Pending",TODAY()-B265,IF(I265="","",I265-B265))</f>
        <v/>
      </c>
      <c r="K265" s="43" t="inlineStr"/>
    </row>
    <row r="266">
      <c r="A266" s="44" t="inlineStr">
        <is>
          <t>CTP-WIR-TUN-0056</t>
        </is>
      </c>
      <c r="B266" s="45" t="n">
        <v>46254</v>
      </c>
      <c r="C266" s="46" t="inlineStr">
        <is>
          <t>Tunnelling</t>
        </is>
      </c>
      <c r="D266" s="46" t="inlineStr">
        <is>
          <t>Segment ring build</t>
        </is>
      </c>
      <c r="E266" s="44" t="inlineStr">
        <is>
          <t>CH 6+085</t>
        </is>
      </c>
      <c r="F266" s="45" t="n">
        <v>46254</v>
      </c>
      <c r="G266" s="46" t="inlineStr">
        <is>
          <t>Eng. Ali Haddad</t>
        </is>
      </c>
      <c r="H266" s="44" t="inlineStr">
        <is>
          <t>Approved</t>
        </is>
      </c>
      <c r="I266" s="45" t="n">
        <v>46255</v>
      </c>
      <c r="J266" s="44">
        <f>IF(H266="Pending",TODAY()-B266,IF(I266="","",I266-B266))</f>
        <v/>
      </c>
      <c r="K266" s="46" t="inlineStr"/>
    </row>
    <row r="267">
      <c r="A267" s="41" t="inlineStr">
        <is>
          <t>CTP-WIR-TUN-0057</t>
        </is>
      </c>
      <c r="B267" s="42" t="n">
        <v>46254</v>
      </c>
      <c r="C267" s="43" t="inlineStr">
        <is>
          <t>Tunnelling</t>
        </is>
      </c>
      <c r="D267" s="43" t="inlineStr">
        <is>
          <t>Segment ring build</t>
        </is>
      </c>
      <c r="E267" s="41" t="inlineStr">
        <is>
          <t>CH 7+969</t>
        </is>
      </c>
      <c r="F267" s="42" t="n">
        <v>46254</v>
      </c>
      <c r="G267" s="43" t="inlineStr">
        <is>
          <t>Eng. Hana Saleh</t>
        </is>
      </c>
      <c r="H267" s="41" t="inlineStr">
        <is>
          <t>Approved</t>
        </is>
      </c>
      <c r="I267" s="42" t="n">
        <v>46256</v>
      </c>
      <c r="J267" s="41">
        <f>IF(H267="Pending",TODAY()-B267,IF(I267="","",I267-B267))</f>
        <v/>
      </c>
      <c r="K267" s="43" t="inlineStr"/>
    </row>
    <row r="268">
      <c r="A268" s="44" t="inlineStr">
        <is>
          <t>CTP-WIR-GEO-0049</t>
        </is>
      </c>
      <c r="B268" s="45" t="n">
        <v>46256</v>
      </c>
      <c r="C268" s="46" t="inlineStr">
        <is>
          <t>Geotechnical</t>
        </is>
      </c>
      <c r="D268" s="46" t="inlineStr">
        <is>
          <t>Borehole drilling &amp; logging</t>
        </is>
      </c>
      <c r="E268" s="44" t="inlineStr">
        <is>
          <t>CH 0+857</t>
        </is>
      </c>
      <c r="F268" s="45" t="n">
        <v>46257</v>
      </c>
      <c r="G268" s="46" t="inlineStr">
        <is>
          <t>Eng. Sara Nasser</t>
        </is>
      </c>
      <c r="H268" s="44" t="inlineStr">
        <is>
          <t>Approved</t>
        </is>
      </c>
      <c r="I268" s="45" t="n">
        <v>46260</v>
      </c>
      <c r="J268" s="44">
        <f>IF(H268="Pending",TODAY()-B268,IF(I268="","",I268-B268))</f>
        <v/>
      </c>
      <c r="K268" s="46" t="inlineStr"/>
    </row>
    <row r="269">
      <c r="A269" s="41" t="inlineStr">
        <is>
          <t>CTP-WIR-GEO-0050</t>
        </is>
      </c>
      <c r="B269" s="42" t="n">
        <v>46256</v>
      </c>
      <c r="C269" s="43" t="inlineStr">
        <is>
          <t>Geotechnical</t>
        </is>
      </c>
      <c r="D269" s="43" t="inlineStr">
        <is>
          <t>Borehole drilling &amp; logging</t>
        </is>
      </c>
      <c r="E269" s="41" t="inlineStr">
        <is>
          <t>CH 5+773</t>
        </is>
      </c>
      <c r="F269" s="42" t="n">
        <v>46258</v>
      </c>
      <c r="G269" s="43" t="inlineStr">
        <is>
          <t>Eng. Mark Collins</t>
        </is>
      </c>
      <c r="H269" s="41" t="inlineStr">
        <is>
          <t>Approved</t>
        </is>
      </c>
      <c r="I269" s="42" t="n">
        <v>46259</v>
      </c>
      <c r="J269" s="41">
        <f>IF(H269="Pending",TODAY()-B269,IF(I269="","",I269-B269))</f>
        <v/>
      </c>
      <c r="K269" s="43" t="inlineStr"/>
    </row>
    <row r="270">
      <c r="A270" s="44" t="inlineStr">
        <is>
          <t>CTP-WIR-GEO-0051</t>
        </is>
      </c>
      <c r="B270" s="45" t="n">
        <v>46256</v>
      </c>
      <c r="C270" s="46" t="inlineStr">
        <is>
          <t>Geotechnical</t>
        </is>
      </c>
      <c r="D270" s="46" t="inlineStr">
        <is>
          <t>Rock bolt pull-out test</t>
        </is>
      </c>
      <c r="E270" s="44" t="inlineStr">
        <is>
          <t>CH 1+482</t>
        </is>
      </c>
      <c r="F270" s="45" t="n">
        <v>46257</v>
      </c>
      <c r="G270" s="46" t="inlineStr">
        <is>
          <t>Eng. Sara Nasser</t>
        </is>
      </c>
      <c r="H270" s="44" t="inlineStr">
        <is>
          <t>Approved</t>
        </is>
      </c>
      <c r="I270" s="45" t="n">
        <v>46259</v>
      </c>
      <c r="J270" s="44">
        <f>IF(H270="Pending",TODAY()-B270,IF(I270="","",I270-B270))</f>
        <v/>
      </c>
      <c r="K270" s="46" t="inlineStr"/>
    </row>
    <row r="271">
      <c r="A271" s="41" t="inlineStr">
        <is>
          <t>CTP-WIR-MEP-0050</t>
        </is>
      </c>
      <c r="B271" s="42" t="n">
        <v>46256</v>
      </c>
      <c r="C271" s="43" t="inlineStr">
        <is>
          <t>MEP</t>
        </is>
      </c>
      <c r="D271" s="43" t="inlineStr">
        <is>
          <t>Ventilation duct alignment</t>
        </is>
      </c>
      <c r="E271" s="41" t="inlineStr">
        <is>
          <t>CH 0+479</t>
        </is>
      </c>
      <c r="F271" s="42" t="n">
        <v>46257</v>
      </c>
      <c r="G271" s="43" t="inlineStr">
        <is>
          <t>Eng. Ali Haddad</t>
        </is>
      </c>
      <c r="H271" s="41" t="inlineStr">
        <is>
          <t>Approved</t>
        </is>
      </c>
      <c r="I271" s="42" t="n">
        <v>46258</v>
      </c>
      <c r="J271" s="41">
        <f>IF(H271="Pending",TODAY()-B271,IF(I271="","",I271-B271))</f>
        <v/>
      </c>
      <c r="K271" s="43" t="inlineStr"/>
    </row>
    <row r="272">
      <c r="A272" s="44" t="inlineStr">
        <is>
          <t>CTP-WIR-CIV-0053</t>
        </is>
      </c>
      <c r="B272" s="45" t="n">
        <v>46257</v>
      </c>
      <c r="C272" s="46" t="inlineStr">
        <is>
          <t>Civil</t>
        </is>
      </c>
      <c r="D272" s="46" t="inlineStr">
        <is>
          <t>Formwork inspection</t>
        </is>
      </c>
      <c r="E272" s="44" t="inlineStr">
        <is>
          <t>CH 2+339</t>
        </is>
      </c>
      <c r="F272" s="45" t="n">
        <v>46259</v>
      </c>
      <c r="G272" s="46" t="inlineStr">
        <is>
          <t>Eng. Ali Haddad</t>
        </is>
      </c>
      <c r="H272" s="44" t="inlineStr">
        <is>
          <t>Approved</t>
        </is>
      </c>
      <c r="I272" s="45" t="n">
        <v>46260</v>
      </c>
      <c r="J272" s="44">
        <f>IF(H272="Pending",TODAY()-B272,IF(I272="","",I272-B272))</f>
        <v/>
      </c>
      <c r="K272" s="46" t="inlineStr"/>
    </row>
    <row r="273">
      <c r="A273" s="41" t="inlineStr">
        <is>
          <t>CTP-WIR-CIV-0054</t>
        </is>
      </c>
      <c r="B273" s="42" t="n">
        <v>46257</v>
      </c>
      <c r="C273" s="43" t="inlineStr">
        <is>
          <t>Civil</t>
        </is>
      </c>
      <c r="D273" s="43" t="inlineStr">
        <is>
          <t>Formwork inspection</t>
        </is>
      </c>
      <c r="E273" s="41" t="inlineStr">
        <is>
          <t>CH 2+449</t>
        </is>
      </c>
      <c r="F273" s="42" t="n">
        <v>46258</v>
      </c>
      <c r="G273" s="43" t="inlineStr">
        <is>
          <t>Eng. Sara Nasser</t>
        </is>
      </c>
      <c r="H273" s="41" t="inlineStr">
        <is>
          <t>Approved with Comments</t>
        </is>
      </c>
      <c r="I273" s="42" t="n">
        <v>46261</v>
      </c>
      <c r="J273" s="41">
        <f>IF(H273="Pending",TODAY()-B273,IF(I273="","",I273-B273))</f>
        <v/>
      </c>
      <c r="K273" s="43" t="inlineStr">
        <is>
          <t>Minor comments to close</t>
        </is>
      </c>
    </row>
    <row r="274">
      <c r="A274" s="44" t="inlineStr">
        <is>
          <t>CTP-WIR-GEO-0052</t>
        </is>
      </c>
      <c r="B274" s="45" t="n">
        <v>46257</v>
      </c>
      <c r="C274" s="46" t="inlineStr">
        <is>
          <t>Geotechnical</t>
        </is>
      </c>
      <c r="D274" s="46" t="inlineStr">
        <is>
          <t>Ground anchor installation</t>
        </is>
      </c>
      <c r="E274" s="44" t="inlineStr">
        <is>
          <t>CH 2+796</t>
        </is>
      </c>
      <c r="F274" s="45" t="n">
        <v>46257</v>
      </c>
      <c r="G274" s="46" t="inlineStr">
        <is>
          <t>Eng. Ali Haddad</t>
        </is>
      </c>
      <c r="H274" s="44" t="inlineStr">
        <is>
          <t>Rejected</t>
        </is>
      </c>
      <c r="I274" s="45" t="n">
        <v>46258</v>
      </c>
      <c r="J274" s="44">
        <f>IF(H274="Pending",TODAY()-B274,IF(I274="","",I274-B274))</f>
        <v/>
      </c>
      <c r="K274" s="46" t="inlineStr">
        <is>
          <t>Re-inspection required</t>
        </is>
      </c>
    </row>
    <row r="275">
      <c r="A275" s="41" t="inlineStr">
        <is>
          <t>CTP-WIR-GEO-0053</t>
        </is>
      </c>
      <c r="B275" s="42" t="n">
        <v>46257</v>
      </c>
      <c r="C275" s="43" t="inlineStr">
        <is>
          <t>Geotechnical</t>
        </is>
      </c>
      <c r="D275" s="43" t="inlineStr">
        <is>
          <t>Rock bolt pull-out test</t>
        </is>
      </c>
      <c r="E275" s="41" t="inlineStr">
        <is>
          <t>CH 7+995</t>
        </is>
      </c>
      <c r="F275" s="42" t="n">
        <v>46259</v>
      </c>
      <c r="G275" s="43" t="inlineStr">
        <is>
          <t>Eng. Sara Nasser</t>
        </is>
      </c>
      <c r="H275" s="41" t="inlineStr">
        <is>
          <t>Approved with Comments</t>
        </is>
      </c>
      <c r="I275" s="42" t="n">
        <v>46259</v>
      </c>
      <c r="J275" s="41">
        <f>IF(H275="Pending",TODAY()-B275,IF(I275="","",I275-B275))</f>
        <v/>
      </c>
      <c r="K275" s="43" t="inlineStr">
        <is>
          <t>Minor comments to close</t>
        </is>
      </c>
    </row>
    <row r="276">
      <c r="A276" s="44" t="inlineStr">
        <is>
          <t>CTP-WIR-MEP-0051</t>
        </is>
      </c>
      <c r="B276" s="45" t="n">
        <v>46257</v>
      </c>
      <c r="C276" s="46" t="inlineStr">
        <is>
          <t>MEP</t>
        </is>
      </c>
      <c r="D276" s="46" t="inlineStr">
        <is>
          <t>Lighting installation</t>
        </is>
      </c>
      <c r="E276" s="44" t="inlineStr">
        <is>
          <t>CH 7+924</t>
        </is>
      </c>
      <c r="F276" s="45" t="n">
        <v>46258</v>
      </c>
      <c r="G276" s="46" t="inlineStr">
        <is>
          <t>Eng. Ali Haddad</t>
        </is>
      </c>
      <c r="H276" s="44" t="inlineStr">
        <is>
          <t>Approved</t>
        </is>
      </c>
      <c r="I276" s="45" t="n">
        <v>46259</v>
      </c>
      <c r="J276" s="44">
        <f>IF(H276="Pending",TODAY()-B276,IF(I276="","",I276-B276))</f>
        <v/>
      </c>
      <c r="K276" s="46" t="inlineStr"/>
    </row>
    <row r="277">
      <c r="A277" s="41" t="inlineStr">
        <is>
          <t>CTP-WIR-MEP-0052</t>
        </is>
      </c>
      <c r="B277" s="42" t="n">
        <v>46257</v>
      </c>
      <c r="C277" s="43" t="inlineStr">
        <is>
          <t>MEP</t>
        </is>
      </c>
      <c r="D277" s="43" t="inlineStr">
        <is>
          <t>Lighting installation</t>
        </is>
      </c>
      <c r="E277" s="41" t="inlineStr">
        <is>
          <t>CH 3+573</t>
        </is>
      </c>
      <c r="F277" s="42" t="n">
        <v>46258</v>
      </c>
      <c r="G277" s="43" t="inlineStr">
        <is>
          <t>Eng. Sara Nasser</t>
        </is>
      </c>
      <c r="H277" s="41" t="inlineStr">
        <is>
          <t>Rejected</t>
        </is>
      </c>
      <c r="I277" s="42" t="n">
        <v>46258</v>
      </c>
      <c r="J277" s="41">
        <f>IF(H277="Pending",TODAY()-B277,IF(I277="","",I277-B277))</f>
        <v/>
      </c>
      <c r="K277" s="43" t="inlineStr">
        <is>
          <t>Re-inspection required</t>
        </is>
      </c>
    </row>
    <row r="278">
      <c r="A278" s="44" t="inlineStr">
        <is>
          <t>CTP-WIR-TUN-0058</t>
        </is>
      </c>
      <c r="B278" s="45" t="n">
        <v>46257</v>
      </c>
      <c r="C278" s="46" t="inlineStr">
        <is>
          <t>Tunnelling</t>
        </is>
      </c>
      <c r="D278" s="46" t="inlineStr">
        <is>
          <t>Annulus grouting</t>
        </is>
      </c>
      <c r="E278" s="44" t="inlineStr">
        <is>
          <t>CH 9+859</t>
        </is>
      </c>
      <c r="F278" s="45" t="n">
        <v>46258</v>
      </c>
      <c r="G278" s="46" t="inlineStr">
        <is>
          <t>Eng. Sara Nasser</t>
        </is>
      </c>
      <c r="H278" s="44" t="inlineStr">
        <is>
          <t>Approved</t>
        </is>
      </c>
      <c r="I278" s="45" t="n">
        <v>46259</v>
      </c>
      <c r="J278" s="44">
        <f>IF(H278="Pending",TODAY()-B278,IF(I278="","",I278-B278))</f>
        <v/>
      </c>
      <c r="K278" s="46" t="inlineStr"/>
    </row>
    <row r="279">
      <c r="A279" s="41" t="inlineStr">
        <is>
          <t>CTP-WIR-CIV-0055</t>
        </is>
      </c>
      <c r="B279" s="42" t="n">
        <v>46258</v>
      </c>
      <c r="C279" s="43" t="inlineStr">
        <is>
          <t>Civil</t>
        </is>
      </c>
      <c r="D279" s="43" t="inlineStr">
        <is>
          <t>Formwork inspection</t>
        </is>
      </c>
      <c r="E279" s="41" t="inlineStr">
        <is>
          <t>CH 5+523</t>
        </is>
      </c>
      <c r="F279" s="42" t="n">
        <v>46258</v>
      </c>
      <c r="G279" s="43" t="inlineStr">
        <is>
          <t>Eng. Pedro Alves</t>
        </is>
      </c>
      <c r="H279" s="41" t="inlineStr">
        <is>
          <t>Approved</t>
        </is>
      </c>
      <c r="I279" s="42" t="n">
        <v>46261</v>
      </c>
      <c r="J279" s="41">
        <f>IF(H279="Pending",TODAY()-B279,IF(I279="","",I279-B279))</f>
        <v/>
      </c>
      <c r="K279" s="43" t="inlineStr"/>
    </row>
    <row r="280">
      <c r="A280" s="44" t="inlineStr">
        <is>
          <t>CTP-WIR-CIV-0056</t>
        </is>
      </c>
      <c r="B280" s="45" t="n">
        <v>46258</v>
      </c>
      <c r="C280" s="46" t="inlineStr">
        <is>
          <t>Civil</t>
        </is>
      </c>
      <c r="D280" s="46" t="inlineStr">
        <is>
          <t>Concrete pouring</t>
        </is>
      </c>
      <c r="E280" s="44" t="inlineStr">
        <is>
          <t>CH 4+190</t>
        </is>
      </c>
      <c r="F280" s="45" t="n">
        <v>46258</v>
      </c>
      <c r="G280" s="46" t="inlineStr">
        <is>
          <t>Eng. Pedro Alves</t>
        </is>
      </c>
      <c r="H280" s="44" t="inlineStr">
        <is>
          <t>Approved with Comments</t>
        </is>
      </c>
      <c r="I280" s="45" t="n">
        <v>46261</v>
      </c>
      <c r="J280" s="44">
        <f>IF(H280="Pending",TODAY()-B280,IF(I280="","",I280-B280))</f>
        <v/>
      </c>
      <c r="K280" s="46" t="inlineStr">
        <is>
          <t>Minor comments to close</t>
        </is>
      </c>
    </row>
    <row r="281">
      <c r="A281" s="41" t="inlineStr">
        <is>
          <t>CTP-WIR-CIV-0057</t>
        </is>
      </c>
      <c r="B281" s="42" t="n">
        <v>46258</v>
      </c>
      <c r="C281" s="43" t="inlineStr">
        <is>
          <t>Civil</t>
        </is>
      </c>
      <c r="D281" s="43" t="inlineStr">
        <is>
          <t>Formwork inspection</t>
        </is>
      </c>
      <c r="E281" s="41" t="inlineStr">
        <is>
          <t>CH 4+585</t>
        </is>
      </c>
      <c r="F281" s="42" t="n">
        <v>46258</v>
      </c>
      <c r="G281" s="43" t="inlineStr">
        <is>
          <t>Eng. Mark Collins</t>
        </is>
      </c>
      <c r="H281" s="41" t="inlineStr">
        <is>
          <t>Rejected</t>
        </is>
      </c>
      <c r="I281" s="42" t="n">
        <v>46259</v>
      </c>
      <c r="J281" s="41">
        <f>IF(H281="Pending",TODAY()-B281,IF(I281="","",I281-B281))</f>
        <v/>
      </c>
      <c r="K281" s="43" t="inlineStr">
        <is>
          <t>Re-inspection required</t>
        </is>
      </c>
    </row>
    <row r="282">
      <c r="A282" s="44" t="inlineStr">
        <is>
          <t>CTP-WIR-GEO-0054</t>
        </is>
      </c>
      <c r="B282" s="45" t="n">
        <v>46258</v>
      </c>
      <c r="C282" s="46" t="inlineStr">
        <is>
          <t>Geotechnical</t>
        </is>
      </c>
      <c r="D282" s="46" t="inlineStr">
        <is>
          <t>Grout injection</t>
        </is>
      </c>
      <c r="E282" s="44" t="inlineStr">
        <is>
          <t>CH 3+947</t>
        </is>
      </c>
      <c r="F282" s="45" t="n">
        <v>46259</v>
      </c>
      <c r="G282" s="46" t="inlineStr">
        <is>
          <t>Eng. Ali Haddad</t>
        </is>
      </c>
      <c r="H282" s="44" t="inlineStr">
        <is>
          <t>Approved</t>
        </is>
      </c>
      <c r="I282" s="45" t="n">
        <v>46260</v>
      </c>
      <c r="J282" s="44">
        <f>IF(H282="Pending",TODAY()-B282,IF(I282="","",I282-B282))</f>
        <v/>
      </c>
      <c r="K282" s="46" t="inlineStr"/>
    </row>
    <row r="283">
      <c r="A283" s="41" t="inlineStr">
        <is>
          <t>CTP-WIR-GEO-0055</t>
        </is>
      </c>
      <c r="B283" s="42" t="n">
        <v>46258</v>
      </c>
      <c r="C283" s="43" t="inlineStr">
        <is>
          <t>Geotechnical</t>
        </is>
      </c>
      <c r="D283" s="43" t="inlineStr">
        <is>
          <t>Rock bolt pull-out test</t>
        </is>
      </c>
      <c r="E283" s="41" t="inlineStr">
        <is>
          <t>CH 0+852</t>
        </is>
      </c>
      <c r="F283" s="42" t="n">
        <v>46260</v>
      </c>
      <c r="G283" s="43" t="inlineStr">
        <is>
          <t>Eng. Mark Collins</t>
        </is>
      </c>
      <c r="H283" s="41" t="inlineStr">
        <is>
          <t>Approved</t>
        </is>
      </c>
      <c r="I283" s="42" t="n">
        <v>46261</v>
      </c>
      <c r="J283" s="41">
        <f>IF(H283="Pending",TODAY()-B283,IF(I283="","",I283-B283))</f>
        <v/>
      </c>
      <c r="K283" s="43" t="inlineStr"/>
    </row>
    <row r="284">
      <c r="A284" s="44" t="inlineStr">
        <is>
          <t>CTP-WIR-MEP-0053</t>
        </is>
      </c>
      <c r="B284" s="45" t="n">
        <v>46258</v>
      </c>
      <c r="C284" s="46" t="inlineStr">
        <is>
          <t>MEP</t>
        </is>
      </c>
      <c r="D284" s="46" t="inlineStr">
        <is>
          <t>Cable tray installation</t>
        </is>
      </c>
      <c r="E284" s="44" t="inlineStr">
        <is>
          <t>CH 6+861</t>
        </is>
      </c>
      <c r="F284" s="45" t="n">
        <v>46258</v>
      </c>
      <c r="G284" s="46" t="inlineStr">
        <is>
          <t>Eng. Hana Saleh</t>
        </is>
      </c>
      <c r="H284" s="44" t="inlineStr">
        <is>
          <t>Approved</t>
        </is>
      </c>
      <c r="I284" s="45" t="n">
        <v>46261</v>
      </c>
      <c r="J284" s="44">
        <f>IF(H284="Pending",TODAY()-B284,IF(I284="","",I284-B284))</f>
        <v/>
      </c>
      <c r="K284" s="46" t="inlineStr"/>
    </row>
    <row r="285">
      <c r="A285" s="41" t="inlineStr">
        <is>
          <t>CTP-WIR-SUR-0058</t>
        </is>
      </c>
      <c r="B285" s="42" t="n">
        <v>46258</v>
      </c>
      <c r="C285" s="43" t="inlineStr">
        <is>
          <t>Survey</t>
        </is>
      </c>
      <c r="D285" s="43" t="inlineStr">
        <is>
          <t>Settlement monitoring</t>
        </is>
      </c>
      <c r="E285" s="41" t="inlineStr">
        <is>
          <t>CH 1+015</t>
        </is>
      </c>
      <c r="F285" s="42" t="n">
        <v>46259</v>
      </c>
      <c r="G285" s="43" t="inlineStr">
        <is>
          <t>Eng. Pedro Alves</t>
        </is>
      </c>
      <c r="H285" s="41" t="inlineStr">
        <is>
          <t>Approved</t>
        </is>
      </c>
      <c r="I285" s="42" t="n">
        <v>46261</v>
      </c>
      <c r="J285" s="41">
        <f>IF(H285="Pending",TODAY()-B285,IF(I285="","",I285-B285))</f>
        <v/>
      </c>
      <c r="K285" s="43" t="inlineStr"/>
    </row>
    <row r="286">
      <c r="A286" s="44" t="inlineStr">
        <is>
          <t>CTP-WIR-SUR-0059</t>
        </is>
      </c>
      <c r="B286" s="45" t="n">
        <v>46258</v>
      </c>
      <c r="C286" s="46" t="inlineStr">
        <is>
          <t>Survey</t>
        </is>
      </c>
      <c r="D286" s="46" t="inlineStr">
        <is>
          <t>As-built survey</t>
        </is>
      </c>
      <c r="E286" s="44" t="inlineStr">
        <is>
          <t>CH 3+190</t>
        </is>
      </c>
      <c r="F286" s="45" t="n">
        <v>46259</v>
      </c>
      <c r="G286" s="46" t="inlineStr">
        <is>
          <t>Eng. Ali Haddad</t>
        </is>
      </c>
      <c r="H286" s="44" t="inlineStr">
        <is>
          <t>Approved with Comments</t>
        </is>
      </c>
      <c r="I286" s="45" t="n">
        <v>46260</v>
      </c>
      <c r="J286" s="44">
        <f>IF(H286="Pending",TODAY()-B286,IF(I286="","",I286-B286))</f>
        <v/>
      </c>
      <c r="K286" s="46" t="inlineStr">
        <is>
          <t>Minor comments to close</t>
        </is>
      </c>
    </row>
    <row r="287">
      <c r="A287" s="41" t="inlineStr">
        <is>
          <t>CTP-WIR-TUN-0059</t>
        </is>
      </c>
      <c r="B287" s="42" t="n">
        <v>46258</v>
      </c>
      <c r="C287" s="43" t="inlineStr">
        <is>
          <t>Tunnelling</t>
        </is>
      </c>
      <c r="D287" s="43" t="inlineStr">
        <is>
          <t>Segment ring build</t>
        </is>
      </c>
      <c r="E287" s="41" t="inlineStr">
        <is>
          <t>CH 9+081</t>
        </is>
      </c>
      <c r="F287" s="42" t="n">
        <v>46259</v>
      </c>
      <c r="G287" s="43" t="inlineStr">
        <is>
          <t>Eng. Hana Saleh</t>
        </is>
      </c>
      <c r="H287" s="41" t="inlineStr">
        <is>
          <t>Approved with Comments</t>
        </is>
      </c>
      <c r="I287" s="42" t="n">
        <v>46260</v>
      </c>
      <c r="J287" s="41">
        <f>IF(H287="Pending",TODAY()-B287,IF(I287="","",I287-B287))</f>
        <v/>
      </c>
      <c r="K287" s="43" t="inlineStr">
        <is>
          <t>Minor comments to close</t>
        </is>
      </c>
    </row>
    <row r="288">
      <c r="A288" s="44" t="inlineStr">
        <is>
          <t>CTP-WIR-TUN-0060</t>
        </is>
      </c>
      <c r="B288" s="45" t="n">
        <v>46258</v>
      </c>
      <c r="C288" s="46" t="inlineStr">
        <is>
          <t>Tunnelling</t>
        </is>
      </c>
      <c r="D288" s="46" t="inlineStr">
        <is>
          <t>TBM cutter change</t>
        </is>
      </c>
      <c r="E288" s="44" t="inlineStr">
        <is>
          <t>CH 3+140</t>
        </is>
      </c>
      <c r="F288" s="45" t="n">
        <v>46260</v>
      </c>
      <c r="G288" s="46" t="inlineStr">
        <is>
          <t>Eng. Hana Saleh</t>
        </is>
      </c>
      <c r="H288" s="44" t="inlineStr">
        <is>
          <t>Approved with Comments</t>
        </is>
      </c>
      <c r="I288" s="45" t="n">
        <v>46261</v>
      </c>
      <c r="J288" s="44">
        <f>IF(H288="Pending",TODAY()-B288,IF(I288="","",I288-B288))</f>
        <v/>
      </c>
      <c r="K288" s="46" t="inlineStr">
        <is>
          <t>Minor comments to close</t>
        </is>
      </c>
    </row>
    <row r="289">
      <c r="A289" s="41" t="inlineStr">
        <is>
          <t>CTP-WIR-CIV-0058</t>
        </is>
      </c>
      <c r="B289" s="42" t="n">
        <v>46259</v>
      </c>
      <c r="C289" s="43" t="inlineStr">
        <is>
          <t>Civil</t>
        </is>
      </c>
      <c r="D289" s="43" t="inlineStr">
        <is>
          <t>Rebar inspection before concrete</t>
        </is>
      </c>
      <c r="E289" s="41" t="inlineStr">
        <is>
          <t>CH 8+073</t>
        </is>
      </c>
      <c r="F289" s="42" t="n">
        <v>46259</v>
      </c>
      <c r="G289" s="43" t="inlineStr">
        <is>
          <t>Eng. Sara Nasser</t>
        </is>
      </c>
      <c r="H289" s="41" t="inlineStr">
        <is>
          <t>Approved</t>
        </is>
      </c>
      <c r="I289" s="42" t="n">
        <v>46261</v>
      </c>
      <c r="J289" s="41">
        <f>IF(H289="Pending",TODAY()-B289,IF(I289="","",I289-B289))</f>
        <v/>
      </c>
      <c r="K289" s="43" t="inlineStr"/>
    </row>
    <row r="290">
      <c r="A290" s="44" t="inlineStr">
        <is>
          <t>CTP-WIR-MEP-0054</t>
        </is>
      </c>
      <c r="B290" s="45" t="n">
        <v>46259</v>
      </c>
      <c r="C290" s="46" t="inlineStr">
        <is>
          <t>MEP</t>
        </is>
      </c>
      <c r="D290" s="46" t="inlineStr">
        <is>
          <t>Ventilation duct alignment</t>
        </is>
      </c>
      <c r="E290" s="44" t="inlineStr">
        <is>
          <t>CH 3+633</t>
        </is>
      </c>
      <c r="F290" s="45" t="n">
        <v>46260</v>
      </c>
      <c r="G290" s="46" t="inlineStr">
        <is>
          <t>Eng. Mark Collins</t>
        </is>
      </c>
      <c r="H290" s="44" t="inlineStr">
        <is>
          <t>Approved</t>
        </is>
      </c>
      <c r="I290" s="45" t="n">
        <v>46260</v>
      </c>
      <c r="J290" s="44">
        <f>IF(H290="Pending",TODAY()-B290,IF(I290="","",I290-B290))</f>
        <v/>
      </c>
      <c r="K290" s="46" t="inlineStr"/>
    </row>
    <row r="291">
      <c r="A291" s="41" t="inlineStr">
        <is>
          <t>CTP-WIR-MEP-0055</t>
        </is>
      </c>
      <c r="B291" s="42" t="n">
        <v>46259</v>
      </c>
      <c r="C291" s="43" t="inlineStr">
        <is>
          <t>MEP</t>
        </is>
      </c>
      <c r="D291" s="43" t="inlineStr">
        <is>
          <t>Cable tray installation</t>
        </is>
      </c>
      <c r="E291" s="41" t="inlineStr">
        <is>
          <t>CH 0+019</t>
        </is>
      </c>
      <c r="F291" s="42" t="n">
        <v>46259</v>
      </c>
      <c r="G291" s="43" t="inlineStr">
        <is>
          <t>Eng. Mark Collins</t>
        </is>
      </c>
      <c r="H291" s="41" t="inlineStr">
        <is>
          <t>Approved</t>
        </is>
      </c>
      <c r="I291" s="42" t="n">
        <v>46262</v>
      </c>
      <c r="J291" s="41">
        <f>IF(H291="Pending",TODAY()-B291,IF(I291="","",I291-B291))</f>
        <v/>
      </c>
      <c r="K291" s="43" t="inlineStr"/>
    </row>
    <row r="292">
      <c r="A292" s="44" t="inlineStr">
        <is>
          <t>CTP-WIR-TUN-0061</t>
        </is>
      </c>
      <c r="B292" s="45" t="n">
        <v>46259</v>
      </c>
      <c r="C292" s="46" t="inlineStr">
        <is>
          <t>Tunnelling</t>
        </is>
      </c>
      <c r="D292" s="46" t="inlineStr">
        <is>
          <t>Segment ring build</t>
        </is>
      </c>
      <c r="E292" s="44" t="inlineStr">
        <is>
          <t>CH 9+769</t>
        </is>
      </c>
      <c r="F292" s="45" t="n">
        <v>46260</v>
      </c>
      <c r="G292" s="46" t="inlineStr">
        <is>
          <t>Eng. Sara Nasser</t>
        </is>
      </c>
      <c r="H292" s="44" t="inlineStr">
        <is>
          <t>Approved with Comments</t>
        </is>
      </c>
      <c r="I292" s="45" t="n">
        <v>46262</v>
      </c>
      <c r="J292" s="44">
        <f>IF(H292="Pending",TODAY()-B292,IF(I292="","",I292-B292))</f>
        <v/>
      </c>
      <c r="K292" s="46" t="inlineStr">
        <is>
          <t>Minor comments to close</t>
        </is>
      </c>
    </row>
    <row r="293">
      <c r="A293" s="41" t="inlineStr">
        <is>
          <t>CTP-WIR-TUN-0062</t>
        </is>
      </c>
      <c r="B293" s="42" t="n">
        <v>46259</v>
      </c>
      <c r="C293" s="43" t="inlineStr">
        <is>
          <t>Tunnelling</t>
        </is>
      </c>
      <c r="D293" s="43" t="inlineStr">
        <is>
          <t>Segment ring build</t>
        </is>
      </c>
      <c r="E293" s="41" t="inlineStr">
        <is>
          <t>CH 7+525</t>
        </is>
      </c>
      <c r="F293" s="42" t="n">
        <v>46259</v>
      </c>
      <c r="G293" s="43" t="inlineStr">
        <is>
          <t>Eng. Hana Saleh</t>
        </is>
      </c>
      <c r="H293" s="41" t="inlineStr">
        <is>
          <t>Rejected</t>
        </is>
      </c>
      <c r="I293" s="42" t="n">
        <v>46261</v>
      </c>
      <c r="J293" s="41">
        <f>IF(H293="Pending",TODAY()-B293,IF(I293="","",I293-B293))</f>
        <v/>
      </c>
      <c r="K293" s="43" t="inlineStr">
        <is>
          <t>Re-inspection required</t>
        </is>
      </c>
    </row>
    <row r="294">
      <c r="A294" s="44" t="inlineStr">
        <is>
          <t>CTP-WIR-GEO-0056</t>
        </is>
      </c>
      <c r="B294" s="45" t="n">
        <v>46260</v>
      </c>
      <c r="C294" s="46" t="inlineStr">
        <is>
          <t>Geotechnical</t>
        </is>
      </c>
      <c r="D294" s="46" t="inlineStr">
        <is>
          <t>Borehole drilling &amp; logging</t>
        </is>
      </c>
      <c r="E294" s="44" t="inlineStr">
        <is>
          <t>CH 1+359</t>
        </is>
      </c>
      <c r="F294" s="45" t="n">
        <v>46262</v>
      </c>
      <c r="G294" s="46" t="inlineStr">
        <is>
          <t>Eng. Mark Collins</t>
        </is>
      </c>
      <c r="H294" s="44" t="inlineStr">
        <is>
          <t>Approved</t>
        </is>
      </c>
      <c r="I294" s="45" t="n">
        <v>46264</v>
      </c>
      <c r="J294" s="44">
        <f>IF(H294="Pending",TODAY()-B294,IF(I294="","",I294-B294))</f>
        <v/>
      </c>
      <c r="K294" s="46" t="inlineStr"/>
    </row>
    <row r="295">
      <c r="A295" s="41" t="inlineStr">
        <is>
          <t>CTP-WIR-GEO-0057</t>
        </is>
      </c>
      <c r="B295" s="42" t="n">
        <v>46260</v>
      </c>
      <c r="C295" s="43" t="inlineStr">
        <is>
          <t>Geotechnical</t>
        </is>
      </c>
      <c r="D295" s="43" t="inlineStr">
        <is>
          <t>Rock bolt pull-out test</t>
        </is>
      </c>
      <c r="E295" s="41" t="inlineStr">
        <is>
          <t>CH 7+599</t>
        </is>
      </c>
      <c r="F295" s="42" t="n">
        <v>46260</v>
      </c>
      <c r="G295" s="43" t="inlineStr">
        <is>
          <t>Eng. Ali Haddad</t>
        </is>
      </c>
      <c r="H295" s="41" t="inlineStr">
        <is>
          <t>Approved</t>
        </is>
      </c>
      <c r="I295" s="42" t="n">
        <v>46262</v>
      </c>
      <c r="J295" s="41">
        <f>IF(H295="Pending",TODAY()-B295,IF(I295="","",I295-B295))</f>
        <v/>
      </c>
      <c r="K295" s="43" t="inlineStr"/>
    </row>
    <row r="296">
      <c r="A296" s="44" t="inlineStr">
        <is>
          <t>CTP-WIR-SUR-0060</t>
        </is>
      </c>
      <c r="B296" s="45" t="n">
        <v>46260</v>
      </c>
      <c r="C296" s="46" t="inlineStr">
        <is>
          <t>Survey</t>
        </is>
      </c>
      <c r="D296" s="46" t="inlineStr">
        <is>
          <t>Tunnel alignment survey</t>
        </is>
      </c>
      <c r="E296" s="44" t="inlineStr">
        <is>
          <t>CH 9+538</t>
        </is>
      </c>
      <c r="F296" s="45" t="n">
        <v>46262</v>
      </c>
      <c r="G296" s="46" t="inlineStr">
        <is>
          <t>Eng. Pedro Alves</t>
        </is>
      </c>
      <c r="H296" s="44" t="inlineStr">
        <is>
          <t>Approved</t>
        </is>
      </c>
      <c r="I296" s="45" t="n">
        <v>46265</v>
      </c>
      <c r="J296" s="44">
        <f>IF(H296="Pending",TODAY()-B296,IF(I296="","",I296-B296))</f>
        <v/>
      </c>
      <c r="K296" s="46" t="inlineStr"/>
    </row>
    <row r="297">
      <c r="A297" s="41" t="inlineStr">
        <is>
          <t>CTP-WIR-SUR-0061</t>
        </is>
      </c>
      <c r="B297" s="42" t="n">
        <v>46260</v>
      </c>
      <c r="C297" s="43" t="inlineStr">
        <is>
          <t>Survey</t>
        </is>
      </c>
      <c r="D297" s="43" t="inlineStr">
        <is>
          <t>As-built survey</t>
        </is>
      </c>
      <c r="E297" s="41" t="inlineStr">
        <is>
          <t>CH 6+246</t>
        </is>
      </c>
      <c r="F297" s="42" t="n">
        <v>46260</v>
      </c>
      <c r="G297" s="43" t="inlineStr">
        <is>
          <t>Eng. Pedro Alves</t>
        </is>
      </c>
      <c r="H297" s="41" t="inlineStr">
        <is>
          <t>Approved with Comments</t>
        </is>
      </c>
      <c r="I297" s="42" t="n">
        <v>46261</v>
      </c>
      <c r="J297" s="41">
        <f>IF(H297="Pending",TODAY()-B297,IF(I297="","",I297-B297))</f>
        <v/>
      </c>
      <c r="K297" s="43" t="inlineStr">
        <is>
          <t>Minor comments to close</t>
        </is>
      </c>
    </row>
    <row r="298">
      <c r="A298" s="44" t="inlineStr">
        <is>
          <t>CTP-WIR-TUN-0063</t>
        </is>
      </c>
      <c r="B298" s="45" t="n">
        <v>46260</v>
      </c>
      <c r="C298" s="46" t="inlineStr">
        <is>
          <t>Tunnelling</t>
        </is>
      </c>
      <c r="D298" s="46" t="inlineStr">
        <is>
          <t>Tunnel invert cleaning</t>
        </is>
      </c>
      <c r="E298" s="44" t="inlineStr">
        <is>
          <t>CH 3+150</t>
        </is>
      </c>
      <c r="F298" s="45" t="n">
        <v>46261</v>
      </c>
      <c r="G298" s="46" t="inlineStr">
        <is>
          <t>Eng. Pedro Alves</t>
        </is>
      </c>
      <c r="H298" s="44" t="inlineStr">
        <is>
          <t>Approved</t>
        </is>
      </c>
      <c r="I298" s="45" t="n">
        <v>46262</v>
      </c>
      <c r="J298" s="44">
        <f>IF(H298="Pending",TODAY()-B298,IF(I298="","",I298-B298))</f>
        <v/>
      </c>
      <c r="K298" s="46" t="inlineStr"/>
    </row>
    <row r="299">
      <c r="A299" s="41" t="inlineStr">
        <is>
          <t>CTP-WIR-CIV-0059</t>
        </is>
      </c>
      <c r="B299" s="42" t="n">
        <v>46261</v>
      </c>
      <c r="C299" s="43" t="inlineStr">
        <is>
          <t>Civil</t>
        </is>
      </c>
      <c r="D299" s="43" t="inlineStr">
        <is>
          <t>Backfilling &amp; compaction</t>
        </is>
      </c>
      <c r="E299" s="41" t="inlineStr">
        <is>
          <t>CH 3+142</t>
        </is>
      </c>
      <c r="F299" s="42" t="n">
        <v>46262</v>
      </c>
      <c r="G299" s="43" t="inlineStr">
        <is>
          <t>Eng. Pedro Alves</t>
        </is>
      </c>
      <c r="H299" s="41" t="inlineStr">
        <is>
          <t>Approved</t>
        </is>
      </c>
      <c r="I299" s="42" t="n">
        <v>46262</v>
      </c>
      <c r="J299" s="41">
        <f>IF(H299="Pending",TODAY()-B299,IF(I299="","",I299-B299))</f>
        <v/>
      </c>
      <c r="K299" s="43" t="inlineStr"/>
    </row>
    <row r="300">
      <c r="A300" s="44" t="inlineStr">
        <is>
          <t>CTP-WIR-GEO-0058</t>
        </is>
      </c>
      <c r="B300" s="45" t="n">
        <v>46261</v>
      </c>
      <c r="C300" s="46" t="inlineStr">
        <is>
          <t>Geotechnical</t>
        </is>
      </c>
      <c r="D300" s="46" t="inlineStr">
        <is>
          <t>Grout injection</t>
        </is>
      </c>
      <c r="E300" s="44" t="inlineStr">
        <is>
          <t>CH 0+332</t>
        </is>
      </c>
      <c r="F300" s="45" t="n">
        <v>46262</v>
      </c>
      <c r="G300" s="46" t="inlineStr">
        <is>
          <t>Eng. Sara Nasser</t>
        </is>
      </c>
      <c r="H300" s="44" t="inlineStr">
        <is>
          <t>Approved with Comments</t>
        </is>
      </c>
      <c r="I300" s="45" t="n">
        <v>46265</v>
      </c>
      <c r="J300" s="44">
        <f>IF(H300="Pending",TODAY()-B300,IF(I300="","",I300-B300))</f>
        <v/>
      </c>
      <c r="K300" s="46" t="inlineStr">
        <is>
          <t>Minor comments to close</t>
        </is>
      </c>
    </row>
    <row r="301">
      <c r="A301" s="41" t="inlineStr">
        <is>
          <t>CTP-WIR-GEO-0059</t>
        </is>
      </c>
      <c r="B301" s="42" t="n">
        <v>46261</v>
      </c>
      <c r="C301" s="43" t="inlineStr">
        <is>
          <t>Geotechnical</t>
        </is>
      </c>
      <c r="D301" s="43" t="inlineStr">
        <is>
          <t>Grout injection</t>
        </is>
      </c>
      <c r="E301" s="41" t="inlineStr">
        <is>
          <t>CH 5+111</t>
        </is>
      </c>
      <c r="F301" s="42" t="n">
        <v>46262</v>
      </c>
      <c r="G301" s="43" t="inlineStr">
        <is>
          <t>Eng. Ali Haddad</t>
        </is>
      </c>
      <c r="H301" s="41" t="inlineStr">
        <is>
          <t>Approved with Comments</t>
        </is>
      </c>
      <c r="I301" s="42" t="n">
        <v>46262</v>
      </c>
      <c r="J301" s="41">
        <f>IF(H301="Pending",TODAY()-B301,IF(I301="","",I301-B301))</f>
        <v/>
      </c>
      <c r="K301" s="43" t="inlineStr">
        <is>
          <t>Minor comments to close</t>
        </is>
      </c>
    </row>
    <row r="302">
      <c r="A302" s="44" t="inlineStr">
        <is>
          <t>CTP-WIR-MEP-0056</t>
        </is>
      </c>
      <c r="B302" s="45" t="n">
        <v>46261</v>
      </c>
      <c r="C302" s="46" t="inlineStr">
        <is>
          <t>MEP</t>
        </is>
      </c>
      <c r="D302" s="46" t="inlineStr">
        <is>
          <t>Pump station testing</t>
        </is>
      </c>
      <c r="E302" s="44" t="inlineStr">
        <is>
          <t>CH 4+115</t>
        </is>
      </c>
      <c r="F302" s="45" t="n">
        <v>46263</v>
      </c>
      <c r="G302" s="46" t="inlineStr">
        <is>
          <t>Eng. Sara Nasser</t>
        </is>
      </c>
      <c r="H302" s="44" t="inlineStr">
        <is>
          <t>Approved</t>
        </is>
      </c>
      <c r="I302" s="45" t="n">
        <v>46263</v>
      </c>
      <c r="J302" s="44">
        <f>IF(H302="Pending",TODAY()-B302,IF(I302="","",I302-B302))</f>
        <v/>
      </c>
      <c r="K302" s="46" t="inlineStr"/>
    </row>
    <row r="303">
      <c r="A303" s="41" t="inlineStr">
        <is>
          <t>CTP-WIR-SUR-0062</t>
        </is>
      </c>
      <c r="B303" s="42" t="n">
        <v>46261</v>
      </c>
      <c r="C303" s="43" t="inlineStr">
        <is>
          <t>Survey</t>
        </is>
      </c>
      <c r="D303" s="43" t="inlineStr">
        <is>
          <t>Settlement monitoring</t>
        </is>
      </c>
      <c r="E303" s="41" t="inlineStr">
        <is>
          <t>CH 4+086</t>
        </is>
      </c>
      <c r="F303" s="42" t="n">
        <v>46261</v>
      </c>
      <c r="G303" s="43" t="inlineStr">
        <is>
          <t>Eng. Hana Saleh</t>
        </is>
      </c>
      <c r="H303" s="41" t="inlineStr">
        <is>
          <t>Approved</t>
        </is>
      </c>
      <c r="I303" s="42" t="n">
        <v>46264</v>
      </c>
      <c r="J303" s="41">
        <f>IF(H303="Pending",TODAY()-B303,IF(I303="","",I303-B303))</f>
        <v/>
      </c>
      <c r="K303" s="43" t="inlineStr"/>
    </row>
    <row r="304">
      <c r="A304" s="44" t="inlineStr">
        <is>
          <t>CTP-WIR-SUR-0063</t>
        </is>
      </c>
      <c r="B304" s="45" t="n">
        <v>46261</v>
      </c>
      <c r="C304" s="46" t="inlineStr">
        <is>
          <t>Survey</t>
        </is>
      </c>
      <c r="D304" s="46" t="inlineStr">
        <is>
          <t>As-built survey</t>
        </is>
      </c>
      <c r="E304" s="44" t="inlineStr">
        <is>
          <t>CH 2+906</t>
        </is>
      </c>
      <c r="F304" s="45" t="n">
        <v>46262</v>
      </c>
      <c r="G304" s="46" t="inlineStr">
        <is>
          <t>Eng. Pedro Alves</t>
        </is>
      </c>
      <c r="H304" s="44" t="inlineStr">
        <is>
          <t>Approved</t>
        </is>
      </c>
      <c r="I304" s="45" t="n">
        <v>46265</v>
      </c>
      <c r="J304" s="44">
        <f>IF(H304="Pending",TODAY()-B304,IF(I304="","",I304-B304))</f>
        <v/>
      </c>
      <c r="K304" s="46" t="inlineStr"/>
    </row>
    <row r="305">
      <c r="A305" s="41" t="inlineStr">
        <is>
          <t>CTP-WIR-TUN-0064</t>
        </is>
      </c>
      <c r="B305" s="42" t="n">
        <v>46261</v>
      </c>
      <c r="C305" s="43" t="inlineStr">
        <is>
          <t>Tunnelling</t>
        </is>
      </c>
      <c r="D305" s="43" t="inlineStr">
        <is>
          <t>Annulus grouting</t>
        </is>
      </c>
      <c r="E305" s="41" t="inlineStr">
        <is>
          <t>CH 0+886</t>
        </is>
      </c>
      <c r="F305" s="42" t="n">
        <v>46263</v>
      </c>
      <c r="G305" s="43" t="inlineStr">
        <is>
          <t>Eng. Hana Saleh</t>
        </is>
      </c>
      <c r="H305" s="41" t="inlineStr">
        <is>
          <t>Approved</t>
        </is>
      </c>
      <c r="I305" s="42" t="n">
        <v>46263</v>
      </c>
      <c r="J305" s="41">
        <f>IF(H305="Pending",TODAY()-B305,IF(I305="","",I305-B305))</f>
        <v/>
      </c>
      <c r="K305" s="43" t="inlineStr"/>
    </row>
    <row r="306">
      <c r="A306" s="44" t="inlineStr">
        <is>
          <t>CTP-WIR-TUN-0065</t>
        </is>
      </c>
      <c r="B306" s="45" t="n">
        <v>46261</v>
      </c>
      <c r="C306" s="46" t="inlineStr">
        <is>
          <t>Tunnelling</t>
        </is>
      </c>
      <c r="D306" s="46" t="inlineStr">
        <is>
          <t>Annulus grouting</t>
        </is>
      </c>
      <c r="E306" s="44" t="inlineStr">
        <is>
          <t>CH 9+102</t>
        </is>
      </c>
      <c r="F306" s="45" t="n">
        <v>46262</v>
      </c>
      <c r="G306" s="46" t="inlineStr">
        <is>
          <t>Eng. Ali Haddad</t>
        </is>
      </c>
      <c r="H306" s="44" t="inlineStr">
        <is>
          <t>Approved</t>
        </is>
      </c>
      <c r="I306" s="45" t="n">
        <v>46262</v>
      </c>
      <c r="J306" s="44">
        <f>IF(H306="Pending",TODAY()-B306,IF(I306="","",I306-B306))</f>
        <v/>
      </c>
      <c r="K306" s="46" t="inlineStr"/>
    </row>
    <row r="307">
      <c r="A307" s="41" t="inlineStr">
        <is>
          <t>CTP-WIR-CIV-0060</t>
        </is>
      </c>
      <c r="B307" s="42" t="n">
        <v>46263</v>
      </c>
      <c r="C307" s="43" t="inlineStr">
        <is>
          <t>Civil</t>
        </is>
      </c>
      <c r="D307" s="43" t="inlineStr">
        <is>
          <t>Concrete pouring</t>
        </is>
      </c>
      <c r="E307" s="41" t="inlineStr">
        <is>
          <t>CH 8+727</t>
        </is>
      </c>
      <c r="F307" s="42" t="n">
        <v>46264</v>
      </c>
      <c r="G307" s="43" t="inlineStr">
        <is>
          <t>Eng. Pedro Alves</t>
        </is>
      </c>
      <c r="H307" s="41" t="inlineStr">
        <is>
          <t>Approved</t>
        </is>
      </c>
      <c r="I307" s="42" t="n">
        <v>46265</v>
      </c>
      <c r="J307" s="41">
        <f>IF(H307="Pending",TODAY()-B307,IF(I307="","",I307-B307))</f>
        <v/>
      </c>
      <c r="K307" s="43" t="inlineStr"/>
    </row>
    <row r="308">
      <c r="A308" s="44" t="inlineStr">
        <is>
          <t>CTP-WIR-CIV-0061</t>
        </is>
      </c>
      <c r="B308" s="45" t="n">
        <v>46263</v>
      </c>
      <c r="C308" s="46" t="inlineStr">
        <is>
          <t>Civil</t>
        </is>
      </c>
      <c r="D308" s="46" t="inlineStr">
        <is>
          <t>Formwork inspection</t>
        </is>
      </c>
      <c r="E308" s="44" t="inlineStr">
        <is>
          <t>CH 4+031</t>
        </is>
      </c>
      <c r="F308" s="45" t="n">
        <v>46264</v>
      </c>
      <c r="G308" s="46" t="inlineStr">
        <is>
          <t>Eng. Sara Nasser</t>
        </is>
      </c>
      <c r="H308" s="44" t="inlineStr">
        <is>
          <t>Approved</t>
        </is>
      </c>
      <c r="I308" s="45" t="n">
        <v>46266</v>
      </c>
      <c r="J308" s="44">
        <f>IF(H308="Pending",TODAY()-B308,IF(I308="","",I308-B308))</f>
        <v/>
      </c>
      <c r="K308" s="46" t="inlineStr"/>
    </row>
    <row r="309">
      <c r="A309" s="41" t="inlineStr">
        <is>
          <t>CTP-WIR-GEO-0060</t>
        </is>
      </c>
      <c r="B309" s="42" t="n">
        <v>46263</v>
      </c>
      <c r="C309" s="43" t="inlineStr">
        <is>
          <t>Geotechnical</t>
        </is>
      </c>
      <c r="D309" s="43" t="inlineStr">
        <is>
          <t>Ground anchor installation</t>
        </is>
      </c>
      <c r="E309" s="41" t="inlineStr">
        <is>
          <t>CH 8+294</t>
        </is>
      </c>
      <c r="F309" s="42" t="n">
        <v>46264</v>
      </c>
      <c r="G309" s="43" t="inlineStr">
        <is>
          <t>Eng. Hana Saleh</t>
        </is>
      </c>
      <c r="H309" s="41" t="inlineStr">
        <is>
          <t>Approved</t>
        </is>
      </c>
      <c r="I309" s="42" t="n">
        <v>46264</v>
      </c>
      <c r="J309" s="41">
        <f>IF(H309="Pending",TODAY()-B309,IF(I309="","",I309-B309))</f>
        <v/>
      </c>
      <c r="K309" s="43" t="inlineStr"/>
    </row>
    <row r="310">
      <c r="A310" s="44" t="inlineStr">
        <is>
          <t>CTP-WIR-MEP-0057</t>
        </is>
      </c>
      <c r="B310" s="45" t="n">
        <v>46263</v>
      </c>
      <c r="C310" s="46" t="inlineStr">
        <is>
          <t>MEP</t>
        </is>
      </c>
      <c r="D310" s="46" t="inlineStr">
        <is>
          <t>Pump station testing</t>
        </is>
      </c>
      <c r="E310" s="44" t="inlineStr">
        <is>
          <t>CH 0+946</t>
        </is>
      </c>
      <c r="F310" s="45" t="n">
        <v>46265</v>
      </c>
      <c r="G310" s="46" t="inlineStr">
        <is>
          <t>Eng. Mark Collins</t>
        </is>
      </c>
      <c r="H310" s="44" t="inlineStr">
        <is>
          <t>Rejected</t>
        </is>
      </c>
      <c r="I310" s="45" t="n">
        <v>46267</v>
      </c>
      <c r="J310" s="44">
        <f>IF(H310="Pending",TODAY()-B310,IF(I310="","",I310-B310))</f>
        <v/>
      </c>
      <c r="K310" s="46" t="inlineStr">
        <is>
          <t>Re-inspection required</t>
        </is>
      </c>
    </row>
    <row r="311">
      <c r="A311" s="41" t="inlineStr">
        <is>
          <t>CTP-WIR-SUR-0064</t>
        </is>
      </c>
      <c r="B311" s="42" t="n">
        <v>46263</v>
      </c>
      <c r="C311" s="43" t="inlineStr">
        <is>
          <t>Survey</t>
        </is>
      </c>
      <c r="D311" s="43" t="inlineStr">
        <is>
          <t>As-built survey</t>
        </is>
      </c>
      <c r="E311" s="41" t="inlineStr">
        <is>
          <t>CH 7+276</t>
        </is>
      </c>
      <c r="F311" s="42" t="n">
        <v>46264</v>
      </c>
      <c r="G311" s="43" t="inlineStr">
        <is>
          <t>Eng. Mark Collins</t>
        </is>
      </c>
      <c r="H311" s="41" t="inlineStr">
        <is>
          <t>Approved</t>
        </is>
      </c>
      <c r="I311" s="42" t="n">
        <v>46265</v>
      </c>
      <c r="J311" s="41">
        <f>IF(H311="Pending",TODAY()-B311,IF(I311="","",I311-B311))</f>
        <v/>
      </c>
      <c r="K311" s="43" t="inlineStr"/>
    </row>
    <row r="312">
      <c r="A312" s="44" t="inlineStr">
        <is>
          <t>CTP-WIR-SUR-0065</t>
        </is>
      </c>
      <c r="B312" s="45" t="n">
        <v>46263</v>
      </c>
      <c r="C312" s="46" t="inlineStr">
        <is>
          <t>Survey</t>
        </is>
      </c>
      <c r="D312" s="46" t="inlineStr">
        <is>
          <t>Tunnel alignment survey</t>
        </is>
      </c>
      <c r="E312" s="44" t="inlineStr">
        <is>
          <t>CH 2+564</t>
        </is>
      </c>
      <c r="F312" s="45" t="n">
        <v>46264</v>
      </c>
      <c r="G312" s="46" t="inlineStr">
        <is>
          <t>Eng. Hana Saleh</t>
        </is>
      </c>
      <c r="H312" s="44" t="inlineStr">
        <is>
          <t>Approved</t>
        </is>
      </c>
      <c r="I312" s="45" t="n">
        <v>46264</v>
      </c>
      <c r="J312" s="44">
        <f>IF(H312="Pending",TODAY()-B312,IF(I312="","",I312-B312))</f>
        <v/>
      </c>
      <c r="K312" s="46" t="inlineStr"/>
    </row>
    <row r="313">
      <c r="A313" s="41" t="inlineStr">
        <is>
          <t>CTP-WIR-CIV-0062</t>
        </is>
      </c>
      <c r="B313" s="42" t="n">
        <v>46264</v>
      </c>
      <c r="C313" s="43" t="inlineStr">
        <is>
          <t>Civil</t>
        </is>
      </c>
      <c r="D313" s="43" t="inlineStr">
        <is>
          <t>Backfilling &amp; compaction</t>
        </is>
      </c>
      <c r="E313" s="41" t="inlineStr">
        <is>
          <t>CH 1+756</t>
        </is>
      </c>
      <c r="F313" s="42" t="n">
        <v>46265</v>
      </c>
      <c r="G313" s="43" t="inlineStr">
        <is>
          <t>Eng. Sara Nasser</t>
        </is>
      </c>
      <c r="H313" s="41" t="inlineStr">
        <is>
          <t>Approved with Comments</t>
        </is>
      </c>
      <c r="I313" s="42" t="n">
        <v>46268</v>
      </c>
      <c r="J313" s="41">
        <f>IF(H313="Pending",TODAY()-B313,IF(I313="","",I313-B313))</f>
        <v/>
      </c>
      <c r="K313" s="43" t="inlineStr">
        <is>
          <t>Minor comments to close</t>
        </is>
      </c>
    </row>
    <row r="314">
      <c r="A314" s="44" t="inlineStr">
        <is>
          <t>CTP-WIR-CIV-0063</t>
        </is>
      </c>
      <c r="B314" s="45" t="n">
        <v>46264</v>
      </c>
      <c r="C314" s="46" t="inlineStr">
        <is>
          <t>Civil</t>
        </is>
      </c>
      <c r="D314" s="46" t="inlineStr">
        <is>
          <t>Rebar inspection before concrete</t>
        </is>
      </c>
      <c r="E314" s="44" t="inlineStr">
        <is>
          <t>CH 0+420</t>
        </is>
      </c>
      <c r="F314" s="45" t="n">
        <v>46265</v>
      </c>
      <c r="G314" s="46" t="inlineStr">
        <is>
          <t>Eng. Pedro Alves</t>
        </is>
      </c>
      <c r="H314" s="44" t="inlineStr">
        <is>
          <t>Approved</t>
        </is>
      </c>
      <c r="I314" s="45" t="n">
        <v>46265</v>
      </c>
      <c r="J314" s="44">
        <f>IF(H314="Pending",TODAY()-B314,IF(I314="","",I314-B314))</f>
        <v/>
      </c>
      <c r="K314" s="46" t="inlineStr"/>
    </row>
    <row r="315">
      <c r="A315" s="41" t="inlineStr">
        <is>
          <t>CTP-WIR-GEO-0061</t>
        </is>
      </c>
      <c r="B315" s="42" t="n">
        <v>46264</v>
      </c>
      <c r="C315" s="43" t="inlineStr">
        <is>
          <t>Geotechnical</t>
        </is>
      </c>
      <c r="D315" s="43" t="inlineStr">
        <is>
          <t>Ground anchor installation</t>
        </is>
      </c>
      <c r="E315" s="41" t="inlineStr">
        <is>
          <t>CH 6+854</t>
        </is>
      </c>
      <c r="F315" s="42" t="n">
        <v>46266</v>
      </c>
      <c r="G315" s="43" t="inlineStr">
        <is>
          <t>Eng. Sara Nasser</t>
        </is>
      </c>
      <c r="H315" s="41" t="inlineStr">
        <is>
          <t>Approved</t>
        </is>
      </c>
      <c r="I315" s="42" t="n">
        <v>46269</v>
      </c>
      <c r="J315" s="41">
        <f>IF(H315="Pending",TODAY()-B315,IF(I315="","",I315-B315))</f>
        <v/>
      </c>
      <c r="K315" s="43" t="inlineStr"/>
    </row>
    <row r="316">
      <c r="A316" s="44" t="inlineStr">
        <is>
          <t>CTP-WIR-GEO-0062</t>
        </is>
      </c>
      <c r="B316" s="45" t="n">
        <v>46264</v>
      </c>
      <c r="C316" s="46" t="inlineStr">
        <is>
          <t>Geotechnical</t>
        </is>
      </c>
      <c r="D316" s="46" t="inlineStr">
        <is>
          <t>Rock bolt pull-out test</t>
        </is>
      </c>
      <c r="E316" s="44" t="inlineStr">
        <is>
          <t>CH 6+345</t>
        </is>
      </c>
      <c r="F316" s="45" t="n">
        <v>46264</v>
      </c>
      <c r="G316" s="46" t="inlineStr">
        <is>
          <t>Eng. Mark Collins</t>
        </is>
      </c>
      <c r="H316" s="44" t="inlineStr">
        <is>
          <t>Approved</t>
        </is>
      </c>
      <c r="I316" s="45" t="n">
        <v>46265</v>
      </c>
      <c r="J316" s="44">
        <f>IF(H316="Pending",TODAY()-B316,IF(I316="","",I316-B316))</f>
        <v/>
      </c>
      <c r="K316" s="46" t="inlineStr"/>
    </row>
    <row r="317">
      <c r="A317" s="41" t="inlineStr">
        <is>
          <t>CTP-WIR-MEP-0058</t>
        </is>
      </c>
      <c r="B317" s="42" t="n">
        <v>46264</v>
      </c>
      <c r="C317" s="43" t="inlineStr">
        <is>
          <t>MEP</t>
        </is>
      </c>
      <c r="D317" s="43" t="inlineStr">
        <is>
          <t>Lighting installation</t>
        </is>
      </c>
      <c r="E317" s="41" t="inlineStr">
        <is>
          <t>CH 4+361</t>
        </is>
      </c>
      <c r="F317" s="42" t="n">
        <v>46266</v>
      </c>
      <c r="G317" s="43" t="inlineStr">
        <is>
          <t>Eng. Hana Saleh</t>
        </is>
      </c>
      <c r="H317" s="41" t="inlineStr">
        <is>
          <t>Approved</t>
        </is>
      </c>
      <c r="I317" s="42" t="n">
        <v>46267</v>
      </c>
      <c r="J317" s="41">
        <f>IF(H317="Pending",TODAY()-B317,IF(I317="","",I317-B317))</f>
        <v/>
      </c>
      <c r="K317" s="43" t="inlineStr"/>
    </row>
    <row r="318">
      <c r="A318" s="44" t="inlineStr">
        <is>
          <t>CTP-WIR-MEP-0059</t>
        </is>
      </c>
      <c r="B318" s="45" t="n">
        <v>46264</v>
      </c>
      <c r="C318" s="46" t="inlineStr">
        <is>
          <t>MEP</t>
        </is>
      </c>
      <c r="D318" s="46" t="inlineStr">
        <is>
          <t>Lighting installation</t>
        </is>
      </c>
      <c r="E318" s="44" t="inlineStr">
        <is>
          <t>CH 7+389</t>
        </is>
      </c>
      <c r="F318" s="45" t="n">
        <v>46266</v>
      </c>
      <c r="G318" s="46" t="inlineStr">
        <is>
          <t>Eng. Sara Nasser</t>
        </is>
      </c>
      <c r="H318" s="44" t="inlineStr">
        <is>
          <t>Approved</t>
        </is>
      </c>
      <c r="I318" s="45" t="n">
        <v>46266</v>
      </c>
      <c r="J318" s="44">
        <f>IF(H318="Pending",TODAY()-B318,IF(I318="","",I318-B318))</f>
        <v/>
      </c>
      <c r="K318" s="46" t="inlineStr"/>
    </row>
    <row r="319">
      <c r="A319" s="41" t="inlineStr">
        <is>
          <t>CTP-WIR-TUN-0066</t>
        </is>
      </c>
      <c r="B319" s="42" t="n">
        <v>46264</v>
      </c>
      <c r="C319" s="43" t="inlineStr">
        <is>
          <t>Tunnelling</t>
        </is>
      </c>
      <c r="D319" s="43" t="inlineStr">
        <is>
          <t>Segment ring build</t>
        </is>
      </c>
      <c r="E319" s="41" t="inlineStr">
        <is>
          <t>CH 9+621</t>
        </is>
      </c>
      <c r="F319" s="42" t="n">
        <v>46265</v>
      </c>
      <c r="G319" s="43" t="inlineStr">
        <is>
          <t>Eng. Pedro Alves</t>
        </is>
      </c>
      <c r="H319" s="41" t="inlineStr">
        <is>
          <t>Approved</t>
        </is>
      </c>
      <c r="I319" s="42" t="n">
        <v>46266</v>
      </c>
      <c r="J319" s="41">
        <f>IF(H319="Pending",TODAY()-B319,IF(I319="","",I319-B319))</f>
        <v/>
      </c>
      <c r="K319" s="43" t="inlineStr"/>
    </row>
    <row r="320">
      <c r="A320" s="44" t="inlineStr">
        <is>
          <t>CTP-WIR-CIV-0064</t>
        </is>
      </c>
      <c r="B320" s="45" t="n">
        <v>46265</v>
      </c>
      <c r="C320" s="46" t="inlineStr">
        <is>
          <t>Civil</t>
        </is>
      </c>
      <c r="D320" s="46" t="inlineStr">
        <is>
          <t>Rebar inspection before concrete</t>
        </is>
      </c>
      <c r="E320" s="44" t="inlineStr">
        <is>
          <t>CH 6+912</t>
        </is>
      </c>
      <c r="F320" s="45" t="n">
        <v>46266</v>
      </c>
      <c r="G320" s="46" t="inlineStr">
        <is>
          <t>Eng. Ali Haddad</t>
        </is>
      </c>
      <c r="H320" s="44" t="inlineStr">
        <is>
          <t>Rejected</t>
        </is>
      </c>
      <c r="I320" s="45" t="n">
        <v>46267</v>
      </c>
      <c r="J320" s="44">
        <f>IF(H320="Pending",TODAY()-B320,IF(I320="","",I320-B320))</f>
        <v/>
      </c>
      <c r="K320" s="46" t="inlineStr">
        <is>
          <t>Re-inspection required</t>
        </is>
      </c>
    </row>
    <row r="321">
      <c r="A321" s="41" t="inlineStr">
        <is>
          <t>CTP-WIR-GEO-0063</t>
        </is>
      </c>
      <c r="B321" s="42" t="n">
        <v>46265</v>
      </c>
      <c r="C321" s="43" t="inlineStr">
        <is>
          <t>Geotechnical</t>
        </is>
      </c>
      <c r="D321" s="43" t="inlineStr">
        <is>
          <t>Borehole drilling &amp; logging</t>
        </is>
      </c>
      <c r="E321" s="41" t="inlineStr">
        <is>
          <t>CH 9+237</t>
        </is>
      </c>
      <c r="F321" s="42" t="n">
        <v>46266</v>
      </c>
      <c r="G321" s="43" t="inlineStr">
        <is>
          <t>Eng. Sara Nasser</t>
        </is>
      </c>
      <c r="H321" s="41" t="inlineStr">
        <is>
          <t>Approved</t>
        </is>
      </c>
      <c r="I321" s="42" t="n">
        <v>46268</v>
      </c>
      <c r="J321" s="41">
        <f>IF(H321="Pending",TODAY()-B321,IF(I321="","",I321-B321))</f>
        <v/>
      </c>
      <c r="K321" s="43" t="inlineStr"/>
    </row>
    <row r="322">
      <c r="A322" s="44" t="inlineStr">
        <is>
          <t>CTP-WIR-MEP-0060</t>
        </is>
      </c>
      <c r="B322" s="45" t="n">
        <v>46265</v>
      </c>
      <c r="C322" s="46" t="inlineStr">
        <is>
          <t>MEP</t>
        </is>
      </c>
      <c r="D322" s="46" t="inlineStr">
        <is>
          <t>Lighting installation</t>
        </is>
      </c>
      <c r="E322" s="44" t="inlineStr">
        <is>
          <t>CH 4+551</t>
        </is>
      </c>
      <c r="F322" s="45" t="n">
        <v>46267</v>
      </c>
      <c r="G322" s="46" t="inlineStr">
        <is>
          <t>Eng. Hana Saleh</t>
        </is>
      </c>
      <c r="H322" s="44" t="inlineStr">
        <is>
          <t>Approved</t>
        </is>
      </c>
      <c r="I322" s="45" t="n">
        <v>46270</v>
      </c>
      <c r="J322" s="44">
        <f>IF(H322="Pending",TODAY()-B322,IF(I322="","",I322-B322))</f>
        <v/>
      </c>
      <c r="K322" s="46" t="inlineStr"/>
    </row>
    <row r="323">
      <c r="A323" s="41" t="inlineStr">
        <is>
          <t>CTP-WIR-SUR-0066</t>
        </is>
      </c>
      <c r="B323" s="42" t="n">
        <v>46265</v>
      </c>
      <c r="C323" s="43" t="inlineStr">
        <is>
          <t>Survey</t>
        </is>
      </c>
      <c r="D323" s="43" t="inlineStr">
        <is>
          <t>As-built survey</t>
        </is>
      </c>
      <c r="E323" s="41" t="inlineStr">
        <is>
          <t>CH 0+608</t>
        </is>
      </c>
      <c r="F323" s="42" t="n">
        <v>46267</v>
      </c>
      <c r="G323" s="43" t="inlineStr">
        <is>
          <t>Eng. Pedro Alves</t>
        </is>
      </c>
      <c r="H323" s="41" t="inlineStr">
        <is>
          <t>Approved</t>
        </is>
      </c>
      <c r="I323" s="42" t="n">
        <v>46268</v>
      </c>
      <c r="J323" s="41">
        <f>IF(H323="Pending",TODAY()-B323,IF(I323="","",I323-B323))</f>
        <v/>
      </c>
      <c r="K323" s="43" t="inlineStr"/>
    </row>
    <row r="324">
      <c r="A324" s="44" t="inlineStr">
        <is>
          <t>CTP-WIR-SUR-0067</t>
        </is>
      </c>
      <c r="B324" s="45" t="n">
        <v>46265</v>
      </c>
      <c r="C324" s="46" t="inlineStr">
        <is>
          <t>Survey</t>
        </is>
      </c>
      <c r="D324" s="46" t="inlineStr">
        <is>
          <t>Settlement monitoring</t>
        </is>
      </c>
      <c r="E324" s="44" t="inlineStr">
        <is>
          <t>CH 3+101</t>
        </is>
      </c>
      <c r="F324" s="45" t="n">
        <v>46265</v>
      </c>
      <c r="G324" s="46" t="inlineStr">
        <is>
          <t>Eng. Sara Nasser</t>
        </is>
      </c>
      <c r="H324" s="44" t="inlineStr">
        <is>
          <t>Approved</t>
        </is>
      </c>
      <c r="I324" s="45" t="n">
        <v>46268</v>
      </c>
      <c r="J324" s="44">
        <f>IF(H324="Pending",TODAY()-B324,IF(I324="","",I324-B324))</f>
        <v/>
      </c>
      <c r="K324" s="46" t="inlineStr"/>
    </row>
    <row r="325">
      <c r="A325" s="41" t="inlineStr">
        <is>
          <t>CTP-WIR-CIV-0065</t>
        </is>
      </c>
      <c r="B325" s="42" t="n">
        <v>46266</v>
      </c>
      <c r="C325" s="43" t="inlineStr">
        <is>
          <t>Civil</t>
        </is>
      </c>
      <c r="D325" s="43" t="inlineStr">
        <is>
          <t>Concrete pouring</t>
        </is>
      </c>
      <c r="E325" s="41" t="inlineStr">
        <is>
          <t>CH 2+371</t>
        </is>
      </c>
      <c r="F325" s="42" t="n">
        <v>46267</v>
      </c>
      <c r="G325" s="43" t="inlineStr">
        <is>
          <t>Eng. Sara Nasser</t>
        </is>
      </c>
      <c r="H325" s="41" t="inlineStr">
        <is>
          <t>Approved</t>
        </is>
      </c>
      <c r="I325" s="42" t="n">
        <v>46267</v>
      </c>
      <c r="J325" s="41">
        <f>IF(H325="Pending",TODAY()-B325,IF(I325="","",I325-B325))</f>
        <v/>
      </c>
      <c r="K325" s="43" t="inlineStr"/>
    </row>
    <row r="326">
      <c r="A326" s="44" t="inlineStr">
        <is>
          <t>CTP-WIR-CIV-0066</t>
        </is>
      </c>
      <c r="B326" s="45" t="n">
        <v>46266</v>
      </c>
      <c r="C326" s="46" t="inlineStr">
        <is>
          <t>Civil</t>
        </is>
      </c>
      <c r="D326" s="46" t="inlineStr">
        <is>
          <t>Concrete pouring</t>
        </is>
      </c>
      <c r="E326" s="44" t="inlineStr">
        <is>
          <t>CH 2+113</t>
        </is>
      </c>
      <c r="F326" s="45" t="n">
        <v>46266</v>
      </c>
      <c r="G326" s="46" t="inlineStr">
        <is>
          <t>Eng. Sara Nasser</t>
        </is>
      </c>
      <c r="H326" s="44" t="inlineStr">
        <is>
          <t>Approved with Comments</t>
        </is>
      </c>
      <c r="I326" s="45" t="n">
        <v>46269</v>
      </c>
      <c r="J326" s="44">
        <f>IF(H326="Pending",TODAY()-B326,IF(I326="","",I326-B326))</f>
        <v/>
      </c>
      <c r="K326" s="46" t="inlineStr">
        <is>
          <t>Minor comments to close</t>
        </is>
      </c>
    </row>
    <row r="327">
      <c r="A327" s="41" t="inlineStr">
        <is>
          <t>CTP-WIR-GEO-0064</t>
        </is>
      </c>
      <c r="B327" s="42" t="n">
        <v>46266</v>
      </c>
      <c r="C327" s="43" t="inlineStr">
        <is>
          <t>Geotechnical</t>
        </is>
      </c>
      <c r="D327" s="43" t="inlineStr">
        <is>
          <t>Ground anchor installation</t>
        </is>
      </c>
      <c r="E327" s="41" t="inlineStr">
        <is>
          <t>CH 7+411</t>
        </is>
      </c>
      <c r="F327" s="42" t="n">
        <v>46267</v>
      </c>
      <c r="G327" s="43" t="inlineStr">
        <is>
          <t>Eng. Hana Saleh</t>
        </is>
      </c>
      <c r="H327" s="41" t="inlineStr">
        <is>
          <t>Approved with Comments</t>
        </is>
      </c>
      <c r="I327" s="42" t="n">
        <v>46269</v>
      </c>
      <c r="J327" s="41">
        <f>IF(H327="Pending",TODAY()-B327,IF(I327="","",I327-B327))</f>
        <v/>
      </c>
      <c r="K327" s="43" t="inlineStr">
        <is>
          <t>Minor comments to close</t>
        </is>
      </c>
    </row>
    <row r="328">
      <c r="A328" s="44" t="inlineStr">
        <is>
          <t>CTP-WIR-MEP-0061</t>
        </is>
      </c>
      <c r="B328" s="45" t="n">
        <v>46266</v>
      </c>
      <c r="C328" s="46" t="inlineStr">
        <is>
          <t>MEP</t>
        </is>
      </c>
      <c r="D328" s="46" t="inlineStr">
        <is>
          <t>Cable tray installation</t>
        </is>
      </c>
      <c r="E328" s="44" t="inlineStr">
        <is>
          <t>CH 0+314</t>
        </is>
      </c>
      <c r="F328" s="45" t="n">
        <v>46266</v>
      </c>
      <c r="G328" s="46" t="inlineStr">
        <is>
          <t>Eng. Sara Nasser</t>
        </is>
      </c>
      <c r="H328" s="44" t="inlineStr">
        <is>
          <t>Approved</t>
        </is>
      </c>
      <c r="I328" s="45" t="n">
        <v>46266</v>
      </c>
      <c r="J328" s="44">
        <f>IF(H328="Pending",TODAY()-B328,IF(I328="","",I328-B328))</f>
        <v/>
      </c>
      <c r="K328" s="46" t="inlineStr"/>
    </row>
    <row r="329">
      <c r="A329" s="41" t="inlineStr">
        <is>
          <t>CTP-WIR-SUR-0068</t>
        </is>
      </c>
      <c r="B329" s="42" t="n">
        <v>46266</v>
      </c>
      <c r="C329" s="43" t="inlineStr">
        <is>
          <t>Survey</t>
        </is>
      </c>
      <c r="D329" s="43" t="inlineStr">
        <is>
          <t>Settlement monitoring</t>
        </is>
      </c>
      <c r="E329" s="41" t="inlineStr">
        <is>
          <t>CH 3+179</t>
        </is>
      </c>
      <c r="F329" s="42" t="n">
        <v>46266</v>
      </c>
      <c r="G329" s="43" t="inlineStr">
        <is>
          <t>Eng. Hana Saleh</t>
        </is>
      </c>
      <c r="H329" s="41" t="inlineStr">
        <is>
          <t>Approved</t>
        </is>
      </c>
      <c r="I329" s="42" t="n">
        <v>46266</v>
      </c>
      <c r="J329" s="41">
        <f>IF(H329="Pending",TODAY()-B329,IF(I329="","",I329-B329))</f>
        <v/>
      </c>
      <c r="K329" s="43" t="inlineStr"/>
    </row>
    <row r="330">
      <c r="A330" s="44" t="inlineStr">
        <is>
          <t>CTP-WIR-TUN-0067</t>
        </is>
      </c>
      <c r="B330" s="45" t="n">
        <v>46266</v>
      </c>
      <c r="C330" s="46" t="inlineStr">
        <is>
          <t>Tunnelling</t>
        </is>
      </c>
      <c r="D330" s="46" t="inlineStr">
        <is>
          <t>TBM cutter change</t>
        </is>
      </c>
      <c r="E330" s="44" t="inlineStr">
        <is>
          <t>CH 4+835</t>
        </is>
      </c>
      <c r="F330" s="45" t="n">
        <v>46268</v>
      </c>
      <c r="G330" s="46" t="inlineStr">
        <is>
          <t>Eng. Hana Saleh</t>
        </is>
      </c>
      <c r="H330" s="44" t="inlineStr">
        <is>
          <t>Approved</t>
        </is>
      </c>
      <c r="I330" s="45" t="n">
        <v>46271</v>
      </c>
      <c r="J330" s="44">
        <f>IF(H330="Pending",TODAY()-B330,IF(I330="","",I330-B330))</f>
        <v/>
      </c>
      <c r="K330" s="46" t="inlineStr"/>
    </row>
    <row r="331">
      <c r="A331" s="41" t="inlineStr">
        <is>
          <t>CTP-WIR-TUN-0068</t>
        </is>
      </c>
      <c r="B331" s="42" t="n">
        <v>46266</v>
      </c>
      <c r="C331" s="43" t="inlineStr">
        <is>
          <t>Tunnelling</t>
        </is>
      </c>
      <c r="D331" s="43" t="inlineStr">
        <is>
          <t>Segment ring build</t>
        </is>
      </c>
      <c r="E331" s="41" t="inlineStr">
        <is>
          <t>CH 9+617</t>
        </is>
      </c>
      <c r="F331" s="42" t="n">
        <v>46267</v>
      </c>
      <c r="G331" s="43" t="inlineStr">
        <is>
          <t>Eng. Sara Nasser</t>
        </is>
      </c>
      <c r="H331" s="41" t="inlineStr">
        <is>
          <t>Approved</t>
        </is>
      </c>
      <c r="I331" s="42" t="n">
        <v>46267</v>
      </c>
      <c r="J331" s="41">
        <f>IF(H331="Pending",TODAY()-B331,IF(I331="","",I331-B331))</f>
        <v/>
      </c>
      <c r="K331" s="43" t="inlineStr"/>
    </row>
    <row r="332">
      <c r="A332" s="44" t="inlineStr">
        <is>
          <t>CTP-WIR-CIV-0067</t>
        </is>
      </c>
      <c r="B332" s="45" t="n">
        <v>46267</v>
      </c>
      <c r="C332" s="46" t="inlineStr">
        <is>
          <t>Civil</t>
        </is>
      </c>
      <c r="D332" s="46" t="inlineStr">
        <is>
          <t>Backfilling &amp; compaction</t>
        </is>
      </c>
      <c r="E332" s="44" t="inlineStr">
        <is>
          <t>CH 2+970</t>
        </is>
      </c>
      <c r="F332" s="45" t="n">
        <v>46267</v>
      </c>
      <c r="G332" s="46" t="inlineStr">
        <is>
          <t>Eng. Pedro Alves</t>
        </is>
      </c>
      <c r="H332" s="44" t="inlineStr">
        <is>
          <t>Approved</t>
        </is>
      </c>
      <c r="I332" s="45" t="n">
        <v>46267</v>
      </c>
      <c r="J332" s="44">
        <f>IF(H332="Pending",TODAY()-B332,IF(I332="","",I332-B332))</f>
        <v/>
      </c>
      <c r="K332" s="46" t="inlineStr"/>
    </row>
    <row r="333">
      <c r="A333" s="41" t="inlineStr">
        <is>
          <t>CTP-WIR-GEO-0065</t>
        </is>
      </c>
      <c r="B333" s="42" t="n">
        <v>46267</v>
      </c>
      <c r="C333" s="43" t="inlineStr">
        <is>
          <t>Geotechnical</t>
        </is>
      </c>
      <c r="D333" s="43" t="inlineStr">
        <is>
          <t>Grout injection</t>
        </is>
      </c>
      <c r="E333" s="41" t="inlineStr">
        <is>
          <t>CH 9+124</t>
        </is>
      </c>
      <c r="F333" s="42" t="n">
        <v>46268</v>
      </c>
      <c r="G333" s="43" t="inlineStr">
        <is>
          <t>Eng. Mark Collins</t>
        </is>
      </c>
      <c r="H333" s="41" t="inlineStr">
        <is>
          <t>Approved</t>
        </is>
      </c>
      <c r="I333" s="42" t="n">
        <v>46270</v>
      </c>
      <c r="J333" s="41">
        <f>IF(H333="Pending",TODAY()-B333,IF(I333="","",I333-B333))</f>
        <v/>
      </c>
      <c r="K333" s="43" t="inlineStr"/>
    </row>
    <row r="334">
      <c r="A334" s="44" t="inlineStr">
        <is>
          <t>CTP-WIR-MEP-0062</t>
        </is>
      </c>
      <c r="B334" s="45" t="n">
        <v>46267</v>
      </c>
      <c r="C334" s="46" t="inlineStr">
        <is>
          <t>MEP</t>
        </is>
      </c>
      <c r="D334" s="46" t="inlineStr">
        <is>
          <t>Pump station testing</t>
        </is>
      </c>
      <c r="E334" s="44" t="inlineStr">
        <is>
          <t>CH 9+064</t>
        </is>
      </c>
      <c r="F334" s="45" t="n">
        <v>46267</v>
      </c>
      <c r="G334" s="46" t="inlineStr">
        <is>
          <t>Eng. Mark Collins</t>
        </is>
      </c>
      <c r="H334" s="44" t="inlineStr">
        <is>
          <t>Approved</t>
        </is>
      </c>
      <c r="I334" s="45" t="n">
        <v>46267</v>
      </c>
      <c r="J334" s="44">
        <f>IF(H334="Pending",TODAY()-B334,IF(I334="","",I334-B334))</f>
        <v/>
      </c>
      <c r="K334" s="46" t="inlineStr"/>
    </row>
    <row r="335">
      <c r="A335" s="41" t="inlineStr">
        <is>
          <t>CTP-WIR-SUR-0069</t>
        </is>
      </c>
      <c r="B335" s="42" t="n">
        <v>46267</v>
      </c>
      <c r="C335" s="43" t="inlineStr">
        <is>
          <t>Survey</t>
        </is>
      </c>
      <c r="D335" s="43" t="inlineStr">
        <is>
          <t>Tunnel alignment survey</t>
        </is>
      </c>
      <c r="E335" s="41" t="inlineStr">
        <is>
          <t>CH 6+596</t>
        </is>
      </c>
      <c r="F335" s="42" t="n">
        <v>46269</v>
      </c>
      <c r="G335" s="43" t="inlineStr">
        <is>
          <t>Eng. Pedro Alves</t>
        </is>
      </c>
      <c r="H335" s="41" t="inlineStr">
        <is>
          <t>Approved</t>
        </is>
      </c>
      <c r="I335" s="42" t="n">
        <v>46270</v>
      </c>
      <c r="J335" s="41">
        <f>IF(H335="Pending",TODAY()-B335,IF(I335="","",I335-B335))</f>
        <v/>
      </c>
      <c r="K335" s="43" t="inlineStr"/>
    </row>
    <row r="336">
      <c r="A336" s="44" t="inlineStr">
        <is>
          <t>CTP-WIR-TUN-0069</t>
        </is>
      </c>
      <c r="B336" s="45" t="n">
        <v>46267</v>
      </c>
      <c r="C336" s="46" t="inlineStr">
        <is>
          <t>Tunnelling</t>
        </is>
      </c>
      <c r="D336" s="46" t="inlineStr">
        <is>
          <t>TBM cutter change</t>
        </is>
      </c>
      <c r="E336" s="44" t="inlineStr">
        <is>
          <t>CH 5+147</t>
        </is>
      </c>
      <c r="F336" s="45" t="n">
        <v>46267</v>
      </c>
      <c r="G336" s="46" t="inlineStr">
        <is>
          <t>Eng. Sara Nasser</t>
        </is>
      </c>
      <c r="H336" s="44" t="inlineStr">
        <is>
          <t>Approved</t>
        </is>
      </c>
      <c r="I336" s="45" t="n">
        <v>46270</v>
      </c>
      <c r="J336" s="44">
        <f>IF(H336="Pending",TODAY()-B336,IF(I336="","",I336-B336))</f>
        <v/>
      </c>
      <c r="K336" s="46" t="inlineStr"/>
    </row>
    <row r="337">
      <c r="A337" s="41" t="inlineStr">
        <is>
          <t>CTP-WIR-SUR-0070</t>
        </is>
      </c>
      <c r="B337" s="42" t="n">
        <v>46268</v>
      </c>
      <c r="C337" s="43" t="inlineStr">
        <is>
          <t>Survey</t>
        </is>
      </c>
      <c r="D337" s="43" t="inlineStr">
        <is>
          <t>As-built survey</t>
        </is>
      </c>
      <c r="E337" s="41" t="inlineStr">
        <is>
          <t>CH 4+428</t>
        </is>
      </c>
      <c r="F337" s="42" t="n">
        <v>46269</v>
      </c>
      <c r="G337" s="43" t="inlineStr">
        <is>
          <t>Eng. Pedro Alves</t>
        </is>
      </c>
      <c r="H337" s="41" t="inlineStr">
        <is>
          <t>Approved</t>
        </is>
      </c>
      <c r="I337" s="42" t="n">
        <v>46271</v>
      </c>
      <c r="J337" s="41">
        <f>IF(H337="Pending",TODAY()-B337,IF(I337="","",I337-B337))</f>
        <v/>
      </c>
      <c r="K337" s="43" t="inlineStr"/>
    </row>
    <row r="338">
      <c r="A338" s="44" t="inlineStr">
        <is>
          <t>CTP-WIR-CIV-0068</t>
        </is>
      </c>
      <c r="B338" s="45" t="n">
        <v>46270</v>
      </c>
      <c r="C338" s="46" t="inlineStr">
        <is>
          <t>Civil</t>
        </is>
      </c>
      <c r="D338" s="46" t="inlineStr">
        <is>
          <t>Rebar inspection before concrete</t>
        </is>
      </c>
      <c r="E338" s="44" t="inlineStr">
        <is>
          <t>CH 5+412</t>
        </is>
      </c>
      <c r="F338" s="45" t="n">
        <v>46270</v>
      </c>
      <c r="G338" s="46" t="inlineStr">
        <is>
          <t>Eng. Ali Haddad</t>
        </is>
      </c>
      <c r="H338" s="44" t="inlineStr">
        <is>
          <t>Approved</t>
        </is>
      </c>
      <c r="I338" s="45" t="n">
        <v>46272</v>
      </c>
      <c r="J338" s="44">
        <f>IF(H338="Pending",TODAY()-B338,IF(I338="","",I338-B338))</f>
        <v/>
      </c>
      <c r="K338" s="46" t="inlineStr"/>
    </row>
    <row r="339">
      <c r="A339" s="41" t="inlineStr">
        <is>
          <t>CTP-WIR-GEO-0066</t>
        </is>
      </c>
      <c r="B339" s="42" t="n">
        <v>46270</v>
      </c>
      <c r="C339" s="43" t="inlineStr">
        <is>
          <t>Geotechnical</t>
        </is>
      </c>
      <c r="D339" s="43" t="inlineStr">
        <is>
          <t>Ground anchor installation</t>
        </is>
      </c>
      <c r="E339" s="41" t="inlineStr">
        <is>
          <t>CH 9+226</t>
        </is>
      </c>
      <c r="F339" s="42" t="n">
        <v>46270</v>
      </c>
      <c r="G339" s="43" t="inlineStr">
        <is>
          <t>Eng. Sara Nasser</t>
        </is>
      </c>
      <c r="H339" s="41" t="inlineStr">
        <is>
          <t>Approved</t>
        </is>
      </c>
      <c r="I339" s="42" t="n">
        <v>46272</v>
      </c>
      <c r="J339" s="41">
        <f>IF(H339="Pending",TODAY()-B339,IF(I339="","",I339-B339))</f>
        <v/>
      </c>
      <c r="K339" s="43" t="inlineStr"/>
    </row>
    <row r="340">
      <c r="A340" s="44" t="inlineStr">
        <is>
          <t>CTP-WIR-GEO-0067</t>
        </is>
      </c>
      <c r="B340" s="45" t="n">
        <v>46270</v>
      </c>
      <c r="C340" s="46" t="inlineStr">
        <is>
          <t>Geotechnical</t>
        </is>
      </c>
      <c r="D340" s="46" t="inlineStr">
        <is>
          <t>Grout injection</t>
        </is>
      </c>
      <c r="E340" s="44" t="inlineStr">
        <is>
          <t>CH 0+811</t>
        </is>
      </c>
      <c r="F340" s="45" t="n">
        <v>46272</v>
      </c>
      <c r="G340" s="46" t="inlineStr">
        <is>
          <t>Eng. Ali Haddad</t>
        </is>
      </c>
      <c r="H340" s="44" t="inlineStr">
        <is>
          <t>Approved with Comments</t>
        </is>
      </c>
      <c r="I340" s="45" t="n">
        <v>46274</v>
      </c>
      <c r="J340" s="44">
        <f>IF(H340="Pending",TODAY()-B340,IF(I340="","",I340-B340))</f>
        <v/>
      </c>
      <c r="K340" s="46" t="inlineStr">
        <is>
          <t>Minor comments to close</t>
        </is>
      </c>
    </row>
    <row r="341">
      <c r="A341" s="41" t="inlineStr">
        <is>
          <t>CTP-WIR-GEO-0068</t>
        </is>
      </c>
      <c r="B341" s="42" t="n">
        <v>46270</v>
      </c>
      <c r="C341" s="43" t="inlineStr">
        <is>
          <t>Geotechnical</t>
        </is>
      </c>
      <c r="D341" s="43" t="inlineStr">
        <is>
          <t>Rock bolt pull-out test</t>
        </is>
      </c>
      <c r="E341" s="41" t="inlineStr">
        <is>
          <t>CH 2+007</t>
        </is>
      </c>
      <c r="F341" s="42" t="n">
        <v>46271</v>
      </c>
      <c r="G341" s="43" t="inlineStr">
        <is>
          <t>Eng. Pedro Alves</t>
        </is>
      </c>
      <c r="H341" s="41" t="inlineStr">
        <is>
          <t>Approved</t>
        </is>
      </c>
      <c r="I341" s="42" t="n">
        <v>46273</v>
      </c>
      <c r="J341" s="41">
        <f>IF(H341="Pending",TODAY()-B341,IF(I341="","",I341-B341))</f>
        <v/>
      </c>
      <c r="K341" s="43" t="inlineStr"/>
    </row>
    <row r="342">
      <c r="A342" s="44" t="inlineStr">
        <is>
          <t>CTP-WIR-TUN-0070</t>
        </is>
      </c>
      <c r="B342" s="45" t="n">
        <v>46270</v>
      </c>
      <c r="C342" s="46" t="inlineStr">
        <is>
          <t>Tunnelling</t>
        </is>
      </c>
      <c r="D342" s="46" t="inlineStr">
        <is>
          <t>Annulus grouting</t>
        </is>
      </c>
      <c r="E342" s="44" t="inlineStr">
        <is>
          <t>CH 3+478</t>
        </is>
      </c>
      <c r="F342" s="45" t="n">
        <v>46271</v>
      </c>
      <c r="G342" s="46" t="inlineStr">
        <is>
          <t>Eng. Sara Nasser</t>
        </is>
      </c>
      <c r="H342" s="44" t="inlineStr">
        <is>
          <t>Approved</t>
        </is>
      </c>
      <c r="I342" s="45" t="n">
        <v>46273</v>
      </c>
      <c r="J342" s="44">
        <f>IF(H342="Pending",TODAY()-B342,IF(I342="","",I342-B342))</f>
        <v/>
      </c>
      <c r="K342" s="46" t="inlineStr"/>
    </row>
    <row r="343">
      <c r="A343" s="41" t="inlineStr">
        <is>
          <t>CTP-WIR-GEO-0069</t>
        </is>
      </c>
      <c r="B343" s="42" t="n">
        <v>46271</v>
      </c>
      <c r="C343" s="43" t="inlineStr">
        <is>
          <t>Geotechnical</t>
        </is>
      </c>
      <c r="D343" s="43" t="inlineStr">
        <is>
          <t>Grout injection</t>
        </is>
      </c>
      <c r="E343" s="41" t="inlineStr">
        <is>
          <t>CH 2+094</t>
        </is>
      </c>
      <c r="F343" s="42" t="n">
        <v>46272</v>
      </c>
      <c r="G343" s="43" t="inlineStr">
        <is>
          <t>Eng. Sara Nasser</t>
        </is>
      </c>
      <c r="H343" s="41" t="inlineStr">
        <is>
          <t>Approved with Comments</t>
        </is>
      </c>
      <c r="I343" s="42" t="n">
        <v>46273</v>
      </c>
      <c r="J343" s="41">
        <f>IF(H343="Pending",TODAY()-B343,IF(I343="","",I343-B343))</f>
        <v/>
      </c>
      <c r="K343" s="43" t="inlineStr">
        <is>
          <t>Minor comments to close</t>
        </is>
      </c>
    </row>
    <row r="344">
      <c r="A344" s="44" t="inlineStr">
        <is>
          <t>CTP-WIR-GEO-0070</t>
        </is>
      </c>
      <c r="B344" s="45" t="n">
        <v>46271</v>
      </c>
      <c r="C344" s="46" t="inlineStr">
        <is>
          <t>Geotechnical</t>
        </is>
      </c>
      <c r="D344" s="46" t="inlineStr">
        <is>
          <t>Rock bolt pull-out test</t>
        </is>
      </c>
      <c r="E344" s="44" t="inlineStr">
        <is>
          <t>CH 3+163</t>
        </is>
      </c>
      <c r="F344" s="45" t="n">
        <v>46272</v>
      </c>
      <c r="G344" s="46" t="inlineStr">
        <is>
          <t>Eng. Sara Nasser</t>
        </is>
      </c>
      <c r="H344" s="44" t="inlineStr">
        <is>
          <t>Approved</t>
        </is>
      </c>
      <c r="I344" s="45" t="n">
        <v>46274</v>
      </c>
      <c r="J344" s="44">
        <f>IF(H344="Pending",TODAY()-B344,IF(I344="","",I344-B344))</f>
        <v/>
      </c>
      <c r="K344" s="46" t="inlineStr"/>
    </row>
    <row r="345">
      <c r="A345" s="41" t="inlineStr">
        <is>
          <t>CTP-WIR-MEP-0063</t>
        </is>
      </c>
      <c r="B345" s="42" t="n">
        <v>46271</v>
      </c>
      <c r="C345" s="43" t="inlineStr">
        <is>
          <t>MEP</t>
        </is>
      </c>
      <c r="D345" s="43" t="inlineStr">
        <is>
          <t>Ventilation duct alignment</t>
        </is>
      </c>
      <c r="E345" s="41" t="inlineStr">
        <is>
          <t>CH 9+376</t>
        </is>
      </c>
      <c r="F345" s="42" t="n">
        <v>46272</v>
      </c>
      <c r="G345" s="43" t="inlineStr">
        <is>
          <t>Eng. Pedro Alves</t>
        </is>
      </c>
      <c r="H345" s="41" t="inlineStr">
        <is>
          <t>Approved</t>
        </is>
      </c>
      <c r="I345" s="42" t="n">
        <v>46274</v>
      </c>
      <c r="J345" s="41">
        <f>IF(H345="Pending",TODAY()-B345,IF(I345="","",I345-B345))</f>
        <v/>
      </c>
      <c r="K345" s="43" t="inlineStr"/>
    </row>
    <row r="346">
      <c r="A346" s="44" t="inlineStr">
        <is>
          <t>CTP-WIR-MEP-0064</t>
        </is>
      </c>
      <c r="B346" s="45" t="n">
        <v>46271</v>
      </c>
      <c r="C346" s="46" t="inlineStr">
        <is>
          <t>MEP</t>
        </is>
      </c>
      <c r="D346" s="46" t="inlineStr">
        <is>
          <t>Pump station testing</t>
        </is>
      </c>
      <c r="E346" s="44" t="inlineStr">
        <is>
          <t>CH 8+093</t>
        </is>
      </c>
      <c r="F346" s="45" t="n">
        <v>46272</v>
      </c>
      <c r="G346" s="46" t="inlineStr">
        <is>
          <t>Eng. Pedro Alves</t>
        </is>
      </c>
      <c r="H346" s="44" t="inlineStr">
        <is>
          <t>Approved</t>
        </is>
      </c>
      <c r="I346" s="45" t="n">
        <v>46272</v>
      </c>
      <c r="J346" s="44">
        <f>IF(H346="Pending",TODAY()-B346,IF(I346="","",I346-B346))</f>
        <v/>
      </c>
      <c r="K346" s="46" t="inlineStr"/>
    </row>
    <row r="347">
      <c r="A347" s="41" t="inlineStr">
        <is>
          <t>CTP-WIR-TUN-0071</t>
        </is>
      </c>
      <c r="B347" s="42" t="n">
        <v>46271</v>
      </c>
      <c r="C347" s="43" t="inlineStr">
        <is>
          <t>Tunnelling</t>
        </is>
      </c>
      <c r="D347" s="43" t="inlineStr">
        <is>
          <t>TBM cutter change</t>
        </is>
      </c>
      <c r="E347" s="41" t="inlineStr">
        <is>
          <t>CH 8+209</t>
        </is>
      </c>
      <c r="F347" s="42" t="n">
        <v>46272</v>
      </c>
      <c r="G347" s="43" t="inlineStr">
        <is>
          <t>Eng. Pedro Alves</t>
        </is>
      </c>
      <c r="H347" s="41" t="inlineStr">
        <is>
          <t>Approved</t>
        </is>
      </c>
      <c r="I347" s="42" t="n">
        <v>46274</v>
      </c>
      <c r="J347" s="41">
        <f>IF(H347="Pending",TODAY()-B347,IF(I347="","",I347-B347))</f>
        <v/>
      </c>
      <c r="K347" s="43" t="inlineStr"/>
    </row>
    <row r="348">
      <c r="A348" s="44" t="inlineStr">
        <is>
          <t>CTP-WIR-CIV-0069</t>
        </is>
      </c>
      <c r="B348" s="45" t="n">
        <v>46272</v>
      </c>
      <c r="C348" s="46" t="inlineStr">
        <is>
          <t>Civil</t>
        </is>
      </c>
      <c r="D348" s="46" t="inlineStr">
        <is>
          <t>Concrete pouring</t>
        </is>
      </c>
      <c r="E348" s="44" t="inlineStr">
        <is>
          <t>CH 1+231</t>
        </is>
      </c>
      <c r="F348" s="45" t="n">
        <v>46273</v>
      </c>
      <c r="G348" s="46" t="inlineStr">
        <is>
          <t>Eng. Mark Collins</t>
        </is>
      </c>
      <c r="H348" s="44" t="inlineStr">
        <is>
          <t>Approved</t>
        </is>
      </c>
      <c r="I348" s="45" t="n">
        <v>46274</v>
      </c>
      <c r="J348" s="44">
        <f>IF(H348="Pending",TODAY()-B348,IF(I348="","",I348-B348))</f>
        <v/>
      </c>
      <c r="K348" s="46" t="inlineStr"/>
    </row>
    <row r="349">
      <c r="A349" s="41" t="inlineStr">
        <is>
          <t>CTP-WIR-CIV-0070</t>
        </is>
      </c>
      <c r="B349" s="42" t="n">
        <v>46272</v>
      </c>
      <c r="C349" s="43" t="inlineStr">
        <is>
          <t>Civil</t>
        </is>
      </c>
      <c r="D349" s="43" t="inlineStr">
        <is>
          <t>Formwork inspection</t>
        </is>
      </c>
      <c r="E349" s="41" t="inlineStr">
        <is>
          <t>CH 7+793</t>
        </is>
      </c>
      <c r="F349" s="42" t="n">
        <v>46274</v>
      </c>
      <c r="G349" s="43" t="inlineStr">
        <is>
          <t>Eng. Sara Nasser</t>
        </is>
      </c>
      <c r="H349" s="41" t="inlineStr">
        <is>
          <t>Approved</t>
        </is>
      </c>
      <c r="I349" s="42" t="n">
        <v>46276</v>
      </c>
      <c r="J349" s="41">
        <f>IF(H349="Pending",TODAY()-B349,IF(I349="","",I349-B349))</f>
        <v/>
      </c>
      <c r="K349" s="43" t="inlineStr"/>
    </row>
    <row r="350">
      <c r="A350" s="44" t="inlineStr">
        <is>
          <t>CTP-WIR-GEO-0071</t>
        </is>
      </c>
      <c r="B350" s="45" t="n">
        <v>46272</v>
      </c>
      <c r="C350" s="46" t="inlineStr">
        <is>
          <t>Geotechnical</t>
        </is>
      </c>
      <c r="D350" s="46" t="inlineStr">
        <is>
          <t>Grout injection</t>
        </is>
      </c>
      <c r="E350" s="44" t="inlineStr">
        <is>
          <t>CH 1+711</t>
        </is>
      </c>
      <c r="F350" s="45" t="n">
        <v>46273</v>
      </c>
      <c r="G350" s="46" t="inlineStr">
        <is>
          <t>Eng. Mark Collins</t>
        </is>
      </c>
      <c r="H350" s="44" t="inlineStr">
        <is>
          <t>Approved</t>
        </is>
      </c>
      <c r="I350" s="45" t="n">
        <v>46275</v>
      </c>
      <c r="J350" s="44">
        <f>IF(H350="Pending",TODAY()-B350,IF(I350="","",I350-B350))</f>
        <v/>
      </c>
      <c r="K350" s="46" t="inlineStr"/>
    </row>
    <row r="351">
      <c r="A351" s="41" t="inlineStr">
        <is>
          <t>CTP-WIR-GEO-0072</t>
        </is>
      </c>
      <c r="B351" s="42" t="n">
        <v>46272</v>
      </c>
      <c r="C351" s="43" t="inlineStr">
        <is>
          <t>Geotechnical</t>
        </is>
      </c>
      <c r="D351" s="43" t="inlineStr">
        <is>
          <t>Rock bolt pull-out test</t>
        </is>
      </c>
      <c r="E351" s="41" t="inlineStr">
        <is>
          <t>CH 1+575</t>
        </is>
      </c>
      <c r="F351" s="42" t="n">
        <v>46273</v>
      </c>
      <c r="G351" s="43" t="inlineStr">
        <is>
          <t>Eng. Hana Saleh</t>
        </is>
      </c>
      <c r="H351" s="41" t="inlineStr">
        <is>
          <t>Approved</t>
        </is>
      </c>
      <c r="I351" s="42" t="n">
        <v>46273</v>
      </c>
      <c r="J351" s="41">
        <f>IF(H351="Pending",TODAY()-B351,IF(I351="","",I351-B351))</f>
        <v/>
      </c>
      <c r="K351" s="43" t="inlineStr"/>
    </row>
    <row r="352">
      <c r="A352" s="44" t="inlineStr">
        <is>
          <t>CTP-WIR-MEP-0065</t>
        </is>
      </c>
      <c r="B352" s="45" t="n">
        <v>46272</v>
      </c>
      <c r="C352" s="46" t="inlineStr">
        <is>
          <t>MEP</t>
        </is>
      </c>
      <c r="D352" s="46" t="inlineStr">
        <is>
          <t>Lighting installation</t>
        </is>
      </c>
      <c r="E352" s="44" t="inlineStr">
        <is>
          <t>CH 7+254</t>
        </is>
      </c>
      <c r="F352" s="45" t="n">
        <v>46273</v>
      </c>
      <c r="G352" s="46" t="inlineStr">
        <is>
          <t>Eng. Sara Nasser</t>
        </is>
      </c>
      <c r="H352" s="44" t="inlineStr">
        <is>
          <t>Approved with Comments</t>
        </is>
      </c>
      <c r="I352" s="45" t="n">
        <v>46273</v>
      </c>
      <c r="J352" s="44">
        <f>IF(H352="Pending",TODAY()-B352,IF(I352="","",I352-B352))</f>
        <v/>
      </c>
      <c r="K352" s="46" t="inlineStr">
        <is>
          <t>Minor comments to close</t>
        </is>
      </c>
    </row>
    <row r="353">
      <c r="A353" s="41" t="inlineStr">
        <is>
          <t>CTP-WIR-SUR-0071</t>
        </is>
      </c>
      <c r="B353" s="42" t="n">
        <v>46272</v>
      </c>
      <c r="C353" s="43" t="inlineStr">
        <is>
          <t>Survey</t>
        </is>
      </c>
      <c r="D353" s="43" t="inlineStr">
        <is>
          <t>Setting-out check</t>
        </is>
      </c>
      <c r="E353" s="41" t="inlineStr">
        <is>
          <t>CH 4+934</t>
        </is>
      </c>
      <c r="F353" s="42" t="n">
        <v>46272</v>
      </c>
      <c r="G353" s="43" t="inlineStr">
        <is>
          <t>Eng. Ali Haddad</t>
        </is>
      </c>
      <c r="H353" s="41" t="inlineStr">
        <is>
          <t>Approved</t>
        </is>
      </c>
      <c r="I353" s="42" t="n">
        <v>46272</v>
      </c>
      <c r="J353" s="41">
        <f>IF(H353="Pending",TODAY()-B353,IF(I353="","",I353-B353))</f>
        <v/>
      </c>
      <c r="K353" s="43" t="inlineStr"/>
    </row>
    <row r="354">
      <c r="A354" s="44" t="inlineStr">
        <is>
          <t>CTP-WIR-SUR-0072</t>
        </is>
      </c>
      <c r="B354" s="45" t="n">
        <v>46272</v>
      </c>
      <c r="C354" s="46" t="inlineStr">
        <is>
          <t>Survey</t>
        </is>
      </c>
      <c r="D354" s="46" t="inlineStr">
        <is>
          <t>As-built survey</t>
        </is>
      </c>
      <c r="E354" s="44" t="inlineStr">
        <is>
          <t>CH 6+202</t>
        </is>
      </c>
      <c r="F354" s="45" t="n">
        <v>46274</v>
      </c>
      <c r="G354" s="46" t="inlineStr">
        <is>
          <t>Eng. Mark Collins</t>
        </is>
      </c>
      <c r="H354" s="44" t="inlineStr">
        <is>
          <t>Approved</t>
        </is>
      </c>
      <c r="I354" s="45" t="n">
        <v>46275</v>
      </c>
      <c r="J354" s="44">
        <f>IF(H354="Pending",TODAY()-B354,IF(I354="","",I354-B354))</f>
        <v/>
      </c>
      <c r="K354" s="46" t="inlineStr"/>
    </row>
    <row r="355">
      <c r="A355" s="41" t="inlineStr">
        <is>
          <t>CTP-WIR-CIV-0071</t>
        </is>
      </c>
      <c r="B355" s="42" t="n">
        <v>46273</v>
      </c>
      <c r="C355" s="43" t="inlineStr">
        <is>
          <t>Civil</t>
        </is>
      </c>
      <c r="D355" s="43" t="inlineStr">
        <is>
          <t>Rebar inspection before concrete</t>
        </is>
      </c>
      <c r="E355" s="41" t="inlineStr">
        <is>
          <t>CH 5+958</t>
        </is>
      </c>
      <c r="F355" s="42" t="n">
        <v>46274</v>
      </c>
      <c r="G355" s="43" t="inlineStr">
        <is>
          <t>Eng. Ali Haddad</t>
        </is>
      </c>
      <c r="H355" s="41" t="inlineStr">
        <is>
          <t>Rejected</t>
        </is>
      </c>
      <c r="I355" s="42" t="n">
        <v>46277</v>
      </c>
      <c r="J355" s="41">
        <f>IF(H355="Pending",TODAY()-B355,IF(I355="","",I355-B355))</f>
        <v/>
      </c>
      <c r="K355" s="43" t="inlineStr">
        <is>
          <t>Re-inspection required</t>
        </is>
      </c>
    </row>
    <row r="356">
      <c r="A356" s="44" t="inlineStr">
        <is>
          <t>CTP-WIR-GEO-0073</t>
        </is>
      </c>
      <c r="B356" s="45" t="n">
        <v>46273</v>
      </c>
      <c r="C356" s="46" t="inlineStr">
        <is>
          <t>Geotechnical</t>
        </is>
      </c>
      <c r="D356" s="46" t="inlineStr">
        <is>
          <t>Grout injection</t>
        </is>
      </c>
      <c r="E356" s="44" t="inlineStr">
        <is>
          <t>CH 9+859</t>
        </is>
      </c>
      <c r="F356" s="45" t="n">
        <v>46273</v>
      </c>
      <c r="G356" s="46" t="inlineStr">
        <is>
          <t>Eng. Hana Saleh</t>
        </is>
      </c>
      <c r="H356" s="44" t="inlineStr">
        <is>
          <t>Approved</t>
        </is>
      </c>
      <c r="I356" s="45" t="n">
        <v>46274</v>
      </c>
      <c r="J356" s="44">
        <f>IF(H356="Pending",TODAY()-B356,IF(I356="","",I356-B356))</f>
        <v/>
      </c>
      <c r="K356" s="46" t="inlineStr"/>
    </row>
    <row r="357">
      <c r="A357" s="41" t="inlineStr">
        <is>
          <t>CTP-WIR-MEP-0066</t>
        </is>
      </c>
      <c r="B357" s="42" t="n">
        <v>46273</v>
      </c>
      <c r="C357" s="43" t="inlineStr">
        <is>
          <t>MEP</t>
        </is>
      </c>
      <c r="D357" s="43" t="inlineStr">
        <is>
          <t>Cable tray installation</t>
        </is>
      </c>
      <c r="E357" s="41" t="inlineStr">
        <is>
          <t>CH 3+287</t>
        </is>
      </c>
      <c r="F357" s="42" t="n">
        <v>46275</v>
      </c>
      <c r="G357" s="43" t="inlineStr">
        <is>
          <t>Eng. Sara Nasser</t>
        </is>
      </c>
      <c r="H357" s="41" t="inlineStr">
        <is>
          <t>Rejected</t>
        </is>
      </c>
      <c r="I357" s="42" t="n">
        <v>46278</v>
      </c>
      <c r="J357" s="41">
        <f>IF(H357="Pending",TODAY()-B357,IF(I357="","",I357-B357))</f>
        <v/>
      </c>
      <c r="K357" s="43" t="inlineStr">
        <is>
          <t>Re-inspection required</t>
        </is>
      </c>
    </row>
    <row r="358">
      <c r="A358" s="44" t="inlineStr">
        <is>
          <t>CTP-WIR-SUR-0073</t>
        </is>
      </c>
      <c r="B358" s="45" t="n">
        <v>46273</v>
      </c>
      <c r="C358" s="46" t="inlineStr">
        <is>
          <t>Survey</t>
        </is>
      </c>
      <c r="D358" s="46" t="inlineStr">
        <is>
          <t>Settlement monitoring</t>
        </is>
      </c>
      <c r="E358" s="44" t="inlineStr">
        <is>
          <t>CH 8+756</t>
        </is>
      </c>
      <c r="F358" s="45" t="n">
        <v>46275</v>
      </c>
      <c r="G358" s="46" t="inlineStr">
        <is>
          <t>Eng. Hana Saleh</t>
        </is>
      </c>
      <c r="H358" s="44" t="inlineStr">
        <is>
          <t>Approved</t>
        </is>
      </c>
      <c r="I358" s="45" t="n">
        <v>46276</v>
      </c>
      <c r="J358" s="44">
        <f>IF(H358="Pending",TODAY()-B358,IF(I358="","",I358-B358))</f>
        <v/>
      </c>
      <c r="K358" s="46" t="inlineStr"/>
    </row>
    <row r="359">
      <c r="A359" s="41" t="inlineStr">
        <is>
          <t>CTP-WIR-SUR-0074</t>
        </is>
      </c>
      <c r="B359" s="42" t="n">
        <v>46273</v>
      </c>
      <c r="C359" s="43" t="inlineStr">
        <is>
          <t>Survey</t>
        </is>
      </c>
      <c r="D359" s="43" t="inlineStr">
        <is>
          <t>Setting-out check</t>
        </is>
      </c>
      <c r="E359" s="41" t="inlineStr">
        <is>
          <t>CH 6+689</t>
        </is>
      </c>
      <c r="F359" s="42" t="n">
        <v>46273</v>
      </c>
      <c r="G359" s="43" t="inlineStr">
        <is>
          <t>Eng. Pedro Alves</t>
        </is>
      </c>
      <c r="H359" s="41" t="inlineStr">
        <is>
          <t>Approved</t>
        </is>
      </c>
      <c r="I359" s="42" t="n">
        <v>46274</v>
      </c>
      <c r="J359" s="41">
        <f>IF(H359="Pending",TODAY()-B359,IF(I359="","",I359-B359))</f>
        <v/>
      </c>
      <c r="K359" s="43" t="inlineStr"/>
    </row>
    <row r="360">
      <c r="A360" s="44" t="inlineStr">
        <is>
          <t>CTP-WIR-SUR-0075</t>
        </is>
      </c>
      <c r="B360" s="45" t="n">
        <v>46273</v>
      </c>
      <c r="C360" s="46" t="inlineStr">
        <is>
          <t>Survey</t>
        </is>
      </c>
      <c r="D360" s="46" t="inlineStr">
        <is>
          <t>Setting-out check</t>
        </is>
      </c>
      <c r="E360" s="44" t="inlineStr">
        <is>
          <t>CH 4+178</t>
        </is>
      </c>
      <c r="F360" s="45" t="n">
        <v>46274</v>
      </c>
      <c r="G360" s="46" t="inlineStr">
        <is>
          <t>Eng. Mark Collins</t>
        </is>
      </c>
      <c r="H360" s="44" t="inlineStr">
        <is>
          <t>Approved</t>
        </is>
      </c>
      <c r="I360" s="45" t="n">
        <v>46277</v>
      </c>
      <c r="J360" s="44">
        <f>IF(H360="Pending",TODAY()-B360,IF(I360="","",I360-B360))</f>
        <v/>
      </c>
      <c r="K360" s="46" t="inlineStr"/>
    </row>
    <row r="361">
      <c r="A361" s="41" t="inlineStr">
        <is>
          <t>CTP-WIR-TUN-0072</t>
        </is>
      </c>
      <c r="B361" s="42" t="n">
        <v>46273</v>
      </c>
      <c r="C361" s="43" t="inlineStr">
        <is>
          <t>Tunnelling</t>
        </is>
      </c>
      <c r="D361" s="43" t="inlineStr">
        <is>
          <t>Segment ring build</t>
        </is>
      </c>
      <c r="E361" s="41" t="inlineStr">
        <is>
          <t>CH 9+712</t>
        </is>
      </c>
      <c r="F361" s="42" t="n">
        <v>46274</v>
      </c>
      <c r="G361" s="43" t="inlineStr">
        <is>
          <t>Eng. Mark Collins</t>
        </is>
      </c>
      <c r="H361" s="41" t="inlineStr">
        <is>
          <t>Rejected</t>
        </is>
      </c>
      <c r="I361" s="42" t="n">
        <v>46277</v>
      </c>
      <c r="J361" s="41">
        <f>IF(H361="Pending",TODAY()-B361,IF(I361="","",I361-B361))</f>
        <v/>
      </c>
      <c r="K361" s="43" t="inlineStr">
        <is>
          <t>Re-inspection required</t>
        </is>
      </c>
    </row>
    <row r="362">
      <c r="A362" s="44" t="inlineStr">
        <is>
          <t>CTP-WIR-TUN-0073</t>
        </is>
      </c>
      <c r="B362" s="45" t="n">
        <v>46273</v>
      </c>
      <c r="C362" s="46" t="inlineStr">
        <is>
          <t>Tunnelling</t>
        </is>
      </c>
      <c r="D362" s="46" t="inlineStr">
        <is>
          <t>Annulus grouting</t>
        </is>
      </c>
      <c r="E362" s="44" t="inlineStr">
        <is>
          <t>CH 3+795</t>
        </is>
      </c>
      <c r="F362" s="45" t="n">
        <v>46273</v>
      </c>
      <c r="G362" s="46" t="inlineStr">
        <is>
          <t>Eng. Ali Haddad</t>
        </is>
      </c>
      <c r="H362" s="44" t="inlineStr">
        <is>
          <t>Approved</t>
        </is>
      </c>
      <c r="I362" s="45" t="n">
        <v>46274</v>
      </c>
      <c r="J362" s="44">
        <f>IF(H362="Pending",TODAY()-B362,IF(I362="","",I362-B362))</f>
        <v/>
      </c>
      <c r="K362" s="46" t="inlineStr"/>
    </row>
    <row r="363">
      <c r="A363" s="41" t="inlineStr">
        <is>
          <t>CTP-WIR-GEO-0074</t>
        </is>
      </c>
      <c r="B363" s="42" t="n">
        <v>46274</v>
      </c>
      <c r="C363" s="43" t="inlineStr">
        <is>
          <t>Geotechnical</t>
        </is>
      </c>
      <c r="D363" s="43" t="inlineStr">
        <is>
          <t>Ground anchor installation</t>
        </is>
      </c>
      <c r="E363" s="41" t="inlineStr">
        <is>
          <t>CH 5+355</t>
        </is>
      </c>
      <c r="F363" s="42" t="n">
        <v>46275</v>
      </c>
      <c r="G363" s="43" t="inlineStr">
        <is>
          <t>Eng. Ali Haddad</t>
        </is>
      </c>
      <c r="H363" s="41" t="inlineStr">
        <is>
          <t>Rejected</t>
        </is>
      </c>
      <c r="I363" s="42" t="n">
        <v>46276</v>
      </c>
      <c r="J363" s="41">
        <f>IF(H363="Pending",TODAY()-B363,IF(I363="","",I363-B363))</f>
        <v/>
      </c>
      <c r="K363" s="43" t="inlineStr">
        <is>
          <t>Re-inspection required</t>
        </is>
      </c>
    </row>
    <row r="364">
      <c r="A364" s="44" t="inlineStr">
        <is>
          <t>CTP-WIR-MEP-0067</t>
        </is>
      </c>
      <c r="B364" s="45" t="n">
        <v>46274</v>
      </c>
      <c r="C364" s="46" t="inlineStr">
        <is>
          <t>MEP</t>
        </is>
      </c>
      <c r="D364" s="46" t="inlineStr">
        <is>
          <t>Ventilation duct alignment</t>
        </is>
      </c>
      <c r="E364" s="44" t="inlineStr">
        <is>
          <t>CH 4+136</t>
        </is>
      </c>
      <c r="F364" s="45" t="n">
        <v>46276</v>
      </c>
      <c r="G364" s="46" t="inlineStr">
        <is>
          <t>Eng. Hana Saleh</t>
        </is>
      </c>
      <c r="H364" s="44" t="inlineStr">
        <is>
          <t>Approved</t>
        </is>
      </c>
      <c r="I364" s="45" t="n">
        <v>46277</v>
      </c>
      <c r="J364" s="44">
        <f>IF(H364="Pending",TODAY()-B364,IF(I364="","",I364-B364))</f>
        <v/>
      </c>
      <c r="K364" s="46" t="inlineStr"/>
    </row>
    <row r="365">
      <c r="A365" s="41" t="inlineStr">
        <is>
          <t>CTP-WIR-SUR-0076</t>
        </is>
      </c>
      <c r="B365" s="42" t="n">
        <v>46274</v>
      </c>
      <c r="C365" s="43" t="inlineStr">
        <is>
          <t>Survey</t>
        </is>
      </c>
      <c r="D365" s="43" t="inlineStr">
        <is>
          <t>Setting-out check</t>
        </is>
      </c>
      <c r="E365" s="41" t="inlineStr">
        <is>
          <t>CH 8+434</t>
        </is>
      </c>
      <c r="F365" s="42" t="n">
        <v>46275</v>
      </c>
      <c r="G365" s="43" t="inlineStr">
        <is>
          <t>Eng. Mark Collins</t>
        </is>
      </c>
      <c r="H365" s="41" t="inlineStr">
        <is>
          <t>Approved</t>
        </is>
      </c>
      <c r="I365" s="42" t="n">
        <v>46275</v>
      </c>
      <c r="J365" s="41">
        <f>IF(H365="Pending",TODAY()-B365,IF(I365="","",I365-B365))</f>
        <v/>
      </c>
      <c r="K365" s="43" t="inlineStr"/>
    </row>
    <row r="366">
      <c r="A366" s="44" t="inlineStr">
        <is>
          <t>CTP-WIR-TUN-0074</t>
        </is>
      </c>
      <c r="B366" s="45" t="n">
        <v>46274</v>
      </c>
      <c r="C366" s="46" t="inlineStr">
        <is>
          <t>Tunnelling</t>
        </is>
      </c>
      <c r="D366" s="46" t="inlineStr">
        <is>
          <t>TBM cutter change</t>
        </is>
      </c>
      <c r="E366" s="44" t="inlineStr">
        <is>
          <t>CH 7+243</t>
        </is>
      </c>
      <c r="F366" s="45" t="n">
        <v>46275</v>
      </c>
      <c r="G366" s="46" t="inlineStr">
        <is>
          <t>Eng. Ali Haddad</t>
        </is>
      </c>
      <c r="H366" s="44" t="inlineStr">
        <is>
          <t>Approved</t>
        </is>
      </c>
      <c r="I366" s="45" t="n">
        <v>46277</v>
      </c>
      <c r="J366" s="44">
        <f>IF(H366="Pending",TODAY()-B366,IF(I366="","",I366-B366))</f>
        <v/>
      </c>
      <c r="K366" s="46" t="inlineStr"/>
    </row>
    <row r="367">
      <c r="A367" s="41" t="inlineStr">
        <is>
          <t>CTP-WIR-CIV-0072</t>
        </is>
      </c>
      <c r="B367" s="42" t="n">
        <v>46275</v>
      </c>
      <c r="C367" s="43" t="inlineStr">
        <is>
          <t>Civil</t>
        </is>
      </c>
      <c r="D367" s="43" t="inlineStr">
        <is>
          <t>Rebar inspection before concrete</t>
        </is>
      </c>
      <c r="E367" s="41" t="inlineStr">
        <is>
          <t>CH 4+201</t>
        </is>
      </c>
      <c r="F367" s="42" t="n">
        <v>46276</v>
      </c>
      <c r="G367" s="43" t="inlineStr">
        <is>
          <t>Eng. Sara Nasser</t>
        </is>
      </c>
      <c r="H367" s="41" t="inlineStr">
        <is>
          <t>Approved</t>
        </is>
      </c>
      <c r="I367" s="42" t="n">
        <v>46277</v>
      </c>
      <c r="J367" s="41">
        <f>IF(H367="Pending",TODAY()-B367,IF(I367="","",I367-B367))</f>
        <v/>
      </c>
      <c r="K367" s="43" t="inlineStr"/>
    </row>
    <row r="368">
      <c r="A368" s="44" t="inlineStr">
        <is>
          <t>CTP-WIR-GEO-0075</t>
        </is>
      </c>
      <c r="B368" s="45" t="n">
        <v>46275</v>
      </c>
      <c r="C368" s="46" t="inlineStr">
        <is>
          <t>Geotechnical</t>
        </is>
      </c>
      <c r="D368" s="46" t="inlineStr">
        <is>
          <t>Rock bolt pull-out test</t>
        </is>
      </c>
      <c r="E368" s="44" t="inlineStr">
        <is>
          <t>CH 3+117</t>
        </is>
      </c>
      <c r="F368" s="45" t="n">
        <v>46277</v>
      </c>
      <c r="G368" s="46" t="inlineStr">
        <is>
          <t>Eng. Ali Haddad</t>
        </is>
      </c>
      <c r="H368" s="44" t="inlineStr">
        <is>
          <t>Approved with Comments</t>
        </is>
      </c>
      <c r="I368" s="45" t="n">
        <v>46279</v>
      </c>
      <c r="J368" s="44">
        <f>IF(H368="Pending",TODAY()-B368,IF(I368="","",I368-B368))</f>
        <v/>
      </c>
      <c r="K368" s="46" t="inlineStr">
        <is>
          <t>Minor comments to close</t>
        </is>
      </c>
    </row>
    <row r="369">
      <c r="A369" s="41" t="inlineStr">
        <is>
          <t>CTP-WIR-TUN-0075</t>
        </is>
      </c>
      <c r="B369" s="42" t="n">
        <v>46275</v>
      </c>
      <c r="C369" s="43" t="inlineStr">
        <is>
          <t>Tunnelling</t>
        </is>
      </c>
      <c r="D369" s="43" t="inlineStr">
        <is>
          <t>Annulus grouting</t>
        </is>
      </c>
      <c r="E369" s="41" t="inlineStr">
        <is>
          <t>CH 7+582</t>
        </is>
      </c>
      <c r="F369" s="42" t="n">
        <v>46275</v>
      </c>
      <c r="G369" s="43" t="inlineStr">
        <is>
          <t>Eng. Sara Nasser</t>
        </is>
      </c>
      <c r="H369" s="41" t="inlineStr">
        <is>
          <t>Approved</t>
        </is>
      </c>
      <c r="I369" s="42" t="n">
        <v>46277</v>
      </c>
      <c r="J369" s="41">
        <f>IF(H369="Pending",TODAY()-B369,IF(I369="","",I369-B369))</f>
        <v/>
      </c>
      <c r="K369" s="43" t="inlineStr"/>
    </row>
    <row r="370">
      <c r="A370" s="44" t="inlineStr">
        <is>
          <t>CTP-WIR-CIV-0073</t>
        </is>
      </c>
      <c r="B370" s="45" t="n">
        <v>46277</v>
      </c>
      <c r="C370" s="46" t="inlineStr">
        <is>
          <t>Civil</t>
        </is>
      </c>
      <c r="D370" s="46" t="inlineStr">
        <is>
          <t>Rebar inspection before concrete</t>
        </is>
      </c>
      <c r="E370" s="44" t="inlineStr">
        <is>
          <t>CH 9+270</t>
        </is>
      </c>
      <c r="F370" s="45" t="n">
        <v>46279</v>
      </c>
      <c r="G370" s="46" t="inlineStr">
        <is>
          <t>Eng. Pedro Alves</t>
        </is>
      </c>
      <c r="H370" s="44" t="inlineStr">
        <is>
          <t>Approved</t>
        </is>
      </c>
      <c r="I370" s="45" t="n">
        <v>46280</v>
      </c>
      <c r="J370" s="44">
        <f>IF(H370="Pending",TODAY()-B370,IF(I370="","",I370-B370))</f>
        <v/>
      </c>
      <c r="K370" s="46" t="inlineStr"/>
    </row>
    <row r="371">
      <c r="A371" s="41" t="inlineStr">
        <is>
          <t>CTP-WIR-CIV-0074</t>
        </is>
      </c>
      <c r="B371" s="42" t="n">
        <v>46277</v>
      </c>
      <c r="C371" s="43" t="inlineStr">
        <is>
          <t>Civil</t>
        </is>
      </c>
      <c r="D371" s="43" t="inlineStr">
        <is>
          <t>Concrete pouring</t>
        </is>
      </c>
      <c r="E371" s="41" t="inlineStr">
        <is>
          <t>CH 5+008</t>
        </is>
      </c>
      <c r="F371" s="42" t="n">
        <v>46279</v>
      </c>
      <c r="G371" s="43" t="inlineStr">
        <is>
          <t>Eng. Ali Haddad</t>
        </is>
      </c>
      <c r="H371" s="41" t="inlineStr">
        <is>
          <t>Approved</t>
        </is>
      </c>
      <c r="I371" s="42" t="n">
        <v>46282</v>
      </c>
      <c r="J371" s="41">
        <f>IF(H371="Pending",TODAY()-B371,IF(I371="","",I371-B371))</f>
        <v/>
      </c>
      <c r="K371" s="43" t="inlineStr"/>
    </row>
    <row r="372">
      <c r="A372" s="44" t="inlineStr">
        <is>
          <t>CTP-WIR-CIV-0075</t>
        </is>
      </c>
      <c r="B372" s="45" t="n">
        <v>46277</v>
      </c>
      <c r="C372" s="46" t="inlineStr">
        <is>
          <t>Civil</t>
        </is>
      </c>
      <c r="D372" s="46" t="inlineStr">
        <is>
          <t>Formwork inspection</t>
        </is>
      </c>
      <c r="E372" s="44" t="inlineStr">
        <is>
          <t>CH 3+080</t>
        </is>
      </c>
      <c r="F372" s="45" t="n">
        <v>46278</v>
      </c>
      <c r="G372" s="46" t="inlineStr">
        <is>
          <t>Eng. Ali Haddad</t>
        </is>
      </c>
      <c r="H372" s="44" t="inlineStr">
        <is>
          <t>Approved</t>
        </is>
      </c>
      <c r="I372" s="45" t="n">
        <v>46279</v>
      </c>
      <c r="J372" s="44">
        <f>IF(H372="Pending",TODAY()-B372,IF(I372="","",I372-B372))</f>
        <v/>
      </c>
      <c r="K372" s="46" t="inlineStr"/>
    </row>
    <row r="373">
      <c r="A373" s="41" t="inlineStr">
        <is>
          <t>CTP-WIR-MEP-0068</t>
        </is>
      </c>
      <c r="B373" s="42" t="n">
        <v>46277</v>
      </c>
      <c r="C373" s="43" t="inlineStr">
        <is>
          <t>MEP</t>
        </is>
      </c>
      <c r="D373" s="43" t="inlineStr">
        <is>
          <t>Ventilation duct alignment</t>
        </is>
      </c>
      <c r="E373" s="41" t="inlineStr">
        <is>
          <t>CH 8+866</t>
        </is>
      </c>
      <c r="F373" s="42" t="n">
        <v>46278</v>
      </c>
      <c r="G373" s="43" t="inlineStr">
        <is>
          <t>Eng. Ali Haddad</t>
        </is>
      </c>
      <c r="H373" s="41" t="inlineStr">
        <is>
          <t>Approved</t>
        </is>
      </c>
      <c r="I373" s="42" t="n">
        <v>46279</v>
      </c>
      <c r="J373" s="41">
        <f>IF(H373="Pending",TODAY()-B373,IF(I373="","",I373-B373))</f>
        <v/>
      </c>
      <c r="K373" s="43" t="inlineStr"/>
    </row>
    <row r="374">
      <c r="A374" s="44" t="inlineStr">
        <is>
          <t>CTP-WIR-SUR-0077</t>
        </is>
      </c>
      <c r="B374" s="45" t="n">
        <v>46277</v>
      </c>
      <c r="C374" s="46" t="inlineStr">
        <is>
          <t>Survey</t>
        </is>
      </c>
      <c r="D374" s="46" t="inlineStr">
        <is>
          <t>As-built survey</t>
        </is>
      </c>
      <c r="E374" s="44" t="inlineStr">
        <is>
          <t>CH 6+188</t>
        </is>
      </c>
      <c r="F374" s="45" t="n">
        <v>46278</v>
      </c>
      <c r="G374" s="46" t="inlineStr">
        <is>
          <t>Eng. Sara Nasser</t>
        </is>
      </c>
      <c r="H374" s="44" t="inlineStr">
        <is>
          <t>Approved with Comments</t>
        </is>
      </c>
      <c r="I374" s="45" t="n">
        <v>46279</v>
      </c>
      <c r="J374" s="44">
        <f>IF(H374="Pending",TODAY()-B374,IF(I374="","",I374-B374))</f>
        <v/>
      </c>
      <c r="K374" s="46" t="inlineStr">
        <is>
          <t>Minor comments to close</t>
        </is>
      </c>
    </row>
    <row r="375">
      <c r="A375" s="41" t="inlineStr">
        <is>
          <t>CTP-WIR-SUR-0078</t>
        </is>
      </c>
      <c r="B375" s="42" t="n">
        <v>46277</v>
      </c>
      <c r="C375" s="43" t="inlineStr">
        <is>
          <t>Survey</t>
        </is>
      </c>
      <c r="D375" s="43" t="inlineStr">
        <is>
          <t>As-built survey</t>
        </is>
      </c>
      <c r="E375" s="41" t="inlineStr">
        <is>
          <t>CH 5+857</t>
        </is>
      </c>
      <c r="F375" s="42" t="n">
        <v>46278</v>
      </c>
      <c r="G375" s="43" t="inlineStr">
        <is>
          <t>Eng. Mark Collins</t>
        </is>
      </c>
      <c r="H375" s="41" t="inlineStr">
        <is>
          <t>Approved</t>
        </is>
      </c>
      <c r="I375" s="42" t="n">
        <v>46281</v>
      </c>
      <c r="J375" s="41">
        <f>IF(H375="Pending",TODAY()-B375,IF(I375="","",I375-B375))</f>
        <v/>
      </c>
      <c r="K375" s="43" t="inlineStr"/>
    </row>
    <row r="376">
      <c r="A376" s="44" t="inlineStr">
        <is>
          <t>CTP-WIR-SUR-0079</t>
        </is>
      </c>
      <c r="B376" s="45" t="n">
        <v>46278</v>
      </c>
      <c r="C376" s="46" t="inlineStr">
        <is>
          <t>Survey</t>
        </is>
      </c>
      <c r="D376" s="46" t="inlineStr">
        <is>
          <t>Setting-out check</t>
        </is>
      </c>
      <c r="E376" s="44" t="inlineStr">
        <is>
          <t>CH 7+490</t>
        </is>
      </c>
      <c r="F376" s="45" t="n">
        <v>46280</v>
      </c>
      <c r="G376" s="46" t="inlineStr">
        <is>
          <t>Eng. Mark Collins</t>
        </is>
      </c>
      <c r="H376" s="44" t="inlineStr">
        <is>
          <t>Approved</t>
        </is>
      </c>
      <c r="I376" s="45" t="n">
        <v>46280</v>
      </c>
      <c r="J376" s="44">
        <f>IF(H376="Pending",TODAY()-B376,IF(I376="","",I376-B376))</f>
        <v/>
      </c>
      <c r="K376" s="46" t="inlineStr"/>
    </row>
    <row r="377">
      <c r="A377" s="41" t="inlineStr">
        <is>
          <t>CTP-WIR-SUR-0080</t>
        </is>
      </c>
      <c r="B377" s="42" t="n">
        <v>46278</v>
      </c>
      <c r="C377" s="43" t="inlineStr">
        <is>
          <t>Survey</t>
        </is>
      </c>
      <c r="D377" s="43" t="inlineStr">
        <is>
          <t>Setting-out check</t>
        </is>
      </c>
      <c r="E377" s="41" t="inlineStr">
        <is>
          <t>CH 8+435</t>
        </is>
      </c>
      <c r="F377" s="42" t="n">
        <v>46279</v>
      </c>
      <c r="G377" s="43" t="inlineStr">
        <is>
          <t>Eng. Sara Nasser</t>
        </is>
      </c>
      <c r="H377" s="41" t="inlineStr">
        <is>
          <t>Approved</t>
        </is>
      </c>
      <c r="I377" s="42" t="n">
        <v>46282</v>
      </c>
      <c r="J377" s="41">
        <f>IF(H377="Pending",TODAY()-B377,IF(I377="","",I377-B377))</f>
        <v/>
      </c>
      <c r="K377" s="43" t="inlineStr"/>
    </row>
    <row r="378">
      <c r="A378" s="44" t="inlineStr">
        <is>
          <t>CTP-WIR-TUN-0076</t>
        </is>
      </c>
      <c r="B378" s="45" t="n">
        <v>46278</v>
      </c>
      <c r="C378" s="46" t="inlineStr">
        <is>
          <t>Tunnelling</t>
        </is>
      </c>
      <c r="D378" s="46" t="inlineStr">
        <is>
          <t>Tunnel invert cleaning</t>
        </is>
      </c>
      <c r="E378" s="44" t="inlineStr">
        <is>
          <t>CH 7+433</t>
        </is>
      </c>
      <c r="F378" s="45" t="n">
        <v>46280</v>
      </c>
      <c r="G378" s="46" t="inlineStr">
        <is>
          <t>Eng. Mark Collins</t>
        </is>
      </c>
      <c r="H378" s="44" t="inlineStr">
        <is>
          <t>Rejected</t>
        </is>
      </c>
      <c r="I378" s="45" t="n">
        <v>46281</v>
      </c>
      <c r="J378" s="44">
        <f>IF(H378="Pending",TODAY()-B378,IF(I378="","",I378-B378))</f>
        <v/>
      </c>
      <c r="K378" s="46" t="inlineStr">
        <is>
          <t>Re-inspection required</t>
        </is>
      </c>
    </row>
    <row r="379">
      <c r="A379" s="41" t="inlineStr">
        <is>
          <t>CTP-WIR-TUN-0077</t>
        </is>
      </c>
      <c r="B379" s="42" t="n">
        <v>46278</v>
      </c>
      <c r="C379" s="43" t="inlineStr">
        <is>
          <t>Tunnelling</t>
        </is>
      </c>
      <c r="D379" s="43" t="inlineStr">
        <is>
          <t>TBM cutter change</t>
        </is>
      </c>
      <c r="E379" s="41" t="inlineStr">
        <is>
          <t>CH 2+704</t>
        </is>
      </c>
      <c r="F379" s="42" t="n">
        <v>46279</v>
      </c>
      <c r="G379" s="43" t="inlineStr">
        <is>
          <t>Eng. Mark Collins</t>
        </is>
      </c>
      <c r="H379" s="41" t="inlineStr">
        <is>
          <t>Approved</t>
        </is>
      </c>
      <c r="I379" s="42" t="n">
        <v>46279</v>
      </c>
      <c r="J379" s="41">
        <f>IF(H379="Pending",TODAY()-B379,IF(I379="","",I379-B379))</f>
        <v/>
      </c>
      <c r="K379" s="43" t="inlineStr"/>
    </row>
    <row r="380">
      <c r="A380" s="44" t="inlineStr">
        <is>
          <t>CTP-WIR-SUR-0081</t>
        </is>
      </c>
      <c r="B380" s="45" t="n">
        <v>46279</v>
      </c>
      <c r="C380" s="46" t="inlineStr">
        <is>
          <t>Survey</t>
        </is>
      </c>
      <c r="D380" s="46" t="inlineStr">
        <is>
          <t>Settlement monitoring</t>
        </is>
      </c>
      <c r="E380" s="44" t="inlineStr">
        <is>
          <t>CH 2+997</t>
        </is>
      </c>
      <c r="F380" s="45" t="n">
        <v>46281</v>
      </c>
      <c r="G380" s="46" t="inlineStr">
        <is>
          <t>Eng. Hana Saleh</t>
        </is>
      </c>
      <c r="H380" s="44" t="inlineStr">
        <is>
          <t>Approved</t>
        </is>
      </c>
      <c r="I380" s="45" t="n">
        <v>46284</v>
      </c>
      <c r="J380" s="44">
        <f>IF(H380="Pending",TODAY()-B380,IF(I380="","",I380-B380))</f>
        <v/>
      </c>
      <c r="K380" s="46" t="inlineStr"/>
    </row>
    <row r="381">
      <c r="A381" s="41" t="inlineStr">
        <is>
          <t>CTP-WIR-TUN-0078</t>
        </is>
      </c>
      <c r="B381" s="42" t="n">
        <v>46279</v>
      </c>
      <c r="C381" s="43" t="inlineStr">
        <is>
          <t>Tunnelling</t>
        </is>
      </c>
      <c r="D381" s="43" t="inlineStr">
        <is>
          <t>TBM cutter change</t>
        </is>
      </c>
      <c r="E381" s="41" t="inlineStr">
        <is>
          <t>CH 2+925</t>
        </is>
      </c>
      <c r="F381" s="42" t="n">
        <v>46280</v>
      </c>
      <c r="G381" s="43" t="inlineStr">
        <is>
          <t>Eng. Pedro Alves</t>
        </is>
      </c>
      <c r="H381" s="41" t="inlineStr">
        <is>
          <t>Approved</t>
        </is>
      </c>
      <c r="I381" s="42" t="n">
        <v>46280</v>
      </c>
      <c r="J381" s="41">
        <f>IF(H381="Pending",TODAY()-B381,IF(I381="","",I381-B381))</f>
        <v/>
      </c>
      <c r="K381" s="43" t="inlineStr"/>
    </row>
    <row r="382">
      <c r="A382" s="44" t="inlineStr">
        <is>
          <t>CTP-WIR-TUN-0079</t>
        </is>
      </c>
      <c r="B382" s="45" t="n">
        <v>46279</v>
      </c>
      <c r="C382" s="46" t="inlineStr">
        <is>
          <t>Tunnelling</t>
        </is>
      </c>
      <c r="D382" s="46" t="inlineStr">
        <is>
          <t>TBM cutter change</t>
        </is>
      </c>
      <c r="E382" s="44" t="inlineStr">
        <is>
          <t>CH 5+581</t>
        </is>
      </c>
      <c r="F382" s="45" t="n">
        <v>46280</v>
      </c>
      <c r="G382" s="46" t="inlineStr">
        <is>
          <t>Eng. Pedro Alves</t>
        </is>
      </c>
      <c r="H382" s="44" t="inlineStr">
        <is>
          <t>Approved</t>
        </is>
      </c>
      <c r="I382" s="45" t="n">
        <v>46283</v>
      </c>
      <c r="J382" s="44">
        <f>IF(H382="Pending",TODAY()-B382,IF(I382="","",I382-B382))</f>
        <v/>
      </c>
      <c r="K382" s="46" t="inlineStr"/>
    </row>
    <row r="383">
      <c r="A383" s="41" t="inlineStr">
        <is>
          <t>CTP-WIR-CIV-0076</t>
        </is>
      </c>
      <c r="B383" s="42" t="n">
        <v>46280</v>
      </c>
      <c r="C383" s="43" t="inlineStr">
        <is>
          <t>Civil</t>
        </is>
      </c>
      <c r="D383" s="43" t="inlineStr">
        <is>
          <t>Concrete pouring</t>
        </is>
      </c>
      <c r="E383" s="41" t="inlineStr">
        <is>
          <t>CH 4+886</t>
        </is>
      </c>
      <c r="F383" s="42" t="n">
        <v>46281</v>
      </c>
      <c r="G383" s="43" t="inlineStr">
        <is>
          <t>Eng. Hana Saleh</t>
        </is>
      </c>
      <c r="H383" s="41" t="inlineStr">
        <is>
          <t>Approved</t>
        </is>
      </c>
      <c r="I383" s="42" t="n">
        <v>46282</v>
      </c>
      <c r="J383" s="41">
        <f>IF(H383="Pending",TODAY()-B383,IF(I383="","",I383-B383))</f>
        <v/>
      </c>
      <c r="K383" s="43" t="inlineStr"/>
    </row>
    <row r="384">
      <c r="A384" s="44" t="inlineStr">
        <is>
          <t>CTP-WIR-GEO-0076</t>
        </is>
      </c>
      <c r="B384" s="45" t="n">
        <v>46280</v>
      </c>
      <c r="C384" s="46" t="inlineStr">
        <is>
          <t>Geotechnical</t>
        </is>
      </c>
      <c r="D384" s="46" t="inlineStr">
        <is>
          <t>Rock bolt pull-out test</t>
        </is>
      </c>
      <c r="E384" s="44" t="inlineStr">
        <is>
          <t>CH 9+674</t>
        </is>
      </c>
      <c r="F384" s="45" t="n">
        <v>46280</v>
      </c>
      <c r="G384" s="46" t="inlineStr">
        <is>
          <t>Eng. Hana Saleh</t>
        </is>
      </c>
      <c r="H384" s="44" t="inlineStr">
        <is>
          <t>Approved with Comments</t>
        </is>
      </c>
      <c r="I384" s="45" t="n">
        <v>46281</v>
      </c>
      <c r="J384" s="44">
        <f>IF(H384="Pending",TODAY()-B384,IF(I384="","",I384-B384))</f>
        <v/>
      </c>
      <c r="K384" s="46" t="inlineStr">
        <is>
          <t>Minor comments to close</t>
        </is>
      </c>
    </row>
    <row r="385">
      <c r="A385" s="41" t="inlineStr">
        <is>
          <t>CTP-WIR-MEP-0069</t>
        </is>
      </c>
      <c r="B385" s="42" t="n">
        <v>46280</v>
      </c>
      <c r="C385" s="43" t="inlineStr">
        <is>
          <t>MEP</t>
        </is>
      </c>
      <c r="D385" s="43" t="inlineStr">
        <is>
          <t>Cable tray installation</t>
        </is>
      </c>
      <c r="E385" s="41" t="inlineStr">
        <is>
          <t>CH 3+561</t>
        </is>
      </c>
      <c r="F385" s="42" t="n">
        <v>46281</v>
      </c>
      <c r="G385" s="43" t="inlineStr">
        <is>
          <t>Eng. Mark Collins</t>
        </is>
      </c>
      <c r="H385" s="41" t="inlineStr">
        <is>
          <t>Approved</t>
        </is>
      </c>
      <c r="I385" s="42" t="n">
        <v>46282</v>
      </c>
      <c r="J385" s="41">
        <f>IF(H385="Pending",TODAY()-B385,IF(I385="","",I385-B385))</f>
        <v/>
      </c>
      <c r="K385" s="43" t="inlineStr"/>
    </row>
    <row r="386">
      <c r="A386" s="44" t="inlineStr">
        <is>
          <t>CTP-WIR-SUR-0082</t>
        </is>
      </c>
      <c r="B386" s="45" t="n">
        <v>46280</v>
      </c>
      <c r="C386" s="46" t="inlineStr">
        <is>
          <t>Survey</t>
        </is>
      </c>
      <c r="D386" s="46" t="inlineStr">
        <is>
          <t>As-built survey</t>
        </is>
      </c>
      <c r="E386" s="44" t="inlineStr">
        <is>
          <t>CH 8+686</t>
        </is>
      </c>
      <c r="F386" s="45" t="n">
        <v>46281</v>
      </c>
      <c r="G386" s="46" t="inlineStr">
        <is>
          <t>Eng. Pedro Alves</t>
        </is>
      </c>
      <c r="H386" s="44" t="inlineStr">
        <is>
          <t>Approved</t>
        </is>
      </c>
      <c r="I386" s="45" t="n">
        <v>46282</v>
      </c>
      <c r="J386" s="44">
        <f>IF(H386="Pending",TODAY()-B386,IF(I386="","",I386-B386))</f>
        <v/>
      </c>
      <c r="K386" s="46" t="inlineStr"/>
    </row>
    <row r="387">
      <c r="A387" s="41" t="inlineStr">
        <is>
          <t>CTP-WIR-SUR-0083</t>
        </is>
      </c>
      <c r="B387" s="42" t="n">
        <v>46280</v>
      </c>
      <c r="C387" s="43" t="inlineStr">
        <is>
          <t>Survey</t>
        </is>
      </c>
      <c r="D387" s="43" t="inlineStr">
        <is>
          <t>Tunnel alignment survey</t>
        </is>
      </c>
      <c r="E387" s="41" t="inlineStr">
        <is>
          <t>CH 8+586</t>
        </is>
      </c>
      <c r="F387" s="42" t="n">
        <v>46281</v>
      </c>
      <c r="G387" s="43" t="inlineStr">
        <is>
          <t>Eng. Hana Saleh</t>
        </is>
      </c>
      <c r="H387" s="41" t="inlineStr">
        <is>
          <t>Approved</t>
        </is>
      </c>
      <c r="I387" s="42" t="n">
        <v>46282</v>
      </c>
      <c r="J387" s="41">
        <f>IF(H387="Pending",TODAY()-B387,IF(I387="","",I387-B387))</f>
        <v/>
      </c>
      <c r="K387" s="43" t="inlineStr"/>
    </row>
    <row r="388">
      <c r="A388" s="44" t="inlineStr">
        <is>
          <t>CTP-WIR-TUN-0080</t>
        </is>
      </c>
      <c r="B388" s="45" t="n">
        <v>46280</v>
      </c>
      <c r="C388" s="46" t="inlineStr">
        <is>
          <t>Tunnelling</t>
        </is>
      </c>
      <c r="D388" s="46" t="inlineStr">
        <is>
          <t>Segment ring build</t>
        </is>
      </c>
      <c r="E388" s="44" t="inlineStr">
        <is>
          <t>CH 7+707</t>
        </is>
      </c>
      <c r="F388" s="45" t="n">
        <v>46280</v>
      </c>
      <c r="G388" s="46" t="inlineStr">
        <is>
          <t>Eng. Mark Collins</t>
        </is>
      </c>
      <c r="H388" s="44" t="inlineStr">
        <is>
          <t>Approved with Comments</t>
        </is>
      </c>
      <c r="I388" s="45" t="n">
        <v>46281</v>
      </c>
      <c r="J388" s="44">
        <f>IF(H388="Pending",TODAY()-B388,IF(I388="","",I388-B388))</f>
        <v/>
      </c>
      <c r="K388" s="46" t="inlineStr">
        <is>
          <t>Minor comments to close</t>
        </is>
      </c>
    </row>
    <row r="389">
      <c r="A389" s="41" t="inlineStr">
        <is>
          <t>CTP-WIR-TUN-0081</t>
        </is>
      </c>
      <c r="B389" s="42" t="n">
        <v>46280</v>
      </c>
      <c r="C389" s="43" t="inlineStr">
        <is>
          <t>Tunnelling</t>
        </is>
      </c>
      <c r="D389" s="43" t="inlineStr">
        <is>
          <t>TBM cutter change</t>
        </is>
      </c>
      <c r="E389" s="41" t="inlineStr">
        <is>
          <t>CH 5+542</t>
        </is>
      </c>
      <c r="F389" s="42" t="n">
        <v>46281</v>
      </c>
      <c r="G389" s="43" t="inlineStr">
        <is>
          <t>Eng. Hana Saleh</t>
        </is>
      </c>
      <c r="H389" s="41" t="inlineStr">
        <is>
          <t>Approved</t>
        </is>
      </c>
      <c r="I389" s="42" t="n">
        <v>46283</v>
      </c>
      <c r="J389" s="41">
        <f>IF(H389="Pending",TODAY()-B389,IF(I389="","",I389-B389))</f>
        <v/>
      </c>
      <c r="K389" s="43" t="inlineStr"/>
    </row>
    <row r="390">
      <c r="A390" s="44" t="inlineStr">
        <is>
          <t>CTP-WIR-GEO-0077</t>
        </is>
      </c>
      <c r="B390" s="45" t="n">
        <v>46281</v>
      </c>
      <c r="C390" s="46" t="inlineStr">
        <is>
          <t>Geotechnical</t>
        </is>
      </c>
      <c r="D390" s="46" t="inlineStr">
        <is>
          <t>Borehole drilling &amp; logging</t>
        </is>
      </c>
      <c r="E390" s="44" t="inlineStr">
        <is>
          <t>CH 7+137</t>
        </is>
      </c>
      <c r="F390" s="45" t="n">
        <v>46281</v>
      </c>
      <c r="G390" s="46" t="inlineStr">
        <is>
          <t>Eng. Hana Saleh</t>
        </is>
      </c>
      <c r="H390" s="44" t="inlineStr">
        <is>
          <t>Approved with Comments</t>
        </is>
      </c>
      <c r="I390" s="45" t="n">
        <v>46281</v>
      </c>
      <c r="J390" s="44">
        <f>IF(H390="Pending",TODAY()-B390,IF(I390="","",I390-B390))</f>
        <v/>
      </c>
      <c r="K390" s="46" t="inlineStr">
        <is>
          <t>Minor comments to close</t>
        </is>
      </c>
    </row>
    <row r="391">
      <c r="A391" s="41" t="inlineStr">
        <is>
          <t>CTP-WIR-GEO-0078</t>
        </is>
      </c>
      <c r="B391" s="42" t="n">
        <v>46281</v>
      </c>
      <c r="C391" s="43" t="inlineStr">
        <is>
          <t>Geotechnical</t>
        </is>
      </c>
      <c r="D391" s="43" t="inlineStr">
        <is>
          <t>Grout injection</t>
        </is>
      </c>
      <c r="E391" s="41" t="inlineStr">
        <is>
          <t>CH 8+175</t>
        </is>
      </c>
      <c r="F391" s="42" t="n">
        <v>46281</v>
      </c>
      <c r="G391" s="43" t="inlineStr">
        <is>
          <t>Eng. Hana Saleh</t>
        </is>
      </c>
      <c r="H391" s="41" t="inlineStr">
        <is>
          <t>Approved</t>
        </is>
      </c>
      <c r="I391" s="42" t="n">
        <v>46283</v>
      </c>
      <c r="J391" s="41">
        <f>IF(H391="Pending",TODAY()-B391,IF(I391="","",I391-B391))</f>
        <v/>
      </c>
      <c r="K391" s="43" t="inlineStr"/>
    </row>
    <row r="392">
      <c r="A392" s="44" t="inlineStr">
        <is>
          <t>CTP-WIR-GEO-0079</t>
        </is>
      </c>
      <c r="B392" s="45" t="n">
        <v>46281</v>
      </c>
      <c r="C392" s="46" t="inlineStr">
        <is>
          <t>Geotechnical</t>
        </is>
      </c>
      <c r="D392" s="46" t="inlineStr">
        <is>
          <t>Borehole drilling &amp; logging</t>
        </is>
      </c>
      <c r="E392" s="44" t="inlineStr">
        <is>
          <t>CH 5+794</t>
        </is>
      </c>
      <c r="F392" s="45" t="n">
        <v>46283</v>
      </c>
      <c r="G392" s="46" t="inlineStr">
        <is>
          <t>Eng. Pedro Alves</t>
        </is>
      </c>
      <c r="H392" s="44" t="inlineStr">
        <is>
          <t>Approved with Comments</t>
        </is>
      </c>
      <c r="I392" s="45" t="n">
        <v>46284</v>
      </c>
      <c r="J392" s="44">
        <f>IF(H392="Pending",TODAY()-B392,IF(I392="","",I392-B392))</f>
        <v/>
      </c>
      <c r="K392" s="46" t="inlineStr">
        <is>
          <t>Minor comments to close</t>
        </is>
      </c>
    </row>
    <row r="393">
      <c r="A393" s="41" t="inlineStr">
        <is>
          <t>CTP-WIR-MEP-0070</t>
        </is>
      </c>
      <c r="B393" s="42" t="n">
        <v>46281</v>
      </c>
      <c r="C393" s="43" t="inlineStr">
        <is>
          <t>MEP</t>
        </is>
      </c>
      <c r="D393" s="43" t="inlineStr">
        <is>
          <t>Pump station testing</t>
        </is>
      </c>
      <c r="E393" s="41" t="inlineStr">
        <is>
          <t>CH 9+117</t>
        </is>
      </c>
      <c r="F393" s="42" t="n">
        <v>46281</v>
      </c>
      <c r="G393" s="43" t="inlineStr">
        <is>
          <t>Eng. Mark Collins</t>
        </is>
      </c>
      <c r="H393" s="41" t="inlineStr">
        <is>
          <t>Approved</t>
        </is>
      </c>
      <c r="I393" s="42" t="n">
        <v>46282</v>
      </c>
      <c r="J393" s="41">
        <f>IF(H393="Pending",TODAY()-B393,IF(I393="","",I393-B393))</f>
        <v/>
      </c>
      <c r="K393" s="43" t="inlineStr"/>
    </row>
    <row r="394">
      <c r="A394" s="44" t="inlineStr">
        <is>
          <t>CTP-WIR-SUR-0084</t>
        </is>
      </c>
      <c r="B394" s="45" t="n">
        <v>46281</v>
      </c>
      <c r="C394" s="46" t="inlineStr">
        <is>
          <t>Survey</t>
        </is>
      </c>
      <c r="D394" s="46" t="inlineStr">
        <is>
          <t>Setting-out check</t>
        </is>
      </c>
      <c r="E394" s="44" t="inlineStr">
        <is>
          <t>CH 4+125</t>
        </is>
      </c>
      <c r="F394" s="45" t="n">
        <v>46282</v>
      </c>
      <c r="G394" s="46" t="inlineStr">
        <is>
          <t>Eng. Sara Nasser</t>
        </is>
      </c>
      <c r="H394" s="44" t="inlineStr">
        <is>
          <t>Approved with Comments</t>
        </is>
      </c>
      <c r="I394" s="45" t="n">
        <v>46282</v>
      </c>
      <c r="J394" s="44">
        <f>IF(H394="Pending",TODAY()-B394,IF(I394="","",I394-B394))</f>
        <v/>
      </c>
      <c r="K394" s="46" t="inlineStr">
        <is>
          <t>Minor comments to close</t>
        </is>
      </c>
    </row>
    <row r="395">
      <c r="A395" s="41" t="inlineStr">
        <is>
          <t>CTP-WIR-TUN-0082</t>
        </is>
      </c>
      <c r="B395" s="42" t="n">
        <v>46281</v>
      </c>
      <c r="C395" s="43" t="inlineStr">
        <is>
          <t>Tunnelling</t>
        </is>
      </c>
      <c r="D395" s="43" t="inlineStr">
        <is>
          <t>Segment ring build</t>
        </is>
      </c>
      <c r="E395" s="41" t="inlineStr">
        <is>
          <t>CH 7+307</t>
        </is>
      </c>
      <c r="F395" s="42" t="n">
        <v>46281</v>
      </c>
      <c r="G395" s="43" t="inlineStr">
        <is>
          <t>Eng. Mark Collins</t>
        </is>
      </c>
      <c r="H395" s="41" t="inlineStr">
        <is>
          <t>Approved with Comments</t>
        </is>
      </c>
      <c r="I395" s="42" t="n">
        <v>46282</v>
      </c>
      <c r="J395" s="41">
        <f>IF(H395="Pending",TODAY()-B395,IF(I395="","",I395-B395))</f>
        <v/>
      </c>
      <c r="K395" s="43" t="inlineStr">
        <is>
          <t>Minor comments to close</t>
        </is>
      </c>
    </row>
    <row r="396">
      <c r="A396" s="44" t="inlineStr">
        <is>
          <t>CTP-WIR-CIV-0077</t>
        </is>
      </c>
      <c r="B396" s="45" t="n">
        <v>46282</v>
      </c>
      <c r="C396" s="46" t="inlineStr">
        <is>
          <t>Civil</t>
        </is>
      </c>
      <c r="D396" s="46" t="inlineStr">
        <is>
          <t>Formwork inspection</t>
        </is>
      </c>
      <c r="E396" s="44" t="inlineStr">
        <is>
          <t>CH 4+362</t>
        </is>
      </c>
      <c r="F396" s="45" t="n">
        <v>46282</v>
      </c>
      <c r="G396" s="46" t="inlineStr">
        <is>
          <t>Eng. Pedro Alves</t>
        </is>
      </c>
      <c r="H396" s="44" t="inlineStr">
        <is>
          <t>Approved</t>
        </is>
      </c>
      <c r="I396" s="45" t="n">
        <v>46283</v>
      </c>
      <c r="J396" s="44">
        <f>IF(H396="Pending",TODAY()-B396,IF(I396="","",I396-B396))</f>
        <v/>
      </c>
      <c r="K396" s="46" t="inlineStr"/>
    </row>
    <row r="397">
      <c r="A397" s="41" t="inlineStr">
        <is>
          <t>CTP-WIR-GEO-0080</t>
        </is>
      </c>
      <c r="B397" s="42" t="n">
        <v>46282</v>
      </c>
      <c r="C397" s="43" t="inlineStr">
        <is>
          <t>Geotechnical</t>
        </is>
      </c>
      <c r="D397" s="43" t="inlineStr">
        <is>
          <t>Borehole drilling &amp; logging</t>
        </is>
      </c>
      <c r="E397" s="41" t="inlineStr">
        <is>
          <t>CH 9+361</t>
        </is>
      </c>
      <c r="F397" s="42" t="n">
        <v>46283</v>
      </c>
      <c r="G397" s="43" t="inlineStr">
        <is>
          <t>Eng. Sara Nasser</t>
        </is>
      </c>
      <c r="H397" s="41" t="inlineStr">
        <is>
          <t>Approved with Comments</t>
        </is>
      </c>
      <c r="I397" s="42" t="n">
        <v>46283</v>
      </c>
      <c r="J397" s="41">
        <f>IF(H397="Pending",TODAY()-B397,IF(I397="","",I397-B397))</f>
        <v/>
      </c>
      <c r="K397" s="43" t="inlineStr">
        <is>
          <t>Minor comments to close</t>
        </is>
      </c>
    </row>
    <row r="398">
      <c r="A398" s="44" t="inlineStr">
        <is>
          <t>CTP-WIR-MEP-0071</t>
        </is>
      </c>
      <c r="B398" s="45" t="n">
        <v>46282</v>
      </c>
      <c r="C398" s="46" t="inlineStr">
        <is>
          <t>MEP</t>
        </is>
      </c>
      <c r="D398" s="46" t="inlineStr">
        <is>
          <t>Cable tray installation</t>
        </is>
      </c>
      <c r="E398" s="44" t="inlineStr">
        <is>
          <t>CH 7+113</t>
        </is>
      </c>
      <c r="F398" s="45" t="n">
        <v>46284</v>
      </c>
      <c r="G398" s="46" t="inlineStr">
        <is>
          <t>Eng. Sara Nasser</t>
        </is>
      </c>
      <c r="H398" s="44" t="inlineStr">
        <is>
          <t>Approved</t>
        </is>
      </c>
      <c r="I398" s="45" t="n">
        <v>46284</v>
      </c>
      <c r="J398" s="44">
        <f>IF(H398="Pending",TODAY()-B398,IF(I398="","",I398-B398))</f>
        <v/>
      </c>
      <c r="K398" s="46" t="inlineStr"/>
    </row>
    <row r="399">
      <c r="A399" s="41" t="inlineStr">
        <is>
          <t>CTP-WIR-MEP-0072</t>
        </is>
      </c>
      <c r="B399" s="42" t="n">
        <v>46282</v>
      </c>
      <c r="C399" s="43" t="inlineStr">
        <is>
          <t>MEP</t>
        </is>
      </c>
      <c r="D399" s="43" t="inlineStr">
        <is>
          <t>Ventilation duct alignment</t>
        </is>
      </c>
      <c r="E399" s="41" t="inlineStr">
        <is>
          <t>CH 6+856</t>
        </is>
      </c>
      <c r="F399" s="42" t="n">
        <v>46283</v>
      </c>
      <c r="G399" s="43" t="inlineStr">
        <is>
          <t>Eng. Hana Saleh</t>
        </is>
      </c>
      <c r="H399" s="41" t="inlineStr">
        <is>
          <t>Approved</t>
        </is>
      </c>
      <c r="I399" s="42" t="n">
        <v>46284</v>
      </c>
      <c r="J399" s="41">
        <f>IF(H399="Pending",TODAY()-B399,IF(I399="","",I399-B399))</f>
        <v/>
      </c>
      <c r="K399" s="43" t="inlineStr"/>
    </row>
    <row r="400">
      <c r="A400" s="44" t="inlineStr">
        <is>
          <t>CTP-WIR-MEP-0073</t>
        </is>
      </c>
      <c r="B400" s="45" t="n">
        <v>46282</v>
      </c>
      <c r="C400" s="46" t="inlineStr">
        <is>
          <t>MEP</t>
        </is>
      </c>
      <c r="D400" s="46" t="inlineStr">
        <is>
          <t>Cable tray installation</t>
        </is>
      </c>
      <c r="E400" s="44" t="inlineStr">
        <is>
          <t>CH 7+014</t>
        </is>
      </c>
      <c r="F400" s="45" t="n">
        <v>46283</v>
      </c>
      <c r="G400" s="46" t="inlineStr">
        <is>
          <t>Eng. Sara Nasser</t>
        </is>
      </c>
      <c r="H400" s="44" t="inlineStr">
        <is>
          <t>Approved</t>
        </is>
      </c>
      <c r="I400" s="45" t="n">
        <v>46284</v>
      </c>
      <c r="J400" s="44">
        <f>IF(H400="Pending",TODAY()-B400,IF(I400="","",I400-B400))</f>
        <v/>
      </c>
      <c r="K400" s="46" t="inlineStr"/>
    </row>
    <row r="401">
      <c r="A401" s="41" t="inlineStr">
        <is>
          <t>CTP-WIR-SUR-0085</t>
        </is>
      </c>
      <c r="B401" s="42" t="n">
        <v>46282</v>
      </c>
      <c r="C401" s="43" t="inlineStr">
        <is>
          <t>Survey</t>
        </is>
      </c>
      <c r="D401" s="43" t="inlineStr">
        <is>
          <t>Setting-out check</t>
        </is>
      </c>
      <c r="E401" s="41" t="inlineStr">
        <is>
          <t>CH 0+076</t>
        </is>
      </c>
      <c r="F401" s="42" t="n">
        <v>46284</v>
      </c>
      <c r="G401" s="43" t="inlineStr">
        <is>
          <t>Eng. Hana Saleh</t>
        </is>
      </c>
      <c r="H401" s="41" t="inlineStr">
        <is>
          <t>Approved</t>
        </is>
      </c>
      <c r="I401" s="42" t="n">
        <v>46284</v>
      </c>
      <c r="J401" s="41">
        <f>IF(H401="Pending",TODAY()-B401,IF(I401="","",I401-B401))</f>
        <v/>
      </c>
      <c r="K401" s="43" t="inlineStr"/>
    </row>
    <row r="402">
      <c r="A402" s="44" t="inlineStr">
        <is>
          <t>CTP-WIR-SUR-0086</t>
        </is>
      </c>
      <c r="B402" s="45" t="n">
        <v>46282</v>
      </c>
      <c r="C402" s="46" t="inlineStr">
        <is>
          <t>Survey</t>
        </is>
      </c>
      <c r="D402" s="46" t="inlineStr">
        <is>
          <t>Setting-out check</t>
        </is>
      </c>
      <c r="E402" s="44" t="inlineStr">
        <is>
          <t>CH 7+402</t>
        </is>
      </c>
      <c r="F402" s="45" t="n">
        <v>46284</v>
      </c>
      <c r="G402" s="46" t="inlineStr">
        <is>
          <t>Eng. Hana Saleh</t>
        </is>
      </c>
      <c r="H402" s="44" t="inlineStr">
        <is>
          <t>Approved with Comments</t>
        </is>
      </c>
      <c r="I402" s="45" t="n">
        <v>46285</v>
      </c>
      <c r="J402" s="44">
        <f>IF(H402="Pending",TODAY()-B402,IF(I402="","",I402-B402))</f>
        <v/>
      </c>
      <c r="K402" s="46" t="inlineStr">
        <is>
          <t>Minor comments to close</t>
        </is>
      </c>
    </row>
    <row r="403">
      <c r="A403" s="41" t="inlineStr">
        <is>
          <t>CTP-WIR-SUR-0087</t>
        </is>
      </c>
      <c r="B403" s="42" t="n">
        <v>46282</v>
      </c>
      <c r="C403" s="43" t="inlineStr">
        <is>
          <t>Survey</t>
        </is>
      </c>
      <c r="D403" s="43" t="inlineStr">
        <is>
          <t>Setting-out check</t>
        </is>
      </c>
      <c r="E403" s="41" t="inlineStr">
        <is>
          <t>CH 3+318</t>
        </is>
      </c>
      <c r="F403" s="42" t="n">
        <v>46282</v>
      </c>
      <c r="G403" s="43" t="inlineStr">
        <is>
          <t>Eng. Hana Saleh</t>
        </is>
      </c>
      <c r="H403" s="41" t="inlineStr">
        <is>
          <t>Approved</t>
        </is>
      </c>
      <c r="I403" s="42" t="n">
        <v>46285</v>
      </c>
      <c r="J403" s="41">
        <f>IF(H403="Pending",TODAY()-B403,IF(I403="","",I403-B403))</f>
        <v/>
      </c>
      <c r="K403" s="43" t="inlineStr"/>
    </row>
    <row r="404">
      <c r="A404" s="44" t="inlineStr">
        <is>
          <t>CTP-WIR-CIV-0078</t>
        </is>
      </c>
      <c r="B404" s="45" t="n">
        <v>46284</v>
      </c>
      <c r="C404" s="46" t="inlineStr">
        <is>
          <t>Civil</t>
        </is>
      </c>
      <c r="D404" s="46" t="inlineStr">
        <is>
          <t>Formwork inspection</t>
        </is>
      </c>
      <c r="E404" s="44" t="inlineStr">
        <is>
          <t>CH 7+341</t>
        </is>
      </c>
      <c r="F404" s="45" t="n">
        <v>46285</v>
      </c>
      <c r="G404" s="46" t="inlineStr">
        <is>
          <t>Eng. Ali Haddad</t>
        </is>
      </c>
      <c r="H404" s="44" t="inlineStr">
        <is>
          <t>Approved</t>
        </is>
      </c>
      <c r="I404" s="45" t="n">
        <v>46288</v>
      </c>
      <c r="J404" s="44">
        <f>IF(H404="Pending",TODAY()-B404,IF(I404="","",I404-B404))</f>
        <v/>
      </c>
      <c r="K404" s="46" t="inlineStr"/>
    </row>
    <row r="405">
      <c r="A405" s="41" t="inlineStr">
        <is>
          <t>CTP-WIR-CIV-0079</t>
        </is>
      </c>
      <c r="B405" s="42" t="n">
        <v>46284</v>
      </c>
      <c r="C405" s="43" t="inlineStr">
        <is>
          <t>Civil</t>
        </is>
      </c>
      <c r="D405" s="43" t="inlineStr">
        <is>
          <t>Formwork inspection</t>
        </is>
      </c>
      <c r="E405" s="41" t="inlineStr">
        <is>
          <t>CH 0+646</t>
        </is>
      </c>
      <c r="F405" s="42" t="n">
        <v>46285</v>
      </c>
      <c r="G405" s="43" t="inlineStr">
        <is>
          <t>Eng. Mark Collins</t>
        </is>
      </c>
      <c r="H405" s="41" t="inlineStr">
        <is>
          <t>Approved</t>
        </is>
      </c>
      <c r="I405" s="42" t="n">
        <v>46288</v>
      </c>
      <c r="J405" s="41">
        <f>IF(H405="Pending",TODAY()-B405,IF(I405="","",I405-B405))</f>
        <v/>
      </c>
      <c r="K405" s="43" t="inlineStr"/>
    </row>
    <row r="406">
      <c r="A406" s="44" t="inlineStr">
        <is>
          <t>CTP-WIR-CIV-0080</t>
        </is>
      </c>
      <c r="B406" s="45" t="n">
        <v>46284</v>
      </c>
      <c r="C406" s="46" t="inlineStr">
        <is>
          <t>Civil</t>
        </is>
      </c>
      <c r="D406" s="46" t="inlineStr">
        <is>
          <t>Concrete pouring</t>
        </is>
      </c>
      <c r="E406" s="44" t="inlineStr">
        <is>
          <t>CH 8+268</t>
        </is>
      </c>
      <c r="F406" s="45" t="n">
        <v>46285</v>
      </c>
      <c r="G406" s="46" t="inlineStr">
        <is>
          <t>Eng. Hana Saleh</t>
        </is>
      </c>
      <c r="H406" s="44" t="inlineStr">
        <is>
          <t>Approved</t>
        </is>
      </c>
      <c r="I406" s="45" t="n">
        <v>46285</v>
      </c>
      <c r="J406" s="44">
        <f>IF(H406="Pending",TODAY()-B406,IF(I406="","",I406-B406))</f>
        <v/>
      </c>
      <c r="K406" s="46" t="inlineStr"/>
    </row>
    <row r="407">
      <c r="A407" s="41" t="inlineStr">
        <is>
          <t>CTP-WIR-GEO-0081</t>
        </is>
      </c>
      <c r="B407" s="42" t="n">
        <v>46284</v>
      </c>
      <c r="C407" s="43" t="inlineStr">
        <is>
          <t>Geotechnical</t>
        </is>
      </c>
      <c r="D407" s="43" t="inlineStr">
        <is>
          <t>Ground anchor installation</t>
        </is>
      </c>
      <c r="E407" s="41" t="inlineStr">
        <is>
          <t>CH 7+339</t>
        </is>
      </c>
      <c r="F407" s="42" t="n">
        <v>46285</v>
      </c>
      <c r="G407" s="43" t="inlineStr">
        <is>
          <t>Eng. Pedro Alves</t>
        </is>
      </c>
      <c r="H407" s="41" t="inlineStr">
        <is>
          <t>Approved</t>
        </is>
      </c>
      <c r="I407" s="42" t="n">
        <v>46286</v>
      </c>
      <c r="J407" s="41">
        <f>IF(H407="Pending",TODAY()-B407,IF(I407="","",I407-B407))</f>
        <v/>
      </c>
      <c r="K407" s="43" t="inlineStr"/>
    </row>
    <row r="408">
      <c r="A408" s="44" t="inlineStr">
        <is>
          <t>CTP-WIR-MEP-0074</t>
        </is>
      </c>
      <c r="B408" s="45" t="n">
        <v>46284</v>
      </c>
      <c r="C408" s="46" t="inlineStr">
        <is>
          <t>MEP</t>
        </is>
      </c>
      <c r="D408" s="46" t="inlineStr">
        <is>
          <t>Ventilation duct alignment</t>
        </is>
      </c>
      <c r="E408" s="44" t="inlineStr">
        <is>
          <t>CH 3+893</t>
        </is>
      </c>
      <c r="F408" s="45" t="n">
        <v>46284</v>
      </c>
      <c r="G408" s="46" t="inlineStr">
        <is>
          <t>Eng. Ali Haddad</t>
        </is>
      </c>
      <c r="H408" s="44" t="inlineStr">
        <is>
          <t>Approved</t>
        </is>
      </c>
      <c r="I408" s="45" t="n">
        <v>46285</v>
      </c>
      <c r="J408" s="44">
        <f>IF(H408="Pending",TODAY()-B408,IF(I408="","",I408-B408))</f>
        <v/>
      </c>
      <c r="K408" s="46" t="inlineStr"/>
    </row>
    <row r="409">
      <c r="A409" s="41" t="inlineStr">
        <is>
          <t>CTP-WIR-MEP-0075</t>
        </is>
      </c>
      <c r="B409" s="42" t="n">
        <v>46284</v>
      </c>
      <c r="C409" s="43" t="inlineStr">
        <is>
          <t>MEP</t>
        </is>
      </c>
      <c r="D409" s="43" t="inlineStr">
        <is>
          <t>Ventilation duct alignment</t>
        </is>
      </c>
      <c r="E409" s="41" t="inlineStr">
        <is>
          <t>CH 5+521</t>
        </is>
      </c>
      <c r="F409" s="42" t="n">
        <v>46285</v>
      </c>
      <c r="G409" s="43" t="inlineStr">
        <is>
          <t>Eng. Sara Nasser</t>
        </is>
      </c>
      <c r="H409" s="41" t="inlineStr">
        <is>
          <t>Rejected</t>
        </is>
      </c>
      <c r="I409" s="42" t="n">
        <v>46286</v>
      </c>
      <c r="J409" s="41">
        <f>IF(H409="Pending",TODAY()-B409,IF(I409="","",I409-B409))</f>
        <v/>
      </c>
      <c r="K409" s="43" t="inlineStr">
        <is>
          <t>Re-inspection required</t>
        </is>
      </c>
    </row>
    <row r="410">
      <c r="A410" s="44" t="inlineStr">
        <is>
          <t>CTP-WIR-SUR-0088</t>
        </is>
      </c>
      <c r="B410" s="45" t="n">
        <v>46284</v>
      </c>
      <c r="C410" s="46" t="inlineStr">
        <is>
          <t>Survey</t>
        </is>
      </c>
      <c r="D410" s="46" t="inlineStr">
        <is>
          <t>Settlement monitoring</t>
        </is>
      </c>
      <c r="E410" s="44" t="inlineStr">
        <is>
          <t>CH 5+904</t>
        </is>
      </c>
      <c r="F410" s="45" t="n">
        <v>46286</v>
      </c>
      <c r="G410" s="46" t="inlineStr">
        <is>
          <t>Eng. Hana Saleh</t>
        </is>
      </c>
      <c r="H410" s="44" t="inlineStr">
        <is>
          <t>Approved</t>
        </is>
      </c>
      <c r="I410" s="45" t="n">
        <v>46287</v>
      </c>
      <c r="J410" s="44">
        <f>IF(H410="Pending",TODAY()-B410,IF(I410="","",I410-B410))</f>
        <v/>
      </c>
      <c r="K410" s="46" t="inlineStr"/>
    </row>
    <row r="411">
      <c r="A411" s="41" t="inlineStr">
        <is>
          <t>CTP-WIR-SUR-0089</t>
        </is>
      </c>
      <c r="B411" s="42" t="n">
        <v>46284</v>
      </c>
      <c r="C411" s="43" t="inlineStr">
        <is>
          <t>Survey</t>
        </is>
      </c>
      <c r="D411" s="43" t="inlineStr">
        <is>
          <t>Setting-out check</t>
        </is>
      </c>
      <c r="E411" s="41" t="inlineStr">
        <is>
          <t>CH 5+154</t>
        </is>
      </c>
      <c r="F411" s="42" t="n">
        <v>46285</v>
      </c>
      <c r="G411" s="43" t="inlineStr">
        <is>
          <t>Eng. Mark Collins</t>
        </is>
      </c>
      <c r="H411" s="41" t="inlineStr">
        <is>
          <t>Approved with Comments</t>
        </is>
      </c>
      <c r="I411" s="42" t="n">
        <v>46286</v>
      </c>
      <c r="J411" s="41">
        <f>IF(H411="Pending",TODAY()-B411,IF(I411="","",I411-B411))</f>
        <v/>
      </c>
      <c r="K411" s="43" t="inlineStr">
        <is>
          <t>Minor comments to close</t>
        </is>
      </c>
    </row>
    <row r="412">
      <c r="A412" s="44" t="inlineStr">
        <is>
          <t>CTP-WIR-TUN-0083</t>
        </is>
      </c>
      <c r="B412" s="45" t="n">
        <v>46284</v>
      </c>
      <c r="C412" s="46" t="inlineStr">
        <is>
          <t>Tunnelling</t>
        </is>
      </c>
      <c r="D412" s="46" t="inlineStr">
        <is>
          <t>Segment ring build</t>
        </is>
      </c>
      <c r="E412" s="44" t="inlineStr">
        <is>
          <t>CH 8+924</t>
        </is>
      </c>
      <c r="F412" s="45" t="n">
        <v>46285</v>
      </c>
      <c r="G412" s="46" t="inlineStr">
        <is>
          <t>Eng. Mark Collins</t>
        </is>
      </c>
      <c r="H412" s="44" t="inlineStr">
        <is>
          <t>Rejected</t>
        </is>
      </c>
      <c r="I412" s="45" t="n">
        <v>46285</v>
      </c>
      <c r="J412" s="44">
        <f>IF(H412="Pending",TODAY()-B412,IF(I412="","",I412-B412))</f>
        <v/>
      </c>
      <c r="K412" s="46" t="inlineStr">
        <is>
          <t>Re-inspection required</t>
        </is>
      </c>
    </row>
    <row r="413">
      <c r="A413" s="41" t="inlineStr">
        <is>
          <t>CTP-WIR-CIV-0081</t>
        </is>
      </c>
      <c r="B413" s="42" t="n">
        <v>46285</v>
      </c>
      <c r="C413" s="43" t="inlineStr">
        <is>
          <t>Civil</t>
        </is>
      </c>
      <c r="D413" s="43" t="inlineStr">
        <is>
          <t>Concrete pouring</t>
        </is>
      </c>
      <c r="E413" s="41" t="inlineStr">
        <is>
          <t>CH 9+790</t>
        </is>
      </c>
      <c r="F413" s="42" t="n">
        <v>46287</v>
      </c>
      <c r="G413" s="43" t="inlineStr">
        <is>
          <t>Eng. Mark Collins</t>
        </is>
      </c>
      <c r="H413" s="41" t="inlineStr">
        <is>
          <t>Approved</t>
        </is>
      </c>
      <c r="I413" s="42" t="n">
        <v>46289</v>
      </c>
      <c r="J413" s="41">
        <f>IF(H413="Pending",TODAY()-B413,IF(I413="","",I413-B413))</f>
        <v/>
      </c>
      <c r="K413" s="43" t="inlineStr"/>
    </row>
    <row r="414">
      <c r="A414" s="44" t="inlineStr">
        <is>
          <t>CTP-WIR-CIV-0082</t>
        </is>
      </c>
      <c r="B414" s="45" t="n">
        <v>46285</v>
      </c>
      <c r="C414" s="46" t="inlineStr">
        <is>
          <t>Civil</t>
        </is>
      </c>
      <c r="D414" s="46" t="inlineStr">
        <is>
          <t>Concrete pouring</t>
        </is>
      </c>
      <c r="E414" s="44" t="inlineStr">
        <is>
          <t>CH 4+744</t>
        </is>
      </c>
      <c r="F414" s="45" t="n">
        <v>46285</v>
      </c>
      <c r="G414" s="46" t="inlineStr">
        <is>
          <t>Eng. Ali Haddad</t>
        </is>
      </c>
      <c r="H414" s="44" t="inlineStr">
        <is>
          <t>Approved</t>
        </is>
      </c>
      <c r="I414" s="45" t="n">
        <v>46286</v>
      </c>
      <c r="J414" s="44">
        <f>IF(H414="Pending",TODAY()-B414,IF(I414="","",I414-B414))</f>
        <v/>
      </c>
      <c r="K414" s="46" t="inlineStr"/>
    </row>
    <row r="415">
      <c r="A415" s="41" t="inlineStr">
        <is>
          <t>CTP-WIR-SUR-0090</t>
        </is>
      </c>
      <c r="B415" s="42" t="n">
        <v>46285</v>
      </c>
      <c r="C415" s="43" t="inlineStr">
        <is>
          <t>Survey</t>
        </is>
      </c>
      <c r="D415" s="43" t="inlineStr">
        <is>
          <t>Tunnel alignment survey</t>
        </is>
      </c>
      <c r="E415" s="41" t="inlineStr">
        <is>
          <t>CH 3+247</t>
        </is>
      </c>
      <c r="F415" s="42" t="n">
        <v>46286</v>
      </c>
      <c r="G415" s="43" t="inlineStr">
        <is>
          <t>Eng. Mark Collins</t>
        </is>
      </c>
      <c r="H415" s="41" t="inlineStr">
        <is>
          <t>Approved with Comments</t>
        </is>
      </c>
      <c r="I415" s="42" t="n">
        <v>46286</v>
      </c>
      <c r="J415" s="41">
        <f>IF(H415="Pending",TODAY()-B415,IF(I415="","",I415-B415))</f>
        <v/>
      </c>
      <c r="K415" s="43" t="inlineStr">
        <is>
          <t>Minor comments to close</t>
        </is>
      </c>
    </row>
    <row r="416">
      <c r="A416" s="44" t="inlineStr">
        <is>
          <t>CTP-WIR-TUN-0084</t>
        </is>
      </c>
      <c r="B416" s="45" t="n">
        <v>46285</v>
      </c>
      <c r="C416" s="46" t="inlineStr">
        <is>
          <t>Tunnelling</t>
        </is>
      </c>
      <c r="D416" s="46" t="inlineStr">
        <is>
          <t>Tunnel invert cleaning</t>
        </is>
      </c>
      <c r="E416" s="44" t="inlineStr">
        <is>
          <t>CH 9+361</t>
        </is>
      </c>
      <c r="F416" s="45" t="n">
        <v>46285</v>
      </c>
      <c r="G416" s="46" t="inlineStr">
        <is>
          <t>Eng. Sara Nasser</t>
        </is>
      </c>
      <c r="H416" s="44" t="inlineStr">
        <is>
          <t>Approved</t>
        </is>
      </c>
      <c r="I416" s="45" t="n">
        <v>46286</v>
      </c>
      <c r="J416" s="44">
        <f>IF(H416="Pending",TODAY()-B416,IF(I416="","",I416-B416))</f>
        <v/>
      </c>
      <c r="K416" s="46" t="inlineStr"/>
    </row>
    <row r="417">
      <c r="A417" s="41" t="inlineStr">
        <is>
          <t>CTP-WIR-TUN-0085</t>
        </is>
      </c>
      <c r="B417" s="42" t="n">
        <v>46285</v>
      </c>
      <c r="C417" s="43" t="inlineStr">
        <is>
          <t>Tunnelling</t>
        </is>
      </c>
      <c r="D417" s="43" t="inlineStr">
        <is>
          <t>TBM cutter change</t>
        </is>
      </c>
      <c r="E417" s="41" t="inlineStr">
        <is>
          <t>CH 7+326</t>
        </is>
      </c>
      <c r="F417" s="42" t="n">
        <v>46287</v>
      </c>
      <c r="G417" s="43" t="inlineStr">
        <is>
          <t>Eng. Sara Nasser</t>
        </is>
      </c>
      <c r="H417" s="41" t="inlineStr">
        <is>
          <t>Approved with Comments</t>
        </is>
      </c>
      <c r="I417" s="42" t="n">
        <v>46287</v>
      </c>
      <c r="J417" s="41">
        <f>IF(H417="Pending",TODAY()-B417,IF(I417="","",I417-B417))</f>
        <v/>
      </c>
      <c r="K417" s="43" t="inlineStr">
        <is>
          <t>Minor comments to close</t>
        </is>
      </c>
    </row>
    <row r="418">
      <c r="A418" s="44" t="inlineStr">
        <is>
          <t>CTP-WIR-TUN-0086</t>
        </is>
      </c>
      <c r="B418" s="45" t="n">
        <v>46285</v>
      </c>
      <c r="C418" s="46" t="inlineStr">
        <is>
          <t>Tunnelling</t>
        </is>
      </c>
      <c r="D418" s="46" t="inlineStr">
        <is>
          <t>Segment ring build</t>
        </is>
      </c>
      <c r="E418" s="44" t="inlineStr">
        <is>
          <t>CH 4+242</t>
        </is>
      </c>
      <c r="F418" s="45" t="n">
        <v>46286</v>
      </c>
      <c r="G418" s="46" t="inlineStr">
        <is>
          <t>Eng. Mark Collins</t>
        </is>
      </c>
      <c r="H418" s="44" t="inlineStr">
        <is>
          <t>Approved</t>
        </is>
      </c>
      <c r="I418" s="45" t="n">
        <v>46287</v>
      </c>
      <c r="J418" s="44">
        <f>IF(H418="Pending",TODAY()-B418,IF(I418="","",I418-B418))</f>
        <v/>
      </c>
      <c r="K418" s="46" t="inlineStr"/>
    </row>
    <row r="419">
      <c r="A419" s="41" t="inlineStr">
        <is>
          <t>CTP-WIR-GEO-0082</t>
        </is>
      </c>
      <c r="B419" s="42" t="n">
        <v>46286</v>
      </c>
      <c r="C419" s="43" t="inlineStr">
        <is>
          <t>Geotechnical</t>
        </is>
      </c>
      <c r="D419" s="43" t="inlineStr">
        <is>
          <t>Grout injection</t>
        </is>
      </c>
      <c r="E419" s="41" t="inlineStr">
        <is>
          <t>CH 5+736</t>
        </is>
      </c>
      <c r="F419" s="42" t="n">
        <v>46286</v>
      </c>
      <c r="G419" s="43" t="inlineStr">
        <is>
          <t>Eng. Ali Haddad</t>
        </is>
      </c>
      <c r="H419" s="41" t="inlineStr">
        <is>
          <t>Approved</t>
        </is>
      </c>
      <c r="I419" s="42" t="n">
        <v>46289</v>
      </c>
      <c r="J419" s="41">
        <f>IF(H419="Pending",TODAY()-B419,IF(I419="","",I419-B419))</f>
        <v/>
      </c>
      <c r="K419" s="43" t="inlineStr"/>
    </row>
    <row r="420">
      <c r="A420" s="44" t="inlineStr">
        <is>
          <t>CTP-WIR-MEP-0076</t>
        </is>
      </c>
      <c r="B420" s="45" t="n">
        <v>46286</v>
      </c>
      <c r="C420" s="46" t="inlineStr">
        <is>
          <t>MEP</t>
        </is>
      </c>
      <c r="D420" s="46" t="inlineStr">
        <is>
          <t>Lighting installation</t>
        </is>
      </c>
      <c r="E420" s="44" t="inlineStr">
        <is>
          <t>CH 2+058</t>
        </is>
      </c>
      <c r="F420" s="45" t="n">
        <v>46288</v>
      </c>
      <c r="G420" s="46" t="inlineStr">
        <is>
          <t>Eng. Ali Haddad</t>
        </is>
      </c>
      <c r="H420" s="44" t="inlineStr">
        <is>
          <t>Approved</t>
        </is>
      </c>
      <c r="I420" s="45" t="n">
        <v>46289</v>
      </c>
      <c r="J420" s="44">
        <f>IF(H420="Pending",TODAY()-B420,IF(I420="","",I420-B420))</f>
        <v/>
      </c>
      <c r="K420" s="46" t="inlineStr"/>
    </row>
    <row r="421">
      <c r="A421" s="41" t="inlineStr">
        <is>
          <t>CTP-WIR-MEP-0077</t>
        </is>
      </c>
      <c r="B421" s="42" t="n">
        <v>46286</v>
      </c>
      <c r="C421" s="43" t="inlineStr">
        <is>
          <t>MEP</t>
        </is>
      </c>
      <c r="D421" s="43" t="inlineStr">
        <is>
          <t>Lighting installation</t>
        </is>
      </c>
      <c r="E421" s="41" t="inlineStr">
        <is>
          <t>CH 7+612</t>
        </is>
      </c>
      <c r="F421" s="42" t="n">
        <v>46286</v>
      </c>
      <c r="G421" s="43" t="inlineStr">
        <is>
          <t>Eng. Sara Nasser</t>
        </is>
      </c>
      <c r="H421" s="41" t="inlineStr">
        <is>
          <t>Approved</t>
        </is>
      </c>
      <c r="I421" s="42" t="n">
        <v>46287</v>
      </c>
      <c r="J421" s="41">
        <f>IF(H421="Pending",TODAY()-B421,IF(I421="","",I421-B421))</f>
        <v/>
      </c>
      <c r="K421" s="43" t="inlineStr"/>
    </row>
    <row r="422">
      <c r="A422" s="44" t="inlineStr">
        <is>
          <t>CTP-WIR-SUR-0091</t>
        </is>
      </c>
      <c r="B422" s="45" t="n">
        <v>46286</v>
      </c>
      <c r="C422" s="46" t="inlineStr">
        <is>
          <t>Survey</t>
        </is>
      </c>
      <c r="D422" s="46" t="inlineStr">
        <is>
          <t>As-built survey</t>
        </is>
      </c>
      <c r="E422" s="44" t="inlineStr">
        <is>
          <t>CH 9+669</t>
        </is>
      </c>
      <c r="F422" s="45" t="n">
        <v>46286</v>
      </c>
      <c r="G422" s="46" t="inlineStr">
        <is>
          <t>Eng. Ali Haddad</t>
        </is>
      </c>
      <c r="H422" s="44" t="inlineStr">
        <is>
          <t>Approved</t>
        </is>
      </c>
      <c r="I422" s="45" t="n">
        <v>46287</v>
      </c>
      <c r="J422" s="44">
        <f>IF(H422="Pending",TODAY()-B422,IF(I422="","",I422-B422))</f>
        <v/>
      </c>
      <c r="K422" s="46" t="inlineStr"/>
    </row>
    <row r="423">
      <c r="A423" s="41" t="inlineStr">
        <is>
          <t>CTP-WIR-SUR-0092</t>
        </is>
      </c>
      <c r="B423" s="42" t="n">
        <v>46286</v>
      </c>
      <c r="C423" s="43" t="inlineStr">
        <is>
          <t>Survey</t>
        </is>
      </c>
      <c r="D423" s="43" t="inlineStr">
        <is>
          <t>Tunnel alignment survey</t>
        </is>
      </c>
      <c r="E423" s="41" t="inlineStr">
        <is>
          <t>CH 2+095</t>
        </is>
      </c>
      <c r="F423" s="42" t="n">
        <v>46288</v>
      </c>
      <c r="G423" s="43" t="inlineStr">
        <is>
          <t>Eng. Mark Collins</t>
        </is>
      </c>
      <c r="H423" s="41" t="inlineStr">
        <is>
          <t>Approved</t>
        </is>
      </c>
      <c r="I423" s="42" t="n">
        <v>46289</v>
      </c>
      <c r="J423" s="41">
        <f>IF(H423="Pending",TODAY()-B423,IF(I423="","",I423-B423))</f>
        <v/>
      </c>
      <c r="K423" s="43" t="inlineStr"/>
    </row>
    <row r="424">
      <c r="A424" s="44" t="inlineStr">
        <is>
          <t>CTP-WIR-SUR-0093</t>
        </is>
      </c>
      <c r="B424" s="45" t="n">
        <v>46286</v>
      </c>
      <c r="C424" s="46" t="inlineStr">
        <is>
          <t>Survey</t>
        </is>
      </c>
      <c r="D424" s="46" t="inlineStr">
        <is>
          <t>As-built survey</t>
        </is>
      </c>
      <c r="E424" s="44" t="inlineStr">
        <is>
          <t>CH 5+833</t>
        </is>
      </c>
      <c r="F424" s="45" t="n">
        <v>46287</v>
      </c>
      <c r="G424" s="46" t="inlineStr">
        <is>
          <t>Eng. Pedro Alves</t>
        </is>
      </c>
      <c r="H424" s="44" t="inlineStr">
        <is>
          <t>Approved</t>
        </is>
      </c>
      <c r="I424" s="45" t="n">
        <v>46287</v>
      </c>
      <c r="J424" s="44">
        <f>IF(H424="Pending",TODAY()-B424,IF(I424="","",I424-B424))</f>
        <v/>
      </c>
      <c r="K424" s="46" t="inlineStr"/>
    </row>
    <row r="425">
      <c r="A425" s="41" t="inlineStr">
        <is>
          <t>CTP-WIR-TUN-0087</t>
        </is>
      </c>
      <c r="B425" s="42" t="n">
        <v>46286</v>
      </c>
      <c r="C425" s="43" t="inlineStr">
        <is>
          <t>Tunnelling</t>
        </is>
      </c>
      <c r="D425" s="43" t="inlineStr">
        <is>
          <t>Annulus grouting</t>
        </is>
      </c>
      <c r="E425" s="41" t="inlineStr">
        <is>
          <t>CH 3+329</t>
        </is>
      </c>
      <c r="F425" s="42" t="n">
        <v>46286</v>
      </c>
      <c r="G425" s="43" t="inlineStr">
        <is>
          <t>Eng. Ali Haddad</t>
        </is>
      </c>
      <c r="H425" s="41" t="inlineStr">
        <is>
          <t>Approved</t>
        </is>
      </c>
      <c r="I425" s="42" t="n">
        <v>46286</v>
      </c>
      <c r="J425" s="41">
        <f>IF(H425="Pending",TODAY()-B425,IF(I425="","",I425-B425))</f>
        <v/>
      </c>
      <c r="K425" s="43" t="inlineStr"/>
    </row>
    <row r="426">
      <c r="A426" s="44" t="inlineStr">
        <is>
          <t>CTP-WIR-GEO-0083</t>
        </is>
      </c>
      <c r="B426" s="45" t="n">
        <v>46287</v>
      </c>
      <c r="C426" s="46" t="inlineStr">
        <is>
          <t>Geotechnical</t>
        </is>
      </c>
      <c r="D426" s="46" t="inlineStr">
        <is>
          <t>Grout injection</t>
        </is>
      </c>
      <c r="E426" s="44" t="inlineStr">
        <is>
          <t>CH 9+338</t>
        </is>
      </c>
      <c r="F426" s="45" t="n">
        <v>46288</v>
      </c>
      <c r="G426" s="46" t="inlineStr">
        <is>
          <t>Eng. Hana Saleh</t>
        </is>
      </c>
      <c r="H426" s="44" t="inlineStr">
        <is>
          <t>Approved</t>
        </is>
      </c>
      <c r="I426" s="45" t="n">
        <v>46291</v>
      </c>
      <c r="J426" s="44">
        <f>IF(H426="Pending",TODAY()-B426,IF(I426="","",I426-B426))</f>
        <v/>
      </c>
      <c r="K426" s="46" t="inlineStr"/>
    </row>
    <row r="427">
      <c r="A427" s="41" t="inlineStr">
        <is>
          <t>CTP-WIR-MEP-0078</t>
        </is>
      </c>
      <c r="B427" s="42" t="n">
        <v>46287</v>
      </c>
      <c r="C427" s="43" t="inlineStr">
        <is>
          <t>MEP</t>
        </is>
      </c>
      <c r="D427" s="43" t="inlineStr">
        <is>
          <t>Ventilation duct alignment</t>
        </is>
      </c>
      <c r="E427" s="41" t="inlineStr">
        <is>
          <t>CH 2+643</t>
        </is>
      </c>
      <c r="F427" s="42" t="n">
        <v>46287</v>
      </c>
      <c r="G427" s="43" t="inlineStr">
        <is>
          <t>Eng. Pedro Alves</t>
        </is>
      </c>
      <c r="H427" s="41" t="inlineStr">
        <is>
          <t>Approved</t>
        </is>
      </c>
      <c r="I427" s="42" t="n">
        <v>46288</v>
      </c>
      <c r="J427" s="41">
        <f>IF(H427="Pending",TODAY()-B427,IF(I427="","",I427-B427))</f>
        <v/>
      </c>
      <c r="K427" s="43" t="inlineStr"/>
    </row>
    <row r="428">
      <c r="A428" s="44" t="inlineStr">
        <is>
          <t>CTP-WIR-SUR-0094</t>
        </is>
      </c>
      <c r="B428" s="45" t="n">
        <v>46287</v>
      </c>
      <c r="C428" s="46" t="inlineStr">
        <is>
          <t>Survey</t>
        </is>
      </c>
      <c r="D428" s="46" t="inlineStr">
        <is>
          <t>Tunnel alignment survey</t>
        </is>
      </c>
      <c r="E428" s="44" t="inlineStr">
        <is>
          <t>CH 2+125</t>
        </is>
      </c>
      <c r="F428" s="45" t="n">
        <v>46287</v>
      </c>
      <c r="G428" s="46" t="inlineStr">
        <is>
          <t>Eng. Hana Saleh</t>
        </is>
      </c>
      <c r="H428" s="44" t="inlineStr">
        <is>
          <t>Rejected</t>
        </is>
      </c>
      <c r="I428" s="45" t="n">
        <v>46290</v>
      </c>
      <c r="J428" s="44">
        <f>IF(H428="Pending",TODAY()-B428,IF(I428="","",I428-B428))</f>
        <v/>
      </c>
      <c r="K428" s="46" t="inlineStr">
        <is>
          <t>Re-inspection required</t>
        </is>
      </c>
    </row>
    <row r="429">
      <c r="A429" s="41" t="inlineStr">
        <is>
          <t>CTP-WIR-SUR-0095</t>
        </is>
      </c>
      <c r="B429" s="42" t="n">
        <v>46287</v>
      </c>
      <c r="C429" s="43" t="inlineStr">
        <is>
          <t>Survey</t>
        </is>
      </c>
      <c r="D429" s="43" t="inlineStr">
        <is>
          <t>As-built survey</t>
        </is>
      </c>
      <c r="E429" s="41" t="inlineStr">
        <is>
          <t>CH 4+962</t>
        </is>
      </c>
      <c r="F429" s="42" t="n">
        <v>46288</v>
      </c>
      <c r="G429" s="43" t="inlineStr">
        <is>
          <t>Eng. Mark Collins</t>
        </is>
      </c>
      <c r="H429" s="41" t="inlineStr">
        <is>
          <t>Approved</t>
        </is>
      </c>
      <c r="I429" s="42" t="n">
        <v>46289</v>
      </c>
      <c r="J429" s="41">
        <f>IF(H429="Pending",TODAY()-B429,IF(I429="","",I429-B429))</f>
        <v/>
      </c>
      <c r="K429" s="43" t="inlineStr"/>
    </row>
    <row r="430">
      <c r="A430" s="44" t="inlineStr">
        <is>
          <t>CTP-WIR-TUN-0088</t>
        </is>
      </c>
      <c r="B430" s="45" t="n">
        <v>46287</v>
      </c>
      <c r="C430" s="46" t="inlineStr">
        <is>
          <t>Tunnelling</t>
        </is>
      </c>
      <c r="D430" s="46" t="inlineStr">
        <is>
          <t>Tunnel invert cleaning</t>
        </is>
      </c>
      <c r="E430" s="44" t="inlineStr">
        <is>
          <t>CH 8+723</t>
        </is>
      </c>
      <c r="F430" s="45" t="n">
        <v>46287</v>
      </c>
      <c r="G430" s="46" t="inlineStr">
        <is>
          <t>Eng. Hana Saleh</t>
        </is>
      </c>
      <c r="H430" s="44" t="inlineStr">
        <is>
          <t>Approved with Comments</t>
        </is>
      </c>
      <c r="I430" s="45" t="n">
        <v>46288</v>
      </c>
      <c r="J430" s="44">
        <f>IF(H430="Pending",TODAY()-B430,IF(I430="","",I430-B430))</f>
        <v/>
      </c>
      <c r="K430" s="46" t="inlineStr">
        <is>
          <t>Minor comments to close</t>
        </is>
      </c>
    </row>
    <row r="431">
      <c r="A431" s="41" t="inlineStr">
        <is>
          <t>CTP-WIR-TUN-0089</t>
        </is>
      </c>
      <c r="B431" s="42" t="n">
        <v>46287</v>
      </c>
      <c r="C431" s="43" t="inlineStr">
        <is>
          <t>Tunnelling</t>
        </is>
      </c>
      <c r="D431" s="43" t="inlineStr">
        <is>
          <t>Annulus grouting</t>
        </is>
      </c>
      <c r="E431" s="41" t="inlineStr">
        <is>
          <t>CH 4+135</t>
        </is>
      </c>
      <c r="F431" s="42" t="n">
        <v>46288</v>
      </c>
      <c r="G431" s="43" t="inlineStr">
        <is>
          <t>Eng. Ali Haddad</t>
        </is>
      </c>
      <c r="H431" s="41" t="inlineStr">
        <is>
          <t>Approved</t>
        </is>
      </c>
      <c r="I431" s="42" t="n">
        <v>46291</v>
      </c>
      <c r="J431" s="41">
        <f>IF(H431="Pending",TODAY()-B431,IF(I431="","",I431-B431))</f>
        <v/>
      </c>
      <c r="K431" s="43" t="inlineStr"/>
    </row>
    <row r="432">
      <c r="A432" s="44" t="inlineStr">
        <is>
          <t>CTP-WIR-GEO-0084</t>
        </is>
      </c>
      <c r="B432" s="45" t="n">
        <v>46288</v>
      </c>
      <c r="C432" s="46" t="inlineStr">
        <is>
          <t>Geotechnical</t>
        </is>
      </c>
      <c r="D432" s="46" t="inlineStr">
        <is>
          <t>Ground anchor installation</t>
        </is>
      </c>
      <c r="E432" s="44" t="inlineStr">
        <is>
          <t>CH 3+452</t>
        </is>
      </c>
      <c r="F432" s="45" t="n">
        <v>46289</v>
      </c>
      <c r="G432" s="46" t="inlineStr">
        <is>
          <t>Eng. Mark Collins</t>
        </is>
      </c>
      <c r="H432" s="44" t="inlineStr">
        <is>
          <t>Approved</t>
        </is>
      </c>
      <c r="I432" s="45" t="n">
        <v>46290</v>
      </c>
      <c r="J432" s="44">
        <f>IF(H432="Pending",TODAY()-B432,IF(I432="","",I432-B432))</f>
        <v/>
      </c>
      <c r="K432" s="46" t="inlineStr"/>
    </row>
    <row r="433">
      <c r="A433" s="41" t="inlineStr">
        <is>
          <t>CTP-WIR-GEO-0085</t>
        </is>
      </c>
      <c r="B433" s="42" t="n">
        <v>46288</v>
      </c>
      <c r="C433" s="43" t="inlineStr">
        <is>
          <t>Geotechnical</t>
        </is>
      </c>
      <c r="D433" s="43" t="inlineStr">
        <is>
          <t>Rock bolt pull-out test</t>
        </is>
      </c>
      <c r="E433" s="41" t="inlineStr">
        <is>
          <t>CH 7+217</t>
        </is>
      </c>
      <c r="F433" s="42" t="n">
        <v>46289</v>
      </c>
      <c r="G433" s="43" t="inlineStr">
        <is>
          <t>Eng. Ali Haddad</t>
        </is>
      </c>
      <c r="H433" s="41" t="inlineStr">
        <is>
          <t>Rejected</t>
        </is>
      </c>
      <c r="I433" s="42" t="n">
        <v>46291</v>
      </c>
      <c r="J433" s="41">
        <f>IF(H433="Pending",TODAY()-B433,IF(I433="","",I433-B433))</f>
        <v/>
      </c>
      <c r="K433" s="43" t="inlineStr">
        <is>
          <t>Re-inspection required</t>
        </is>
      </c>
    </row>
    <row r="434">
      <c r="A434" s="44" t="inlineStr">
        <is>
          <t>CTP-WIR-SUR-0096</t>
        </is>
      </c>
      <c r="B434" s="45" t="n">
        <v>46288</v>
      </c>
      <c r="C434" s="46" t="inlineStr">
        <is>
          <t>Survey</t>
        </is>
      </c>
      <c r="D434" s="46" t="inlineStr">
        <is>
          <t>As-built survey</t>
        </is>
      </c>
      <c r="E434" s="44" t="inlineStr">
        <is>
          <t>CH 6+658</t>
        </is>
      </c>
      <c r="F434" s="45" t="n">
        <v>46289</v>
      </c>
      <c r="G434" s="46" t="inlineStr">
        <is>
          <t>Eng. Sara Nasser</t>
        </is>
      </c>
      <c r="H434" s="44" t="inlineStr">
        <is>
          <t>Approved</t>
        </is>
      </c>
      <c r="I434" s="45" t="n">
        <v>46290</v>
      </c>
      <c r="J434" s="44">
        <f>IF(H434="Pending",TODAY()-B434,IF(I434="","",I434-B434))</f>
        <v/>
      </c>
      <c r="K434" s="46" t="inlineStr"/>
    </row>
    <row r="435">
      <c r="A435" s="41" t="inlineStr">
        <is>
          <t>CTP-WIR-TUN-0090</t>
        </is>
      </c>
      <c r="B435" s="42" t="n">
        <v>46288</v>
      </c>
      <c r="C435" s="43" t="inlineStr">
        <is>
          <t>Tunnelling</t>
        </is>
      </c>
      <c r="D435" s="43" t="inlineStr">
        <is>
          <t>TBM cutter change</t>
        </is>
      </c>
      <c r="E435" s="41" t="inlineStr">
        <is>
          <t>CH 5+061</t>
        </is>
      </c>
      <c r="F435" s="42" t="n">
        <v>46288</v>
      </c>
      <c r="G435" s="43" t="inlineStr">
        <is>
          <t>Eng. Hana Saleh</t>
        </is>
      </c>
      <c r="H435" s="41" t="inlineStr">
        <is>
          <t>Approved with Comments</t>
        </is>
      </c>
      <c r="I435" s="42" t="n">
        <v>46290</v>
      </c>
      <c r="J435" s="41">
        <f>IF(H435="Pending",TODAY()-B435,IF(I435="","",I435-B435))</f>
        <v/>
      </c>
      <c r="K435" s="43" t="inlineStr">
        <is>
          <t>Minor comments to close</t>
        </is>
      </c>
    </row>
    <row r="436">
      <c r="A436" s="44" t="inlineStr">
        <is>
          <t>CTP-WIR-TUN-0091</t>
        </is>
      </c>
      <c r="B436" s="45" t="n">
        <v>46288</v>
      </c>
      <c r="C436" s="46" t="inlineStr">
        <is>
          <t>Tunnelling</t>
        </is>
      </c>
      <c r="D436" s="46" t="inlineStr">
        <is>
          <t>Annulus grouting</t>
        </is>
      </c>
      <c r="E436" s="44" t="inlineStr">
        <is>
          <t>CH 3+031</t>
        </is>
      </c>
      <c r="F436" s="45" t="n">
        <v>46290</v>
      </c>
      <c r="G436" s="46" t="inlineStr">
        <is>
          <t>Eng. Ali Haddad</t>
        </is>
      </c>
      <c r="H436" s="44" t="inlineStr">
        <is>
          <t>Approved</t>
        </is>
      </c>
      <c r="I436" s="45" t="n">
        <v>46292</v>
      </c>
      <c r="J436" s="44">
        <f>IF(H436="Pending",TODAY()-B436,IF(I436="","",I436-B436))</f>
        <v/>
      </c>
      <c r="K436" s="46" t="inlineStr"/>
    </row>
    <row r="437">
      <c r="A437" s="41" t="inlineStr">
        <is>
          <t>CTP-WIR-CIV-0083</t>
        </is>
      </c>
      <c r="B437" s="42" t="n">
        <v>46289</v>
      </c>
      <c r="C437" s="43" t="inlineStr">
        <is>
          <t>Civil</t>
        </is>
      </c>
      <c r="D437" s="43" t="inlineStr">
        <is>
          <t>Concrete pouring</t>
        </is>
      </c>
      <c r="E437" s="41" t="inlineStr">
        <is>
          <t>CH 3+871</t>
        </is>
      </c>
      <c r="F437" s="42" t="n">
        <v>46291</v>
      </c>
      <c r="G437" s="43" t="inlineStr">
        <is>
          <t>Eng. Ali Haddad</t>
        </is>
      </c>
      <c r="H437" s="41" t="inlineStr">
        <is>
          <t>Approved</t>
        </is>
      </c>
      <c r="I437" s="42" t="n">
        <v>46291</v>
      </c>
      <c r="J437" s="41">
        <f>IF(H437="Pending",TODAY()-B437,IF(I437="","",I437-B437))</f>
        <v/>
      </c>
      <c r="K437" s="43" t="inlineStr"/>
    </row>
    <row r="438">
      <c r="A438" s="44" t="inlineStr">
        <is>
          <t>CTP-WIR-GEO-0086</t>
        </is>
      </c>
      <c r="B438" s="45" t="n">
        <v>46289</v>
      </c>
      <c r="C438" s="46" t="inlineStr">
        <is>
          <t>Geotechnical</t>
        </is>
      </c>
      <c r="D438" s="46" t="inlineStr">
        <is>
          <t>Rock bolt pull-out test</t>
        </is>
      </c>
      <c r="E438" s="44" t="inlineStr">
        <is>
          <t>CH 2+488</t>
        </is>
      </c>
      <c r="F438" s="45" t="n">
        <v>46291</v>
      </c>
      <c r="G438" s="46" t="inlineStr">
        <is>
          <t>Eng. Mark Collins</t>
        </is>
      </c>
      <c r="H438" s="44" t="inlineStr">
        <is>
          <t>Approved</t>
        </is>
      </c>
      <c r="I438" s="45" t="n">
        <v>46294</v>
      </c>
      <c r="J438" s="44">
        <f>IF(H438="Pending",TODAY()-B438,IF(I438="","",I438-B438))</f>
        <v/>
      </c>
      <c r="K438" s="46" t="inlineStr"/>
    </row>
    <row r="439">
      <c r="A439" s="41" t="inlineStr">
        <is>
          <t>CTP-WIR-GEO-0087</t>
        </is>
      </c>
      <c r="B439" s="42" t="n">
        <v>46289</v>
      </c>
      <c r="C439" s="43" t="inlineStr">
        <is>
          <t>Geotechnical</t>
        </is>
      </c>
      <c r="D439" s="43" t="inlineStr">
        <is>
          <t>Grout injection</t>
        </is>
      </c>
      <c r="E439" s="41" t="inlineStr">
        <is>
          <t>CH 0+497</t>
        </is>
      </c>
      <c r="F439" s="42" t="n">
        <v>46290</v>
      </c>
      <c r="G439" s="43" t="inlineStr">
        <is>
          <t>Eng. Mark Collins</t>
        </is>
      </c>
      <c r="H439" s="41" t="inlineStr">
        <is>
          <t>Approved</t>
        </is>
      </c>
      <c r="I439" s="42" t="n">
        <v>46291</v>
      </c>
      <c r="J439" s="41">
        <f>IF(H439="Pending",TODAY()-B439,IF(I439="","",I439-B439))</f>
        <v/>
      </c>
      <c r="K439" s="43" t="inlineStr"/>
    </row>
    <row r="440">
      <c r="A440" s="44" t="inlineStr">
        <is>
          <t>CTP-WIR-MEP-0079</t>
        </is>
      </c>
      <c r="B440" s="45" t="n">
        <v>46289</v>
      </c>
      <c r="C440" s="46" t="inlineStr">
        <is>
          <t>MEP</t>
        </is>
      </c>
      <c r="D440" s="46" t="inlineStr">
        <is>
          <t>Lighting installation</t>
        </is>
      </c>
      <c r="E440" s="44" t="inlineStr">
        <is>
          <t>CH 7+699</t>
        </is>
      </c>
      <c r="F440" s="45" t="n">
        <v>46290</v>
      </c>
      <c r="G440" s="46" t="inlineStr">
        <is>
          <t>Eng. Ali Haddad</t>
        </is>
      </c>
      <c r="H440" s="44" t="inlineStr">
        <is>
          <t>Approved</t>
        </is>
      </c>
      <c r="I440" s="45" t="n">
        <v>46291</v>
      </c>
      <c r="J440" s="44">
        <f>IF(H440="Pending",TODAY()-B440,IF(I440="","",I440-B440))</f>
        <v/>
      </c>
      <c r="K440" s="46" t="inlineStr"/>
    </row>
    <row r="441">
      <c r="A441" s="41" t="inlineStr">
        <is>
          <t>CTP-WIR-SUR-0097</t>
        </is>
      </c>
      <c r="B441" s="42" t="n">
        <v>46289</v>
      </c>
      <c r="C441" s="43" t="inlineStr">
        <is>
          <t>Survey</t>
        </is>
      </c>
      <c r="D441" s="43" t="inlineStr">
        <is>
          <t>Setting-out check</t>
        </is>
      </c>
      <c r="E441" s="41" t="inlineStr">
        <is>
          <t>CH 9+240</t>
        </is>
      </c>
      <c r="F441" s="42" t="n">
        <v>46291</v>
      </c>
      <c r="G441" s="43" t="inlineStr">
        <is>
          <t>Eng. Ali Haddad</t>
        </is>
      </c>
      <c r="H441" s="41" t="inlineStr">
        <is>
          <t>Approved with Comments</t>
        </is>
      </c>
      <c r="I441" s="42" t="n">
        <v>46291</v>
      </c>
      <c r="J441" s="41">
        <f>IF(H441="Pending",TODAY()-B441,IF(I441="","",I441-B441))</f>
        <v/>
      </c>
      <c r="K441" s="43" t="inlineStr">
        <is>
          <t>Minor comments to close</t>
        </is>
      </c>
    </row>
    <row r="442">
      <c r="A442" s="44" t="inlineStr">
        <is>
          <t>CTP-WIR-TUN-0092</t>
        </is>
      </c>
      <c r="B442" s="45" t="n">
        <v>46289</v>
      </c>
      <c r="C442" s="46" t="inlineStr">
        <is>
          <t>Tunnelling</t>
        </is>
      </c>
      <c r="D442" s="46" t="inlineStr">
        <is>
          <t>Segment ring build</t>
        </is>
      </c>
      <c r="E442" s="44" t="inlineStr">
        <is>
          <t>CH 4+701</t>
        </is>
      </c>
      <c r="F442" s="45" t="n">
        <v>46291</v>
      </c>
      <c r="G442" s="46" t="inlineStr">
        <is>
          <t>Eng. Ali Haddad</t>
        </is>
      </c>
      <c r="H442" s="44" t="inlineStr">
        <is>
          <t>Approved</t>
        </is>
      </c>
      <c r="I442" s="45" t="n">
        <v>46292</v>
      </c>
      <c r="J442" s="44">
        <f>IF(H442="Pending",TODAY()-B442,IF(I442="","",I442-B442))</f>
        <v/>
      </c>
      <c r="K442" s="46" t="inlineStr"/>
    </row>
    <row r="443">
      <c r="A443" s="41" t="inlineStr">
        <is>
          <t>CTP-WIR-TUN-0093</t>
        </is>
      </c>
      <c r="B443" s="42" t="n">
        <v>46289</v>
      </c>
      <c r="C443" s="43" t="inlineStr">
        <is>
          <t>Tunnelling</t>
        </is>
      </c>
      <c r="D443" s="43" t="inlineStr">
        <is>
          <t>Annulus grouting</t>
        </is>
      </c>
      <c r="E443" s="41" t="inlineStr">
        <is>
          <t>CH 2+933</t>
        </is>
      </c>
      <c r="F443" s="42" t="n">
        <v>46290</v>
      </c>
      <c r="G443" s="43" t="inlineStr">
        <is>
          <t>Eng. Mark Collins</t>
        </is>
      </c>
      <c r="H443" s="41" t="inlineStr">
        <is>
          <t>Rejected</t>
        </is>
      </c>
      <c r="I443" s="42" t="n">
        <v>46290</v>
      </c>
      <c r="J443" s="41">
        <f>IF(H443="Pending",TODAY()-B443,IF(I443="","",I443-B443))</f>
        <v/>
      </c>
      <c r="K443" s="43" t="inlineStr">
        <is>
          <t>Re-inspection required</t>
        </is>
      </c>
    </row>
    <row r="444">
      <c r="A444" s="44" t="inlineStr">
        <is>
          <t>CTP-WIR-CIV-0084</t>
        </is>
      </c>
      <c r="B444" s="45" t="n">
        <v>46291</v>
      </c>
      <c r="C444" s="46" t="inlineStr">
        <is>
          <t>Civil</t>
        </is>
      </c>
      <c r="D444" s="46" t="inlineStr">
        <is>
          <t>Concrete pouring</t>
        </is>
      </c>
      <c r="E444" s="44" t="inlineStr">
        <is>
          <t>CH 0+049</t>
        </is>
      </c>
      <c r="F444" s="45" t="n">
        <v>46292</v>
      </c>
      <c r="G444" s="46" t="inlineStr">
        <is>
          <t>Eng. Ali Haddad</t>
        </is>
      </c>
      <c r="H444" s="44" t="inlineStr">
        <is>
          <t>Approved</t>
        </is>
      </c>
      <c r="I444" s="45" t="n">
        <v>46292</v>
      </c>
      <c r="J444" s="44">
        <f>IF(H444="Pending",TODAY()-B444,IF(I444="","",I444-B444))</f>
        <v/>
      </c>
      <c r="K444" s="46" t="inlineStr"/>
    </row>
    <row r="445">
      <c r="A445" s="41" t="inlineStr">
        <is>
          <t>CTP-WIR-MEP-0080</t>
        </is>
      </c>
      <c r="B445" s="42" t="n">
        <v>46291</v>
      </c>
      <c r="C445" s="43" t="inlineStr">
        <is>
          <t>MEP</t>
        </is>
      </c>
      <c r="D445" s="43" t="inlineStr">
        <is>
          <t>Ventilation duct alignment</t>
        </is>
      </c>
      <c r="E445" s="41" t="inlineStr">
        <is>
          <t>CH 5+993</t>
        </is>
      </c>
      <c r="F445" s="42" t="n">
        <v>46293</v>
      </c>
      <c r="G445" s="43" t="inlineStr">
        <is>
          <t>Eng. Mark Collins</t>
        </is>
      </c>
      <c r="H445" s="41" t="inlineStr">
        <is>
          <t>Rejected</t>
        </is>
      </c>
      <c r="I445" s="42" t="n">
        <v>46293</v>
      </c>
      <c r="J445" s="41">
        <f>IF(H445="Pending",TODAY()-B445,IF(I445="","",I445-B445))</f>
        <v/>
      </c>
      <c r="K445" s="43" t="inlineStr">
        <is>
          <t>Re-inspection required</t>
        </is>
      </c>
    </row>
    <row r="446">
      <c r="A446" s="44" t="inlineStr">
        <is>
          <t>CTP-WIR-SUR-0098</t>
        </is>
      </c>
      <c r="B446" s="45" t="n">
        <v>46291</v>
      </c>
      <c r="C446" s="46" t="inlineStr">
        <is>
          <t>Survey</t>
        </is>
      </c>
      <c r="D446" s="46" t="inlineStr">
        <is>
          <t>Tunnel alignment survey</t>
        </is>
      </c>
      <c r="E446" s="44" t="inlineStr">
        <is>
          <t>CH 4+275</t>
        </is>
      </c>
      <c r="F446" s="45" t="n">
        <v>46292</v>
      </c>
      <c r="G446" s="46" t="inlineStr">
        <is>
          <t>Eng. Ali Haddad</t>
        </is>
      </c>
      <c r="H446" s="44" t="inlineStr">
        <is>
          <t>Approved with Comments</t>
        </is>
      </c>
      <c r="I446" s="45" t="n">
        <v>46292</v>
      </c>
      <c r="J446" s="44">
        <f>IF(H446="Pending",TODAY()-B446,IF(I446="","",I446-B446))</f>
        <v/>
      </c>
      <c r="K446" s="46" t="inlineStr">
        <is>
          <t>Minor comments to close</t>
        </is>
      </c>
    </row>
    <row r="447">
      <c r="A447" s="41" t="inlineStr">
        <is>
          <t>CTP-WIR-SUR-0099</t>
        </is>
      </c>
      <c r="B447" s="42" t="n">
        <v>46291</v>
      </c>
      <c r="C447" s="43" t="inlineStr">
        <is>
          <t>Survey</t>
        </is>
      </c>
      <c r="D447" s="43" t="inlineStr">
        <is>
          <t>As-built survey</t>
        </is>
      </c>
      <c r="E447" s="41" t="inlineStr">
        <is>
          <t>CH 8+974</t>
        </is>
      </c>
      <c r="F447" s="42" t="n">
        <v>46292</v>
      </c>
      <c r="G447" s="43" t="inlineStr">
        <is>
          <t>Eng. Sara Nasser</t>
        </is>
      </c>
      <c r="H447" s="41" t="inlineStr">
        <is>
          <t>Approved</t>
        </is>
      </c>
      <c r="I447" s="42" t="n">
        <v>46294</v>
      </c>
      <c r="J447" s="41">
        <f>IF(H447="Pending",TODAY()-B447,IF(I447="","",I447-B447))</f>
        <v/>
      </c>
      <c r="K447" s="43" t="inlineStr"/>
    </row>
    <row r="448">
      <c r="A448" s="44" t="inlineStr">
        <is>
          <t>CTP-WIR-TUN-0094</t>
        </is>
      </c>
      <c r="B448" s="45" t="n">
        <v>46291</v>
      </c>
      <c r="C448" s="46" t="inlineStr">
        <is>
          <t>Tunnelling</t>
        </is>
      </c>
      <c r="D448" s="46" t="inlineStr">
        <is>
          <t>Segment ring build</t>
        </is>
      </c>
      <c r="E448" s="44" t="inlineStr">
        <is>
          <t>CH 8+438</t>
        </is>
      </c>
      <c r="F448" s="45" t="n">
        <v>46291</v>
      </c>
      <c r="G448" s="46" t="inlineStr">
        <is>
          <t>Eng. Mark Collins</t>
        </is>
      </c>
      <c r="H448" s="44" t="inlineStr">
        <is>
          <t>Rejected</t>
        </is>
      </c>
      <c r="I448" s="45" t="n">
        <v>46292</v>
      </c>
      <c r="J448" s="44">
        <f>IF(H448="Pending",TODAY()-B448,IF(I448="","",I448-B448))</f>
        <v/>
      </c>
      <c r="K448" s="46" t="inlineStr">
        <is>
          <t>Re-inspection required</t>
        </is>
      </c>
    </row>
    <row r="449">
      <c r="A449" s="41" t="inlineStr">
        <is>
          <t>CTP-WIR-TUN-0095</t>
        </is>
      </c>
      <c r="B449" s="42" t="n">
        <v>46291</v>
      </c>
      <c r="C449" s="43" t="inlineStr">
        <is>
          <t>Tunnelling</t>
        </is>
      </c>
      <c r="D449" s="43" t="inlineStr">
        <is>
          <t>Segment ring build</t>
        </is>
      </c>
      <c r="E449" s="41" t="inlineStr">
        <is>
          <t>CH 8+512</t>
        </is>
      </c>
      <c r="F449" s="42" t="n">
        <v>46292</v>
      </c>
      <c r="G449" s="43" t="inlineStr">
        <is>
          <t>Eng. Hana Saleh</t>
        </is>
      </c>
      <c r="H449" s="41" t="inlineStr">
        <is>
          <t>Approved</t>
        </is>
      </c>
      <c r="I449" s="42" t="n">
        <v>46293</v>
      </c>
      <c r="J449" s="41">
        <f>IF(H449="Pending",TODAY()-B449,IF(I449="","",I449-B449))</f>
        <v/>
      </c>
      <c r="K449" s="43" t="inlineStr"/>
    </row>
    <row r="450">
      <c r="A450" s="44" t="inlineStr">
        <is>
          <t>CTP-WIR-CIV-0085</t>
        </is>
      </c>
      <c r="B450" s="45" t="n">
        <v>46292</v>
      </c>
      <c r="C450" s="46" t="inlineStr">
        <is>
          <t>Civil</t>
        </is>
      </c>
      <c r="D450" s="46" t="inlineStr">
        <is>
          <t>Backfilling &amp; compaction</t>
        </is>
      </c>
      <c r="E450" s="44" t="inlineStr">
        <is>
          <t>CH 5+706</t>
        </is>
      </c>
      <c r="F450" s="45" t="n">
        <v>46294</v>
      </c>
      <c r="G450" s="46" t="inlineStr">
        <is>
          <t>Eng. Sara Nasser</t>
        </is>
      </c>
      <c r="H450" s="44" t="inlineStr">
        <is>
          <t>Approved</t>
        </is>
      </c>
      <c r="I450" s="45" t="n">
        <v>46297</v>
      </c>
      <c r="J450" s="44">
        <f>IF(H450="Pending",TODAY()-B450,IF(I450="","",I450-B450))</f>
        <v/>
      </c>
      <c r="K450" s="46" t="inlineStr"/>
    </row>
    <row r="451">
      <c r="A451" s="41" t="inlineStr">
        <is>
          <t>CTP-WIR-CIV-0086</t>
        </is>
      </c>
      <c r="B451" s="42" t="n">
        <v>46292</v>
      </c>
      <c r="C451" s="43" t="inlineStr">
        <is>
          <t>Civil</t>
        </is>
      </c>
      <c r="D451" s="43" t="inlineStr">
        <is>
          <t>Formwork inspection</t>
        </is>
      </c>
      <c r="E451" s="41" t="inlineStr">
        <is>
          <t>CH 6+392</t>
        </is>
      </c>
      <c r="F451" s="42" t="n">
        <v>46294</v>
      </c>
      <c r="G451" s="43" t="inlineStr">
        <is>
          <t>Eng. Pedro Alves</t>
        </is>
      </c>
      <c r="H451" s="41" t="inlineStr">
        <is>
          <t>Approved</t>
        </is>
      </c>
      <c r="I451" s="42" t="n">
        <v>46297</v>
      </c>
      <c r="J451" s="41">
        <f>IF(H451="Pending",TODAY()-B451,IF(I451="","",I451-B451))</f>
        <v/>
      </c>
      <c r="K451" s="43" t="inlineStr"/>
    </row>
    <row r="452">
      <c r="A452" s="44" t="inlineStr">
        <is>
          <t>CTP-WIR-MEP-0081</t>
        </is>
      </c>
      <c r="B452" s="45" t="n">
        <v>46292</v>
      </c>
      <c r="C452" s="46" t="inlineStr">
        <is>
          <t>MEP</t>
        </is>
      </c>
      <c r="D452" s="46" t="inlineStr">
        <is>
          <t>Pump station testing</t>
        </is>
      </c>
      <c r="E452" s="44" t="inlineStr">
        <is>
          <t>CH 8+684</t>
        </is>
      </c>
      <c r="F452" s="45" t="n">
        <v>46293</v>
      </c>
      <c r="G452" s="46" t="inlineStr">
        <is>
          <t>Eng. Pedro Alves</t>
        </is>
      </c>
      <c r="H452" s="44" t="inlineStr">
        <is>
          <t>Approved</t>
        </is>
      </c>
      <c r="I452" s="45" t="n">
        <v>46295</v>
      </c>
      <c r="J452" s="44">
        <f>IF(H452="Pending",TODAY()-B452,IF(I452="","",I452-B452))</f>
        <v/>
      </c>
      <c r="K452" s="46" t="inlineStr"/>
    </row>
    <row r="453">
      <c r="A453" s="41" t="inlineStr">
        <is>
          <t>CTP-WIR-SUR-0100</t>
        </is>
      </c>
      <c r="B453" s="42" t="n">
        <v>46292</v>
      </c>
      <c r="C453" s="43" t="inlineStr">
        <is>
          <t>Survey</t>
        </is>
      </c>
      <c r="D453" s="43" t="inlineStr">
        <is>
          <t>Settlement monitoring</t>
        </is>
      </c>
      <c r="E453" s="41" t="inlineStr">
        <is>
          <t>CH 8+350</t>
        </is>
      </c>
      <c r="F453" s="42" t="n">
        <v>46292</v>
      </c>
      <c r="G453" s="43" t="inlineStr">
        <is>
          <t>Eng. Mark Collins</t>
        </is>
      </c>
      <c r="H453" s="41" t="inlineStr">
        <is>
          <t>Approved</t>
        </is>
      </c>
      <c r="I453" s="42" t="n">
        <v>46294</v>
      </c>
      <c r="J453" s="41">
        <f>IF(H453="Pending",TODAY()-B453,IF(I453="","",I453-B453))</f>
        <v/>
      </c>
      <c r="K453" s="43" t="inlineStr"/>
    </row>
    <row r="454">
      <c r="A454" s="44" t="inlineStr">
        <is>
          <t>CTP-WIR-SUR-0101</t>
        </is>
      </c>
      <c r="B454" s="45" t="n">
        <v>46292</v>
      </c>
      <c r="C454" s="46" t="inlineStr">
        <is>
          <t>Survey</t>
        </is>
      </c>
      <c r="D454" s="46" t="inlineStr">
        <is>
          <t>As-built survey</t>
        </is>
      </c>
      <c r="E454" s="44" t="inlineStr">
        <is>
          <t>CH 6+999</t>
        </is>
      </c>
      <c r="F454" s="45" t="n">
        <v>46294</v>
      </c>
      <c r="G454" s="46" t="inlineStr">
        <is>
          <t>Eng. Hana Saleh</t>
        </is>
      </c>
      <c r="H454" s="44" t="inlineStr">
        <is>
          <t>Approved</t>
        </is>
      </c>
      <c r="I454" s="45" t="n">
        <v>46294</v>
      </c>
      <c r="J454" s="44">
        <f>IF(H454="Pending",TODAY()-B454,IF(I454="","",I454-B454))</f>
        <v/>
      </c>
      <c r="K454" s="46" t="inlineStr"/>
    </row>
    <row r="455">
      <c r="A455" s="41" t="inlineStr">
        <is>
          <t>CTP-WIR-SUR-0102</t>
        </is>
      </c>
      <c r="B455" s="42" t="n">
        <v>46292</v>
      </c>
      <c r="C455" s="43" t="inlineStr">
        <is>
          <t>Survey</t>
        </is>
      </c>
      <c r="D455" s="43" t="inlineStr">
        <is>
          <t>As-built survey</t>
        </is>
      </c>
      <c r="E455" s="41" t="inlineStr">
        <is>
          <t>CH 3+946</t>
        </is>
      </c>
      <c r="F455" s="42" t="n">
        <v>46293</v>
      </c>
      <c r="G455" s="43" t="inlineStr">
        <is>
          <t>Eng. Sara Nasser</t>
        </is>
      </c>
      <c r="H455" s="41" t="inlineStr">
        <is>
          <t>Approved</t>
        </is>
      </c>
      <c r="I455" s="42" t="n">
        <v>46296</v>
      </c>
      <c r="J455" s="41">
        <f>IF(H455="Pending",TODAY()-B455,IF(I455="","",I455-B455))</f>
        <v/>
      </c>
      <c r="K455" s="43" t="inlineStr"/>
    </row>
    <row r="456">
      <c r="A456" s="44" t="inlineStr">
        <is>
          <t>CTP-WIR-TUN-0096</t>
        </is>
      </c>
      <c r="B456" s="45" t="n">
        <v>46292</v>
      </c>
      <c r="C456" s="46" t="inlineStr">
        <is>
          <t>Tunnelling</t>
        </is>
      </c>
      <c r="D456" s="46" t="inlineStr">
        <is>
          <t>Annulus grouting</t>
        </is>
      </c>
      <c r="E456" s="44" t="inlineStr">
        <is>
          <t>CH 3+622</t>
        </is>
      </c>
      <c r="F456" s="45" t="n">
        <v>46294</v>
      </c>
      <c r="G456" s="46" t="inlineStr">
        <is>
          <t>Eng. Hana Saleh</t>
        </is>
      </c>
      <c r="H456" s="44" t="inlineStr">
        <is>
          <t>Approved with Comments</t>
        </is>
      </c>
      <c r="I456" s="45" t="n">
        <v>46294</v>
      </c>
      <c r="J456" s="44">
        <f>IF(H456="Pending",TODAY()-B456,IF(I456="","",I456-B456))</f>
        <v/>
      </c>
      <c r="K456" s="46" t="inlineStr">
        <is>
          <t>Minor comments to close</t>
        </is>
      </c>
    </row>
    <row r="457">
      <c r="A457" s="41" t="inlineStr">
        <is>
          <t>CTP-WIR-TUN-0097</t>
        </is>
      </c>
      <c r="B457" s="42" t="n">
        <v>46292</v>
      </c>
      <c r="C457" s="43" t="inlineStr">
        <is>
          <t>Tunnelling</t>
        </is>
      </c>
      <c r="D457" s="43" t="inlineStr">
        <is>
          <t>Segment ring build</t>
        </is>
      </c>
      <c r="E457" s="41" t="inlineStr">
        <is>
          <t>CH 1+088</t>
        </is>
      </c>
      <c r="F457" s="42" t="n">
        <v>46294</v>
      </c>
      <c r="G457" s="43" t="inlineStr">
        <is>
          <t>Eng. Ali Haddad</t>
        </is>
      </c>
      <c r="H457" s="41" t="inlineStr">
        <is>
          <t>Rejected</t>
        </is>
      </c>
      <c r="I457" s="42" t="n">
        <v>46295</v>
      </c>
      <c r="J457" s="41">
        <f>IF(H457="Pending",TODAY()-B457,IF(I457="","",I457-B457))</f>
        <v/>
      </c>
      <c r="K457" s="43" t="inlineStr">
        <is>
          <t>Re-inspection required</t>
        </is>
      </c>
    </row>
    <row r="458">
      <c r="A458" s="44" t="inlineStr">
        <is>
          <t>CTP-WIR-GEO-0088</t>
        </is>
      </c>
      <c r="B458" s="45" t="n">
        <v>46293</v>
      </c>
      <c r="C458" s="46" t="inlineStr">
        <is>
          <t>Geotechnical</t>
        </is>
      </c>
      <c r="D458" s="46" t="inlineStr">
        <is>
          <t>Ground anchor installation</t>
        </is>
      </c>
      <c r="E458" s="44" t="inlineStr">
        <is>
          <t>CH 8+603</t>
        </is>
      </c>
      <c r="F458" s="45" t="n">
        <v>46295</v>
      </c>
      <c r="G458" s="46" t="inlineStr">
        <is>
          <t>Eng. Hana Saleh</t>
        </is>
      </c>
      <c r="H458" s="44" t="inlineStr">
        <is>
          <t>Approved with Comments</t>
        </is>
      </c>
      <c r="I458" s="45" t="n">
        <v>46296</v>
      </c>
      <c r="J458" s="44">
        <f>IF(H458="Pending",TODAY()-B458,IF(I458="","",I458-B458))</f>
        <v/>
      </c>
      <c r="K458" s="46" t="inlineStr">
        <is>
          <t>Minor comments to close</t>
        </is>
      </c>
    </row>
    <row r="459">
      <c r="A459" s="41" t="inlineStr">
        <is>
          <t>CTP-WIR-GEO-0089</t>
        </is>
      </c>
      <c r="B459" s="42" t="n">
        <v>46293</v>
      </c>
      <c r="C459" s="43" t="inlineStr">
        <is>
          <t>Geotechnical</t>
        </is>
      </c>
      <c r="D459" s="43" t="inlineStr">
        <is>
          <t>Grout injection</t>
        </is>
      </c>
      <c r="E459" s="41" t="inlineStr">
        <is>
          <t>CH 8+372</t>
        </is>
      </c>
      <c r="F459" s="42" t="n">
        <v>46294</v>
      </c>
      <c r="G459" s="43" t="inlineStr">
        <is>
          <t>Eng. Hana Saleh</t>
        </is>
      </c>
      <c r="H459" s="41" t="inlineStr">
        <is>
          <t>Rejected</t>
        </is>
      </c>
      <c r="I459" s="42" t="n">
        <v>46294</v>
      </c>
      <c r="J459" s="41">
        <f>IF(H459="Pending",TODAY()-B459,IF(I459="","",I459-B459))</f>
        <v/>
      </c>
      <c r="K459" s="43" t="inlineStr">
        <is>
          <t>Re-inspection required</t>
        </is>
      </c>
    </row>
    <row r="460">
      <c r="A460" s="44" t="inlineStr">
        <is>
          <t>CTP-WIR-MEP-0082</t>
        </is>
      </c>
      <c r="B460" s="45" t="n">
        <v>46293</v>
      </c>
      <c r="C460" s="46" t="inlineStr">
        <is>
          <t>MEP</t>
        </is>
      </c>
      <c r="D460" s="46" t="inlineStr">
        <is>
          <t>Cable tray installation</t>
        </is>
      </c>
      <c r="E460" s="44" t="inlineStr">
        <is>
          <t>CH 4+384</t>
        </is>
      </c>
      <c r="F460" s="45" t="n">
        <v>46295</v>
      </c>
      <c r="G460" s="46" t="inlineStr">
        <is>
          <t>Eng. Sara Nasser</t>
        </is>
      </c>
      <c r="H460" s="44" t="inlineStr">
        <is>
          <t>Approved</t>
        </is>
      </c>
      <c r="I460" s="45" t="n">
        <v>46296</v>
      </c>
      <c r="J460" s="44">
        <f>IF(H460="Pending",TODAY()-B460,IF(I460="","",I460-B460))</f>
        <v/>
      </c>
      <c r="K460" s="46" t="inlineStr"/>
    </row>
    <row r="461">
      <c r="A461" s="41" t="inlineStr">
        <is>
          <t>CTP-WIR-SUR-0103</t>
        </is>
      </c>
      <c r="B461" s="42" t="n">
        <v>46293</v>
      </c>
      <c r="C461" s="43" t="inlineStr">
        <is>
          <t>Survey</t>
        </is>
      </c>
      <c r="D461" s="43" t="inlineStr">
        <is>
          <t>As-built survey</t>
        </is>
      </c>
      <c r="E461" s="41" t="inlineStr">
        <is>
          <t>CH 4+405</t>
        </is>
      </c>
      <c r="F461" s="42" t="n">
        <v>46294</v>
      </c>
      <c r="G461" s="43" t="inlineStr">
        <is>
          <t>Eng. Pedro Alves</t>
        </is>
      </c>
      <c r="H461" s="41" t="inlineStr">
        <is>
          <t>Approved</t>
        </is>
      </c>
      <c r="I461" s="42" t="n">
        <v>46294</v>
      </c>
      <c r="J461" s="41">
        <f>IF(H461="Pending",TODAY()-B461,IF(I461="","",I461-B461))</f>
        <v/>
      </c>
      <c r="K461" s="43" t="inlineStr"/>
    </row>
    <row r="462">
      <c r="A462" s="44" t="inlineStr">
        <is>
          <t>CTP-WIR-TUN-0098</t>
        </is>
      </c>
      <c r="B462" s="45" t="n">
        <v>46293</v>
      </c>
      <c r="C462" s="46" t="inlineStr">
        <is>
          <t>Tunnelling</t>
        </is>
      </c>
      <c r="D462" s="46" t="inlineStr">
        <is>
          <t>Segment ring build</t>
        </is>
      </c>
      <c r="E462" s="44" t="inlineStr">
        <is>
          <t>CH 2+655</t>
        </is>
      </c>
      <c r="F462" s="45" t="n">
        <v>46294</v>
      </c>
      <c r="G462" s="46" t="inlineStr">
        <is>
          <t>Eng. Sara Nasser</t>
        </is>
      </c>
      <c r="H462" s="44" t="inlineStr">
        <is>
          <t>Approved</t>
        </is>
      </c>
      <c r="I462" s="45" t="n">
        <v>46296</v>
      </c>
      <c r="J462" s="44">
        <f>IF(H462="Pending",TODAY()-B462,IF(I462="","",I462-B462))</f>
        <v/>
      </c>
      <c r="K462" s="46" t="inlineStr"/>
    </row>
    <row r="463">
      <c r="A463" s="41" t="inlineStr">
        <is>
          <t>CTP-WIR-GEO-0090</t>
        </is>
      </c>
      <c r="B463" s="42" t="n">
        <v>46294</v>
      </c>
      <c r="C463" s="43" t="inlineStr">
        <is>
          <t>Geotechnical</t>
        </is>
      </c>
      <c r="D463" s="43" t="inlineStr">
        <is>
          <t>Borehole drilling &amp; logging</t>
        </is>
      </c>
      <c r="E463" s="41" t="inlineStr">
        <is>
          <t>CH 8+153</t>
        </is>
      </c>
      <c r="F463" s="42" t="n">
        <v>46296</v>
      </c>
      <c r="G463" s="43" t="inlineStr">
        <is>
          <t>Eng. Mark Collins</t>
        </is>
      </c>
      <c r="H463" s="41" t="inlineStr">
        <is>
          <t>Approved</t>
        </is>
      </c>
      <c r="I463" s="42" t="n">
        <v>46297</v>
      </c>
      <c r="J463" s="41">
        <f>IF(H463="Pending",TODAY()-B463,IF(I463="","",I463-B463))</f>
        <v/>
      </c>
      <c r="K463" s="43" t="inlineStr"/>
    </row>
    <row r="464">
      <c r="A464" s="44" t="inlineStr">
        <is>
          <t>CTP-WIR-GEO-0091</t>
        </is>
      </c>
      <c r="B464" s="45" t="n">
        <v>46294</v>
      </c>
      <c r="C464" s="46" t="inlineStr">
        <is>
          <t>Geotechnical</t>
        </is>
      </c>
      <c r="D464" s="46" t="inlineStr">
        <is>
          <t>Rock bolt pull-out test</t>
        </is>
      </c>
      <c r="E464" s="44" t="inlineStr">
        <is>
          <t>CH 9+379</t>
        </is>
      </c>
      <c r="F464" s="45" t="n">
        <v>46295</v>
      </c>
      <c r="G464" s="46" t="inlineStr">
        <is>
          <t>Eng. Pedro Alves</t>
        </is>
      </c>
      <c r="H464" s="44" t="inlineStr">
        <is>
          <t>Approved</t>
        </is>
      </c>
      <c r="I464" s="45" t="n">
        <v>46296</v>
      </c>
      <c r="J464" s="44">
        <f>IF(H464="Pending",TODAY()-B464,IF(I464="","",I464-B464))</f>
        <v/>
      </c>
      <c r="K464" s="46" t="inlineStr"/>
    </row>
    <row r="465">
      <c r="A465" s="41" t="inlineStr">
        <is>
          <t>CTP-WIR-MEP-0083</t>
        </is>
      </c>
      <c r="B465" s="42" t="n">
        <v>46294</v>
      </c>
      <c r="C465" s="43" t="inlineStr">
        <is>
          <t>MEP</t>
        </is>
      </c>
      <c r="D465" s="43" t="inlineStr">
        <is>
          <t>Lighting installation</t>
        </is>
      </c>
      <c r="E465" s="41" t="inlineStr">
        <is>
          <t>CH 7+093</t>
        </is>
      </c>
      <c r="F465" s="42" t="n">
        <v>46295</v>
      </c>
      <c r="G465" s="43" t="inlineStr">
        <is>
          <t>Eng. Ali Haddad</t>
        </is>
      </c>
      <c r="H465" s="41" t="inlineStr">
        <is>
          <t>Approved</t>
        </is>
      </c>
      <c r="I465" s="42" t="n">
        <v>46296</v>
      </c>
      <c r="J465" s="41">
        <f>IF(H465="Pending",TODAY()-B465,IF(I465="","",I465-B465))</f>
        <v/>
      </c>
      <c r="K465" s="43" t="inlineStr"/>
    </row>
    <row r="466">
      <c r="A466" s="44" t="inlineStr">
        <is>
          <t>CTP-WIR-TUN-0099</t>
        </is>
      </c>
      <c r="B466" s="45" t="n">
        <v>46294</v>
      </c>
      <c r="C466" s="46" t="inlineStr">
        <is>
          <t>Tunnelling</t>
        </is>
      </c>
      <c r="D466" s="46" t="inlineStr">
        <is>
          <t>Annulus grouting</t>
        </is>
      </c>
      <c r="E466" s="44" t="inlineStr">
        <is>
          <t>CH 9+182</t>
        </is>
      </c>
      <c r="F466" s="45" t="n">
        <v>46294</v>
      </c>
      <c r="G466" s="46" t="inlineStr">
        <is>
          <t>Eng. Hana Saleh</t>
        </is>
      </c>
      <c r="H466" s="44" t="inlineStr">
        <is>
          <t>Approved</t>
        </is>
      </c>
      <c r="I466" s="45" t="n">
        <v>46294</v>
      </c>
      <c r="J466" s="44">
        <f>IF(H466="Pending",TODAY()-B466,IF(I466="","",I466-B466))</f>
        <v/>
      </c>
      <c r="K466" s="46" t="inlineStr"/>
    </row>
    <row r="467">
      <c r="A467" s="41" t="inlineStr">
        <is>
          <t>CTP-WIR-CIV-0087</t>
        </is>
      </c>
      <c r="B467" s="42" t="n">
        <v>46295</v>
      </c>
      <c r="C467" s="43" t="inlineStr">
        <is>
          <t>Civil</t>
        </is>
      </c>
      <c r="D467" s="43" t="inlineStr">
        <is>
          <t>Concrete pouring</t>
        </is>
      </c>
      <c r="E467" s="41" t="inlineStr">
        <is>
          <t>CH 9+830</t>
        </is>
      </c>
      <c r="F467" s="42" t="n">
        <v>46296</v>
      </c>
      <c r="G467" s="43" t="inlineStr">
        <is>
          <t>Eng. Sara Nasser</t>
        </is>
      </c>
      <c r="H467" s="41" t="inlineStr">
        <is>
          <t>Rejected</t>
        </is>
      </c>
      <c r="I467" s="42" t="n">
        <v>46298</v>
      </c>
      <c r="J467" s="41">
        <f>IF(H467="Pending",TODAY()-B467,IF(I467="","",I467-B467))</f>
        <v/>
      </c>
      <c r="K467" s="43" t="inlineStr">
        <is>
          <t>Re-inspection required</t>
        </is>
      </c>
    </row>
    <row r="468">
      <c r="A468" s="44" t="inlineStr">
        <is>
          <t>CTP-WIR-GEO-0092</t>
        </is>
      </c>
      <c r="B468" s="45" t="n">
        <v>46295</v>
      </c>
      <c r="C468" s="46" t="inlineStr">
        <is>
          <t>Geotechnical</t>
        </is>
      </c>
      <c r="D468" s="46" t="inlineStr">
        <is>
          <t>Ground anchor installation</t>
        </is>
      </c>
      <c r="E468" s="44" t="inlineStr">
        <is>
          <t>CH 0+734</t>
        </is>
      </c>
      <c r="F468" s="45" t="n">
        <v>46296</v>
      </c>
      <c r="G468" s="46" t="inlineStr">
        <is>
          <t>Eng. Pedro Alves</t>
        </is>
      </c>
      <c r="H468" s="44" t="inlineStr">
        <is>
          <t>Approved</t>
        </is>
      </c>
      <c r="I468" s="45" t="n">
        <v>46297</v>
      </c>
      <c r="J468" s="44">
        <f>IF(H468="Pending",TODAY()-B468,IF(I468="","",I468-B468))</f>
        <v/>
      </c>
      <c r="K468" s="46" t="inlineStr"/>
    </row>
    <row r="469">
      <c r="A469" s="41" t="inlineStr">
        <is>
          <t>CTP-WIR-MEP-0084</t>
        </is>
      </c>
      <c r="B469" s="42" t="n">
        <v>46295</v>
      </c>
      <c r="C469" s="43" t="inlineStr">
        <is>
          <t>MEP</t>
        </is>
      </c>
      <c r="D469" s="43" t="inlineStr">
        <is>
          <t>Cable tray installation</t>
        </is>
      </c>
      <c r="E469" s="41" t="inlineStr">
        <is>
          <t>CH 9+381</t>
        </is>
      </c>
      <c r="F469" s="42" t="n">
        <v>46296</v>
      </c>
      <c r="G469" s="43" t="inlineStr">
        <is>
          <t>Eng. Mark Collins</t>
        </is>
      </c>
      <c r="H469" s="41" t="inlineStr">
        <is>
          <t>Rejected</t>
        </is>
      </c>
      <c r="I469" s="42" t="n">
        <v>46297</v>
      </c>
      <c r="J469" s="41">
        <f>IF(H469="Pending",TODAY()-B469,IF(I469="","",I469-B469))</f>
        <v/>
      </c>
      <c r="K469" s="43" t="inlineStr">
        <is>
          <t>Re-inspection required</t>
        </is>
      </c>
    </row>
    <row r="470">
      <c r="A470" s="44" t="inlineStr">
        <is>
          <t>CTP-WIR-MEP-0085</t>
        </is>
      </c>
      <c r="B470" s="45" t="n">
        <v>46295</v>
      </c>
      <c r="C470" s="46" t="inlineStr">
        <is>
          <t>MEP</t>
        </is>
      </c>
      <c r="D470" s="46" t="inlineStr">
        <is>
          <t>Lighting installation</t>
        </is>
      </c>
      <c r="E470" s="44" t="inlineStr">
        <is>
          <t>CH 7+388</t>
        </is>
      </c>
      <c r="F470" s="45" t="n">
        <v>46296</v>
      </c>
      <c r="G470" s="46" t="inlineStr">
        <is>
          <t>Eng. Hana Saleh</t>
        </is>
      </c>
      <c r="H470" s="44" t="inlineStr">
        <is>
          <t>Approved with Comments</t>
        </is>
      </c>
      <c r="I470" s="45" t="n">
        <v>46296</v>
      </c>
      <c r="J470" s="44">
        <f>IF(H470="Pending",TODAY()-B470,IF(I470="","",I470-B470))</f>
        <v/>
      </c>
      <c r="K470" s="46" t="inlineStr">
        <is>
          <t>Minor comments to close</t>
        </is>
      </c>
    </row>
    <row r="471">
      <c r="A471" s="41" t="inlineStr">
        <is>
          <t>CTP-WIR-SUR-0104</t>
        </is>
      </c>
      <c r="B471" s="42" t="n">
        <v>46295</v>
      </c>
      <c r="C471" s="43" t="inlineStr">
        <is>
          <t>Survey</t>
        </is>
      </c>
      <c r="D471" s="43" t="inlineStr">
        <is>
          <t>Settlement monitoring</t>
        </is>
      </c>
      <c r="E471" s="41" t="inlineStr">
        <is>
          <t>CH 7+957</t>
        </is>
      </c>
      <c r="F471" s="42" t="n">
        <v>46295</v>
      </c>
      <c r="G471" s="43" t="inlineStr">
        <is>
          <t>Eng. Pedro Alves</t>
        </is>
      </c>
      <c r="H471" s="41" t="inlineStr">
        <is>
          <t>Approved</t>
        </is>
      </c>
      <c r="I471" s="42" t="n">
        <v>46298</v>
      </c>
      <c r="J471" s="41">
        <f>IF(H471="Pending",TODAY()-B471,IF(I471="","",I471-B471))</f>
        <v/>
      </c>
      <c r="K471" s="43" t="inlineStr"/>
    </row>
    <row r="472">
      <c r="A472" s="44" t="inlineStr">
        <is>
          <t>CTP-WIR-CIV-0088</t>
        </is>
      </c>
      <c r="B472" s="45" t="n">
        <v>46296</v>
      </c>
      <c r="C472" s="46" t="inlineStr">
        <is>
          <t>Civil</t>
        </is>
      </c>
      <c r="D472" s="46" t="inlineStr">
        <is>
          <t>Rebar inspection before concrete</t>
        </is>
      </c>
      <c r="E472" s="44" t="inlineStr">
        <is>
          <t>CH 6+554</t>
        </is>
      </c>
      <c r="F472" s="45" t="n">
        <v>46296</v>
      </c>
      <c r="G472" s="46" t="inlineStr">
        <is>
          <t>Eng. Sara Nasser</t>
        </is>
      </c>
      <c r="H472" s="44" t="inlineStr">
        <is>
          <t>Approved</t>
        </is>
      </c>
      <c r="I472" s="45" t="n">
        <v>46297</v>
      </c>
      <c r="J472" s="44">
        <f>IF(H472="Pending",TODAY()-B472,IF(I472="","",I472-B472))</f>
        <v/>
      </c>
      <c r="K472" s="46" t="inlineStr"/>
    </row>
    <row r="473">
      <c r="A473" s="41" t="inlineStr">
        <is>
          <t>CTP-WIR-GEO-0093</t>
        </is>
      </c>
      <c r="B473" s="42" t="n">
        <v>46296</v>
      </c>
      <c r="C473" s="43" t="inlineStr">
        <is>
          <t>Geotechnical</t>
        </is>
      </c>
      <c r="D473" s="43" t="inlineStr">
        <is>
          <t>Ground anchor installation</t>
        </is>
      </c>
      <c r="E473" s="41" t="inlineStr">
        <is>
          <t>CH 7+407</t>
        </is>
      </c>
      <c r="F473" s="42" t="n">
        <v>46298</v>
      </c>
      <c r="G473" s="43" t="inlineStr">
        <is>
          <t>Eng. Mark Collins</t>
        </is>
      </c>
      <c r="H473" s="41" t="inlineStr">
        <is>
          <t>Approved</t>
        </is>
      </c>
      <c r="I473" s="42" t="n">
        <v>46298</v>
      </c>
      <c r="J473" s="41">
        <f>IF(H473="Pending",TODAY()-B473,IF(I473="","",I473-B473))</f>
        <v/>
      </c>
      <c r="K473" s="43" t="inlineStr"/>
    </row>
    <row r="474">
      <c r="A474" s="44" t="inlineStr">
        <is>
          <t>CTP-WIR-MEP-0086</t>
        </is>
      </c>
      <c r="B474" s="45" t="n">
        <v>46296</v>
      </c>
      <c r="C474" s="46" t="inlineStr">
        <is>
          <t>MEP</t>
        </is>
      </c>
      <c r="D474" s="46" t="inlineStr">
        <is>
          <t>Cable tray installation</t>
        </is>
      </c>
      <c r="E474" s="44" t="inlineStr">
        <is>
          <t>CH 9+465</t>
        </is>
      </c>
      <c r="F474" s="45" t="n">
        <v>46296</v>
      </c>
      <c r="G474" s="46" t="inlineStr">
        <is>
          <t>Eng. Mark Collins</t>
        </is>
      </c>
      <c r="H474" s="44" t="inlineStr">
        <is>
          <t>Approved</t>
        </is>
      </c>
      <c r="I474" s="45" t="n">
        <v>46297</v>
      </c>
      <c r="J474" s="44">
        <f>IF(H474="Pending",TODAY()-B474,IF(I474="","",I474-B474))</f>
        <v/>
      </c>
      <c r="K474" s="46" t="inlineStr"/>
    </row>
    <row r="475">
      <c r="A475" s="41" t="inlineStr">
        <is>
          <t>CTP-WIR-MEP-0087</t>
        </is>
      </c>
      <c r="B475" s="42" t="n">
        <v>46296</v>
      </c>
      <c r="C475" s="43" t="inlineStr">
        <is>
          <t>MEP</t>
        </is>
      </c>
      <c r="D475" s="43" t="inlineStr">
        <is>
          <t>Lighting installation</t>
        </is>
      </c>
      <c r="E475" s="41" t="inlineStr">
        <is>
          <t>CH 8+707</t>
        </is>
      </c>
      <c r="F475" s="42" t="n">
        <v>46297</v>
      </c>
      <c r="G475" s="43" t="inlineStr">
        <is>
          <t>Eng. Hana Saleh</t>
        </is>
      </c>
      <c r="H475" s="41" t="inlineStr">
        <is>
          <t>Approved</t>
        </is>
      </c>
      <c r="I475" s="42" t="n">
        <v>46297</v>
      </c>
      <c r="J475" s="41">
        <f>IF(H475="Pending",TODAY()-B475,IF(I475="","",I475-B475))</f>
        <v/>
      </c>
      <c r="K475" s="43" t="inlineStr"/>
    </row>
    <row r="476">
      <c r="A476" s="44" t="inlineStr">
        <is>
          <t>CTP-WIR-TUN-0100</t>
        </is>
      </c>
      <c r="B476" s="45" t="n">
        <v>46296</v>
      </c>
      <c r="C476" s="46" t="inlineStr">
        <is>
          <t>Tunnelling</t>
        </is>
      </c>
      <c r="D476" s="46" t="inlineStr">
        <is>
          <t>Segment ring build</t>
        </is>
      </c>
      <c r="E476" s="44" t="inlineStr">
        <is>
          <t>CH 1+226</t>
        </is>
      </c>
      <c r="F476" s="45" t="n">
        <v>46298</v>
      </c>
      <c r="G476" s="46" t="inlineStr">
        <is>
          <t>Eng. Hana Saleh</t>
        </is>
      </c>
      <c r="H476" s="44" t="inlineStr">
        <is>
          <t>Approved with Comments</t>
        </is>
      </c>
      <c r="I476" s="45" t="n">
        <v>46298</v>
      </c>
      <c r="J476" s="44">
        <f>IF(H476="Pending",TODAY()-B476,IF(I476="","",I476-B476))</f>
        <v/>
      </c>
      <c r="K476" s="46" t="inlineStr">
        <is>
          <t>Minor comments to close</t>
        </is>
      </c>
    </row>
    <row r="477">
      <c r="A477" s="41" t="inlineStr">
        <is>
          <t>CTP-WIR-CIV-0089</t>
        </is>
      </c>
      <c r="B477" s="42" t="n">
        <v>46298</v>
      </c>
      <c r="C477" s="43" t="inlineStr">
        <is>
          <t>Civil</t>
        </is>
      </c>
      <c r="D477" s="43" t="inlineStr">
        <is>
          <t>Rebar inspection before concrete</t>
        </is>
      </c>
      <c r="E477" s="41" t="inlineStr">
        <is>
          <t>CH 8+268</t>
        </is>
      </c>
      <c r="F477" s="42" t="n">
        <v>46299</v>
      </c>
      <c r="G477" s="43" t="inlineStr">
        <is>
          <t>Eng. Sara Nasser</t>
        </is>
      </c>
      <c r="H477" s="41" t="inlineStr">
        <is>
          <t>Rejected</t>
        </is>
      </c>
      <c r="I477" s="42" t="n">
        <v>46300</v>
      </c>
      <c r="J477" s="41">
        <f>IF(H477="Pending",TODAY()-B477,IF(I477="","",I477-B477))</f>
        <v/>
      </c>
      <c r="K477" s="43" t="inlineStr">
        <is>
          <t>Re-inspection required</t>
        </is>
      </c>
    </row>
    <row r="478">
      <c r="A478" s="44" t="inlineStr">
        <is>
          <t>CTP-WIR-CIV-0090</t>
        </is>
      </c>
      <c r="B478" s="45" t="n">
        <v>46298</v>
      </c>
      <c r="C478" s="46" t="inlineStr">
        <is>
          <t>Civil</t>
        </is>
      </c>
      <c r="D478" s="46" t="inlineStr">
        <is>
          <t>Backfilling &amp; compaction</t>
        </is>
      </c>
      <c r="E478" s="44" t="inlineStr">
        <is>
          <t>CH 8+404</t>
        </is>
      </c>
      <c r="F478" s="45" t="n">
        <v>46300</v>
      </c>
      <c r="G478" s="46" t="inlineStr">
        <is>
          <t>Eng. Ali Haddad</t>
        </is>
      </c>
      <c r="H478" s="44" t="inlineStr">
        <is>
          <t>Approved</t>
        </is>
      </c>
      <c r="I478" s="45" t="n">
        <v>46301</v>
      </c>
      <c r="J478" s="44">
        <f>IF(H478="Pending",TODAY()-B478,IF(I478="","",I478-B478))</f>
        <v/>
      </c>
      <c r="K478" s="46" t="inlineStr"/>
    </row>
    <row r="479">
      <c r="A479" s="41" t="inlineStr">
        <is>
          <t>CTP-WIR-CIV-0091</t>
        </is>
      </c>
      <c r="B479" s="42" t="n">
        <v>46298</v>
      </c>
      <c r="C479" s="43" t="inlineStr">
        <is>
          <t>Civil</t>
        </is>
      </c>
      <c r="D479" s="43" t="inlineStr">
        <is>
          <t>Concrete pouring</t>
        </is>
      </c>
      <c r="E479" s="41" t="inlineStr">
        <is>
          <t>CH 6+877</t>
        </is>
      </c>
      <c r="F479" s="42" t="n">
        <v>46299</v>
      </c>
      <c r="G479" s="43" t="inlineStr">
        <is>
          <t>Eng. Sara Nasser</t>
        </is>
      </c>
      <c r="H479" s="41" t="inlineStr">
        <is>
          <t>Approved</t>
        </is>
      </c>
      <c r="I479" s="42" t="n">
        <v>46301</v>
      </c>
      <c r="J479" s="41">
        <f>IF(H479="Pending",TODAY()-B479,IF(I479="","",I479-B479))</f>
        <v/>
      </c>
      <c r="K479" s="43" t="inlineStr"/>
    </row>
    <row r="480">
      <c r="A480" s="44" t="inlineStr">
        <is>
          <t>CTP-WIR-GEO-0094</t>
        </is>
      </c>
      <c r="B480" s="45" t="n">
        <v>46298</v>
      </c>
      <c r="C480" s="46" t="inlineStr">
        <is>
          <t>Geotechnical</t>
        </is>
      </c>
      <c r="D480" s="46" t="inlineStr">
        <is>
          <t>Grout injection</t>
        </is>
      </c>
      <c r="E480" s="44" t="inlineStr">
        <is>
          <t>CH 5+342</t>
        </is>
      </c>
      <c r="F480" s="45" t="n">
        <v>46298</v>
      </c>
      <c r="G480" s="46" t="inlineStr">
        <is>
          <t>Eng. Hana Saleh</t>
        </is>
      </c>
      <c r="H480" s="44" t="inlineStr">
        <is>
          <t>Approved with Comments</t>
        </is>
      </c>
      <c r="I480" s="45" t="n">
        <v>46299</v>
      </c>
      <c r="J480" s="44">
        <f>IF(H480="Pending",TODAY()-B480,IF(I480="","",I480-B480))</f>
        <v/>
      </c>
      <c r="K480" s="46" t="inlineStr">
        <is>
          <t>Minor comments to close</t>
        </is>
      </c>
    </row>
    <row r="481">
      <c r="A481" s="41" t="inlineStr">
        <is>
          <t>CTP-WIR-SUR-0105</t>
        </is>
      </c>
      <c r="B481" s="42" t="n">
        <v>46298</v>
      </c>
      <c r="C481" s="43" t="inlineStr">
        <is>
          <t>Survey</t>
        </is>
      </c>
      <c r="D481" s="43" t="inlineStr">
        <is>
          <t>As-built survey</t>
        </is>
      </c>
      <c r="E481" s="41" t="inlineStr">
        <is>
          <t>CH 9+144</t>
        </is>
      </c>
      <c r="F481" s="42" t="n">
        <v>46299</v>
      </c>
      <c r="G481" s="43" t="inlineStr">
        <is>
          <t>Eng. Sara Nasser</t>
        </is>
      </c>
      <c r="H481" s="41" t="inlineStr">
        <is>
          <t>Rejected</t>
        </is>
      </c>
      <c r="I481" s="42" t="n">
        <v>46301</v>
      </c>
      <c r="J481" s="41">
        <f>IF(H481="Pending",TODAY()-B481,IF(I481="","",I481-B481))</f>
        <v/>
      </c>
      <c r="K481" s="43" t="inlineStr">
        <is>
          <t>Re-inspection required</t>
        </is>
      </c>
    </row>
    <row r="482">
      <c r="A482" s="44" t="inlineStr">
        <is>
          <t>CTP-WIR-CIV-0092</t>
        </is>
      </c>
      <c r="B482" s="45" t="n">
        <v>46299</v>
      </c>
      <c r="C482" s="46" t="inlineStr">
        <is>
          <t>Civil</t>
        </is>
      </c>
      <c r="D482" s="46" t="inlineStr">
        <is>
          <t>Backfilling &amp; compaction</t>
        </is>
      </c>
      <c r="E482" s="44" t="inlineStr">
        <is>
          <t>CH 8+069</t>
        </is>
      </c>
      <c r="F482" s="45" t="n">
        <v>46299</v>
      </c>
      <c r="G482" s="46" t="inlineStr">
        <is>
          <t>Eng. Hana Saleh</t>
        </is>
      </c>
      <c r="H482" s="44" t="inlineStr">
        <is>
          <t>Approved with Comments</t>
        </is>
      </c>
      <c r="I482" s="45" t="n">
        <v>46299</v>
      </c>
      <c r="J482" s="44">
        <f>IF(H482="Pending",TODAY()-B482,IF(I482="","",I482-B482))</f>
        <v/>
      </c>
      <c r="K482" s="46" t="inlineStr">
        <is>
          <t>Minor comments to close</t>
        </is>
      </c>
    </row>
    <row r="483">
      <c r="A483" s="41" t="inlineStr">
        <is>
          <t>CTP-WIR-CIV-0093</t>
        </is>
      </c>
      <c r="B483" s="42" t="n">
        <v>46299</v>
      </c>
      <c r="C483" s="43" t="inlineStr">
        <is>
          <t>Civil</t>
        </is>
      </c>
      <c r="D483" s="43" t="inlineStr">
        <is>
          <t>Formwork inspection</t>
        </is>
      </c>
      <c r="E483" s="41" t="inlineStr">
        <is>
          <t>CH 7+298</t>
        </is>
      </c>
      <c r="F483" s="42" t="n">
        <v>46300</v>
      </c>
      <c r="G483" s="43" t="inlineStr">
        <is>
          <t>Eng. Mark Collins</t>
        </is>
      </c>
      <c r="H483" s="41" t="inlineStr">
        <is>
          <t>Approved</t>
        </is>
      </c>
      <c r="I483" s="42" t="n">
        <v>46301</v>
      </c>
      <c r="J483" s="41">
        <f>IF(H483="Pending",TODAY()-B483,IF(I483="","",I483-B483))</f>
        <v/>
      </c>
      <c r="K483" s="43" t="inlineStr"/>
    </row>
    <row r="484">
      <c r="A484" s="44" t="inlineStr">
        <is>
          <t>CTP-WIR-CIV-0094</t>
        </is>
      </c>
      <c r="B484" s="45" t="n">
        <v>46299</v>
      </c>
      <c r="C484" s="46" t="inlineStr">
        <is>
          <t>Civil</t>
        </is>
      </c>
      <c r="D484" s="46" t="inlineStr">
        <is>
          <t>Formwork inspection</t>
        </is>
      </c>
      <c r="E484" s="44" t="inlineStr">
        <is>
          <t>CH 3+899</t>
        </is>
      </c>
      <c r="F484" s="45" t="n">
        <v>46301</v>
      </c>
      <c r="G484" s="46" t="inlineStr">
        <is>
          <t>Eng. Ali Haddad</t>
        </is>
      </c>
      <c r="H484" s="44" t="inlineStr">
        <is>
          <t>Approved</t>
        </is>
      </c>
      <c r="I484" s="45" t="n">
        <v>46303</v>
      </c>
      <c r="J484" s="44">
        <f>IF(H484="Pending",TODAY()-B484,IF(I484="","",I484-B484))</f>
        <v/>
      </c>
      <c r="K484" s="46" t="inlineStr"/>
    </row>
    <row r="485">
      <c r="A485" s="41" t="inlineStr">
        <is>
          <t>CTP-WIR-MEP-0088</t>
        </is>
      </c>
      <c r="B485" s="42" t="n">
        <v>46299</v>
      </c>
      <c r="C485" s="43" t="inlineStr">
        <is>
          <t>MEP</t>
        </is>
      </c>
      <c r="D485" s="43" t="inlineStr">
        <is>
          <t>Ventilation duct alignment</t>
        </is>
      </c>
      <c r="E485" s="41" t="inlineStr">
        <is>
          <t>CH 9+509</t>
        </is>
      </c>
      <c r="F485" s="42" t="n">
        <v>46299</v>
      </c>
      <c r="G485" s="43" t="inlineStr">
        <is>
          <t>Eng. Ali Haddad</t>
        </is>
      </c>
      <c r="H485" s="41" t="inlineStr">
        <is>
          <t>Approved</t>
        </is>
      </c>
      <c r="I485" s="42" t="n">
        <v>46299</v>
      </c>
      <c r="J485" s="41">
        <f>IF(H485="Pending",TODAY()-B485,IF(I485="","",I485-B485))</f>
        <v/>
      </c>
      <c r="K485" s="43" t="inlineStr"/>
    </row>
    <row r="486">
      <c r="A486" s="44" t="inlineStr">
        <is>
          <t>CTP-WIR-MEP-0089</t>
        </is>
      </c>
      <c r="B486" s="45" t="n">
        <v>46299</v>
      </c>
      <c r="C486" s="46" t="inlineStr">
        <is>
          <t>MEP</t>
        </is>
      </c>
      <c r="D486" s="46" t="inlineStr">
        <is>
          <t>Ventilation duct alignment</t>
        </is>
      </c>
      <c r="E486" s="44" t="inlineStr">
        <is>
          <t>CH 3+547</t>
        </is>
      </c>
      <c r="F486" s="45" t="n">
        <v>46300</v>
      </c>
      <c r="G486" s="46" t="inlineStr">
        <is>
          <t>Eng. Mark Collins</t>
        </is>
      </c>
      <c r="H486" s="44" t="inlineStr">
        <is>
          <t>Approved</t>
        </is>
      </c>
      <c r="I486" s="45" t="n">
        <v>46301</v>
      </c>
      <c r="J486" s="44">
        <f>IF(H486="Pending",TODAY()-B486,IF(I486="","",I486-B486))</f>
        <v/>
      </c>
      <c r="K486" s="46" t="inlineStr"/>
    </row>
    <row r="487">
      <c r="A487" s="41" t="inlineStr">
        <is>
          <t>CTP-WIR-SUR-0106</t>
        </is>
      </c>
      <c r="B487" s="42" t="n">
        <v>46299</v>
      </c>
      <c r="C487" s="43" t="inlineStr">
        <is>
          <t>Survey</t>
        </is>
      </c>
      <c r="D487" s="43" t="inlineStr">
        <is>
          <t>Tunnel alignment survey</t>
        </is>
      </c>
      <c r="E487" s="41" t="inlineStr">
        <is>
          <t>CH 1+206</t>
        </is>
      </c>
      <c r="F487" s="42" t="n">
        <v>46300</v>
      </c>
      <c r="G487" s="43" t="inlineStr">
        <is>
          <t>Eng. Ali Haddad</t>
        </is>
      </c>
      <c r="H487" s="41" t="inlineStr">
        <is>
          <t>Approved</t>
        </is>
      </c>
      <c r="I487" s="42" t="n">
        <v>46302</v>
      </c>
      <c r="J487" s="41">
        <f>IF(H487="Pending",TODAY()-B487,IF(I487="","",I487-B487))</f>
        <v/>
      </c>
      <c r="K487" s="43" t="inlineStr"/>
    </row>
    <row r="488">
      <c r="A488" s="44" t="inlineStr">
        <is>
          <t>CTP-WIR-SUR-0107</t>
        </is>
      </c>
      <c r="B488" s="45" t="n">
        <v>46299</v>
      </c>
      <c r="C488" s="46" t="inlineStr">
        <is>
          <t>Survey</t>
        </is>
      </c>
      <c r="D488" s="46" t="inlineStr">
        <is>
          <t>Settlement monitoring</t>
        </is>
      </c>
      <c r="E488" s="44" t="inlineStr">
        <is>
          <t>CH 7+702</t>
        </is>
      </c>
      <c r="F488" s="45" t="n">
        <v>46301</v>
      </c>
      <c r="G488" s="46" t="inlineStr">
        <is>
          <t>Eng. Mark Collins</t>
        </is>
      </c>
      <c r="H488" s="44" t="inlineStr">
        <is>
          <t>Approved</t>
        </is>
      </c>
      <c r="I488" s="45" t="n">
        <v>46302</v>
      </c>
      <c r="J488" s="44">
        <f>IF(H488="Pending",TODAY()-B488,IF(I488="","",I488-B488))</f>
        <v/>
      </c>
      <c r="K488" s="46" t="inlineStr"/>
    </row>
    <row r="489">
      <c r="A489" s="41" t="inlineStr">
        <is>
          <t>CTP-WIR-CIV-0095</t>
        </is>
      </c>
      <c r="B489" s="42" t="n">
        <v>46300</v>
      </c>
      <c r="C489" s="43" t="inlineStr">
        <is>
          <t>Civil</t>
        </is>
      </c>
      <c r="D489" s="43" t="inlineStr">
        <is>
          <t>Rebar inspection before concrete</t>
        </is>
      </c>
      <c r="E489" s="41" t="inlineStr">
        <is>
          <t>CH 6+997</t>
        </is>
      </c>
      <c r="F489" s="42" t="n">
        <v>46301</v>
      </c>
      <c r="G489" s="43" t="inlineStr">
        <is>
          <t>Eng. Sara Nasser</t>
        </is>
      </c>
      <c r="H489" s="41" t="inlineStr">
        <is>
          <t>Approved</t>
        </is>
      </c>
      <c r="I489" s="42" t="n">
        <v>46302</v>
      </c>
      <c r="J489" s="41">
        <f>IF(H489="Pending",TODAY()-B489,IF(I489="","",I489-B489))</f>
        <v/>
      </c>
      <c r="K489" s="43" t="inlineStr"/>
    </row>
    <row r="490">
      <c r="A490" s="44" t="inlineStr">
        <is>
          <t>CTP-WIR-GEO-0095</t>
        </is>
      </c>
      <c r="B490" s="45" t="n">
        <v>46300</v>
      </c>
      <c r="C490" s="46" t="inlineStr">
        <is>
          <t>Geotechnical</t>
        </is>
      </c>
      <c r="D490" s="46" t="inlineStr">
        <is>
          <t>Grout injection</t>
        </is>
      </c>
      <c r="E490" s="44" t="inlineStr">
        <is>
          <t>CH 4+776</t>
        </is>
      </c>
      <c r="F490" s="45" t="n">
        <v>46301</v>
      </c>
      <c r="G490" s="46" t="inlineStr">
        <is>
          <t>Eng. Hana Saleh</t>
        </is>
      </c>
      <c r="H490" s="44" t="inlineStr">
        <is>
          <t>Approved</t>
        </is>
      </c>
      <c r="I490" s="45" t="n">
        <v>46303</v>
      </c>
      <c r="J490" s="44">
        <f>IF(H490="Pending",TODAY()-B490,IF(I490="","",I490-B490))</f>
        <v/>
      </c>
      <c r="K490" s="46" t="inlineStr"/>
    </row>
    <row r="491">
      <c r="A491" s="41" t="inlineStr">
        <is>
          <t>CTP-WIR-GEO-0096</t>
        </is>
      </c>
      <c r="B491" s="42" t="n">
        <v>46300</v>
      </c>
      <c r="C491" s="43" t="inlineStr">
        <is>
          <t>Geotechnical</t>
        </is>
      </c>
      <c r="D491" s="43" t="inlineStr">
        <is>
          <t>Rock bolt pull-out test</t>
        </is>
      </c>
      <c r="E491" s="41" t="inlineStr">
        <is>
          <t>CH 4+933</t>
        </is>
      </c>
      <c r="F491" s="42" t="n">
        <v>46301</v>
      </c>
      <c r="G491" s="43" t="inlineStr">
        <is>
          <t>Eng. Sara Nasser</t>
        </is>
      </c>
      <c r="H491" s="41" t="inlineStr">
        <is>
          <t>Approved with Comments</t>
        </is>
      </c>
      <c r="I491" s="42" t="n">
        <v>46302</v>
      </c>
      <c r="J491" s="41">
        <f>IF(H491="Pending",TODAY()-B491,IF(I491="","",I491-B491))</f>
        <v/>
      </c>
      <c r="K491" s="43" t="inlineStr">
        <is>
          <t>Minor comments to close</t>
        </is>
      </c>
    </row>
    <row r="492">
      <c r="A492" s="44" t="inlineStr">
        <is>
          <t>CTP-WIR-MEP-0090</t>
        </is>
      </c>
      <c r="B492" s="45" t="n">
        <v>46300</v>
      </c>
      <c r="C492" s="46" t="inlineStr">
        <is>
          <t>MEP</t>
        </is>
      </c>
      <c r="D492" s="46" t="inlineStr">
        <is>
          <t>Pump station testing</t>
        </is>
      </c>
      <c r="E492" s="44" t="inlineStr">
        <is>
          <t>CH 1+039</t>
        </is>
      </c>
      <c r="F492" s="45" t="n">
        <v>46302</v>
      </c>
      <c r="G492" s="46" t="inlineStr">
        <is>
          <t>Eng. Ali Haddad</t>
        </is>
      </c>
      <c r="H492" s="44" t="inlineStr">
        <is>
          <t>Approved</t>
        </is>
      </c>
      <c r="I492" s="45" t="n">
        <v>46304</v>
      </c>
      <c r="J492" s="44">
        <f>IF(H492="Pending",TODAY()-B492,IF(I492="","",I492-B492))</f>
        <v/>
      </c>
      <c r="K492" s="46" t="inlineStr"/>
    </row>
    <row r="493">
      <c r="A493" s="41" t="inlineStr">
        <is>
          <t>CTP-WIR-MEP-0091</t>
        </is>
      </c>
      <c r="B493" s="42" t="n">
        <v>46300</v>
      </c>
      <c r="C493" s="43" t="inlineStr">
        <is>
          <t>MEP</t>
        </is>
      </c>
      <c r="D493" s="43" t="inlineStr">
        <is>
          <t>Pump station testing</t>
        </is>
      </c>
      <c r="E493" s="41" t="inlineStr">
        <is>
          <t>CH 8+074</t>
        </is>
      </c>
      <c r="F493" s="42" t="n">
        <v>46301</v>
      </c>
      <c r="G493" s="43" t="inlineStr">
        <is>
          <t>Eng. Pedro Alves</t>
        </is>
      </c>
      <c r="H493" s="41" t="inlineStr">
        <is>
          <t>Rejected</t>
        </is>
      </c>
      <c r="I493" s="42" t="n">
        <v>46304</v>
      </c>
      <c r="J493" s="41">
        <f>IF(H493="Pending",TODAY()-B493,IF(I493="","",I493-B493))</f>
        <v/>
      </c>
      <c r="K493" s="43" t="inlineStr">
        <is>
          <t>Re-inspection required</t>
        </is>
      </c>
    </row>
    <row r="494">
      <c r="A494" s="44" t="inlineStr">
        <is>
          <t>CTP-WIR-SUR-0108</t>
        </is>
      </c>
      <c r="B494" s="45" t="n">
        <v>46300</v>
      </c>
      <c r="C494" s="46" t="inlineStr">
        <is>
          <t>Survey</t>
        </is>
      </c>
      <c r="D494" s="46" t="inlineStr">
        <is>
          <t>As-built survey</t>
        </is>
      </c>
      <c r="E494" s="44" t="inlineStr">
        <is>
          <t>CH 3+496</t>
        </is>
      </c>
      <c r="F494" s="45" t="n">
        <v>46302</v>
      </c>
      <c r="G494" s="46" t="inlineStr">
        <is>
          <t>Eng. Sara Nasser</t>
        </is>
      </c>
      <c r="H494" s="44" t="inlineStr">
        <is>
          <t>Approved with Comments</t>
        </is>
      </c>
      <c r="I494" s="45" t="n">
        <v>46302</v>
      </c>
      <c r="J494" s="44">
        <f>IF(H494="Pending",TODAY()-B494,IF(I494="","",I494-B494))</f>
        <v/>
      </c>
      <c r="K494" s="46" t="inlineStr">
        <is>
          <t>Minor comments to close</t>
        </is>
      </c>
    </row>
    <row r="495">
      <c r="A495" s="41" t="inlineStr">
        <is>
          <t>CTP-WIR-TUN-0101</t>
        </is>
      </c>
      <c r="B495" s="42" t="n">
        <v>46300</v>
      </c>
      <c r="C495" s="43" t="inlineStr">
        <is>
          <t>Tunnelling</t>
        </is>
      </c>
      <c r="D495" s="43" t="inlineStr">
        <is>
          <t>Tunnel invert cleaning</t>
        </is>
      </c>
      <c r="E495" s="41" t="inlineStr">
        <is>
          <t>CH 1+202</t>
        </is>
      </c>
      <c r="F495" s="42" t="n">
        <v>46301</v>
      </c>
      <c r="G495" s="43" t="inlineStr">
        <is>
          <t>Eng. Mark Collins</t>
        </is>
      </c>
      <c r="H495" s="41" t="inlineStr">
        <is>
          <t>Approved</t>
        </is>
      </c>
      <c r="I495" s="42" t="n">
        <v>46304</v>
      </c>
      <c r="J495" s="41">
        <f>IF(H495="Pending",TODAY()-B495,IF(I495="","",I495-B495))</f>
        <v/>
      </c>
      <c r="K495" s="43" t="inlineStr"/>
    </row>
    <row r="496">
      <c r="A496" s="44" t="inlineStr">
        <is>
          <t>CTP-WIR-CIV-0096</t>
        </is>
      </c>
      <c r="B496" s="45" t="n">
        <v>46301</v>
      </c>
      <c r="C496" s="46" t="inlineStr">
        <is>
          <t>Civil</t>
        </is>
      </c>
      <c r="D496" s="46" t="inlineStr">
        <is>
          <t>Formwork inspection</t>
        </is>
      </c>
      <c r="E496" s="44" t="inlineStr">
        <is>
          <t>CH 4+051</t>
        </is>
      </c>
      <c r="F496" s="45" t="n">
        <v>46301</v>
      </c>
      <c r="G496" s="46" t="inlineStr">
        <is>
          <t>Eng. Sara Nasser</t>
        </is>
      </c>
      <c r="H496" s="44" t="inlineStr">
        <is>
          <t>Approved</t>
        </is>
      </c>
      <c r="I496" s="45" t="n">
        <v>46302</v>
      </c>
      <c r="J496" s="44">
        <f>IF(H496="Pending",TODAY()-B496,IF(I496="","",I496-B496))</f>
        <v/>
      </c>
      <c r="K496" s="46" t="inlineStr"/>
    </row>
    <row r="497">
      <c r="A497" s="41" t="inlineStr">
        <is>
          <t>CTP-WIR-GEO-0097</t>
        </is>
      </c>
      <c r="B497" s="42" t="n">
        <v>46301</v>
      </c>
      <c r="C497" s="43" t="inlineStr">
        <is>
          <t>Geotechnical</t>
        </is>
      </c>
      <c r="D497" s="43" t="inlineStr">
        <is>
          <t>Rock bolt pull-out test</t>
        </is>
      </c>
      <c r="E497" s="41" t="inlineStr">
        <is>
          <t>CH 9+946</t>
        </is>
      </c>
      <c r="F497" s="42" t="n">
        <v>46301</v>
      </c>
      <c r="G497" s="43" t="inlineStr">
        <is>
          <t>Eng. Ali Haddad</t>
        </is>
      </c>
      <c r="H497" s="41" t="inlineStr">
        <is>
          <t>Approved</t>
        </is>
      </c>
      <c r="I497" s="42" t="n">
        <v>46302</v>
      </c>
      <c r="J497" s="41">
        <f>IF(H497="Pending",TODAY()-B497,IF(I497="","",I497-B497))</f>
        <v/>
      </c>
      <c r="K497" s="43" t="inlineStr"/>
    </row>
    <row r="498">
      <c r="A498" s="44" t="inlineStr">
        <is>
          <t>CTP-WIR-MEP-0092</t>
        </is>
      </c>
      <c r="B498" s="45" t="n">
        <v>46301</v>
      </c>
      <c r="C498" s="46" t="inlineStr">
        <is>
          <t>MEP</t>
        </is>
      </c>
      <c r="D498" s="46" t="inlineStr">
        <is>
          <t>Ventilation duct alignment</t>
        </is>
      </c>
      <c r="E498" s="44" t="inlineStr">
        <is>
          <t>CH 8+115</t>
        </is>
      </c>
      <c r="F498" s="45" t="n">
        <v>46303</v>
      </c>
      <c r="G498" s="46" t="inlineStr">
        <is>
          <t>Eng. Hana Saleh</t>
        </is>
      </c>
      <c r="H498" s="44" t="inlineStr">
        <is>
          <t>Pending</t>
        </is>
      </c>
      <c r="I498" s="45" t="n"/>
      <c r="J498" s="44">
        <f>IF(H498="Pending",TODAY()-B498,IF(I498="","",I498-B498))</f>
        <v/>
      </c>
      <c r="K498" s="46" t="inlineStr"/>
    </row>
    <row r="499">
      <c r="A499" s="41" t="inlineStr">
        <is>
          <t>CTP-WIR-MEP-0093</t>
        </is>
      </c>
      <c r="B499" s="42" t="n">
        <v>46301</v>
      </c>
      <c r="C499" s="43" t="inlineStr">
        <is>
          <t>MEP</t>
        </is>
      </c>
      <c r="D499" s="43" t="inlineStr">
        <is>
          <t>Lighting installation</t>
        </is>
      </c>
      <c r="E499" s="41" t="inlineStr">
        <is>
          <t>CH 9+099</t>
        </is>
      </c>
      <c r="F499" s="42" t="n">
        <v>46303</v>
      </c>
      <c r="G499" s="43" t="inlineStr">
        <is>
          <t>Eng. Mark Collins</t>
        </is>
      </c>
      <c r="H499" s="41" t="inlineStr">
        <is>
          <t>Approved</t>
        </is>
      </c>
      <c r="I499" s="42" t="n">
        <v>46306</v>
      </c>
      <c r="J499" s="41">
        <f>IF(H499="Pending",TODAY()-B499,IF(I499="","",I499-B499))</f>
        <v/>
      </c>
      <c r="K499" s="43" t="inlineStr"/>
    </row>
    <row r="500">
      <c r="A500" s="44" t="inlineStr">
        <is>
          <t>CTP-WIR-SUR-0109</t>
        </is>
      </c>
      <c r="B500" s="45" t="n">
        <v>46301</v>
      </c>
      <c r="C500" s="46" t="inlineStr">
        <is>
          <t>Survey</t>
        </is>
      </c>
      <c r="D500" s="46" t="inlineStr">
        <is>
          <t>Setting-out check</t>
        </is>
      </c>
      <c r="E500" s="44" t="inlineStr">
        <is>
          <t>CH 2+368</t>
        </is>
      </c>
      <c r="F500" s="45" t="n">
        <v>46302</v>
      </c>
      <c r="G500" s="46" t="inlineStr">
        <is>
          <t>Eng. Ali Haddad</t>
        </is>
      </c>
      <c r="H500" s="44" t="inlineStr">
        <is>
          <t>Pending</t>
        </is>
      </c>
      <c r="I500" s="45" t="n"/>
      <c r="J500" s="44">
        <f>IF(H500="Pending",TODAY()-B500,IF(I500="","",I500-B500))</f>
        <v/>
      </c>
      <c r="K500" s="46" t="inlineStr"/>
    </row>
    <row r="501">
      <c r="A501" s="41" t="inlineStr">
        <is>
          <t>CTP-WIR-TUN-0102</t>
        </is>
      </c>
      <c r="B501" s="42" t="n">
        <v>46301</v>
      </c>
      <c r="C501" s="43" t="inlineStr">
        <is>
          <t>Tunnelling</t>
        </is>
      </c>
      <c r="D501" s="43" t="inlineStr">
        <is>
          <t>Annulus grouting</t>
        </is>
      </c>
      <c r="E501" s="41" t="inlineStr">
        <is>
          <t>CH 1+806</t>
        </is>
      </c>
      <c r="F501" s="42" t="n">
        <v>46303</v>
      </c>
      <c r="G501" s="43" t="inlineStr">
        <is>
          <t>Eng. Ali Haddad</t>
        </is>
      </c>
      <c r="H501" s="41" t="inlineStr">
        <is>
          <t>Approved with Comments</t>
        </is>
      </c>
      <c r="I501" s="42" t="n">
        <v>46304</v>
      </c>
      <c r="J501" s="41">
        <f>IF(H501="Pending",TODAY()-B501,IF(I501="","",I501-B501))</f>
        <v/>
      </c>
      <c r="K501" s="43" t="inlineStr">
        <is>
          <t>Minor comments to close</t>
        </is>
      </c>
    </row>
    <row r="502">
      <c r="A502" s="44" t="inlineStr">
        <is>
          <t>CTP-WIR-GEO-0098</t>
        </is>
      </c>
      <c r="B502" s="45" t="n">
        <v>46302</v>
      </c>
      <c r="C502" s="46" t="inlineStr">
        <is>
          <t>Geotechnical</t>
        </is>
      </c>
      <c r="D502" s="46" t="inlineStr">
        <is>
          <t>Grout injection</t>
        </is>
      </c>
      <c r="E502" s="44" t="inlineStr">
        <is>
          <t>CH 3+119</t>
        </is>
      </c>
      <c r="F502" s="45" t="n">
        <v>46304</v>
      </c>
      <c r="G502" s="46" t="inlineStr">
        <is>
          <t>Eng. Pedro Alves</t>
        </is>
      </c>
      <c r="H502" s="44" t="inlineStr">
        <is>
          <t>Approved</t>
        </is>
      </c>
      <c r="I502" s="45" t="n">
        <v>46304</v>
      </c>
      <c r="J502" s="44">
        <f>IF(H502="Pending",TODAY()-B502,IF(I502="","",I502-B502))</f>
        <v/>
      </c>
      <c r="K502" s="46" t="inlineStr"/>
    </row>
    <row r="503">
      <c r="A503" s="41" t="inlineStr">
        <is>
          <t>CTP-WIR-MEP-0094</t>
        </is>
      </c>
      <c r="B503" s="42" t="n">
        <v>46302</v>
      </c>
      <c r="C503" s="43" t="inlineStr">
        <is>
          <t>MEP</t>
        </is>
      </c>
      <c r="D503" s="43" t="inlineStr">
        <is>
          <t>Ventilation duct alignment</t>
        </is>
      </c>
      <c r="E503" s="41" t="inlineStr">
        <is>
          <t>CH 3+744</t>
        </is>
      </c>
      <c r="F503" s="42" t="n">
        <v>46303</v>
      </c>
      <c r="G503" s="43" t="inlineStr">
        <is>
          <t>Eng. Ali Haddad</t>
        </is>
      </c>
      <c r="H503" s="41" t="inlineStr">
        <is>
          <t>Approved</t>
        </is>
      </c>
      <c r="I503" s="42" t="n">
        <v>46304</v>
      </c>
      <c r="J503" s="41">
        <f>IF(H503="Pending",TODAY()-B503,IF(I503="","",I503-B503))</f>
        <v/>
      </c>
      <c r="K503" s="43" t="inlineStr"/>
    </row>
    <row r="504">
      <c r="A504" s="44" t="inlineStr">
        <is>
          <t>CTP-WIR-MEP-0095</t>
        </is>
      </c>
      <c r="B504" s="45" t="n">
        <v>46302</v>
      </c>
      <c r="C504" s="46" t="inlineStr">
        <is>
          <t>MEP</t>
        </is>
      </c>
      <c r="D504" s="46" t="inlineStr">
        <is>
          <t>Ventilation duct alignment</t>
        </is>
      </c>
      <c r="E504" s="44" t="inlineStr">
        <is>
          <t>CH 0+500</t>
        </is>
      </c>
      <c r="F504" s="45" t="n">
        <v>46302</v>
      </c>
      <c r="G504" s="46" t="inlineStr">
        <is>
          <t>Eng. Mark Collins</t>
        </is>
      </c>
      <c r="H504" s="44" t="inlineStr">
        <is>
          <t>Pending</t>
        </is>
      </c>
      <c r="I504" s="45" t="n"/>
      <c r="J504" s="44">
        <f>IF(H504="Pending",TODAY()-B504,IF(I504="","",I504-B504))</f>
        <v/>
      </c>
      <c r="K504" s="46" t="inlineStr"/>
    </row>
    <row r="505">
      <c r="A505" s="41" t="inlineStr">
        <is>
          <t>CTP-WIR-MEP-0096</t>
        </is>
      </c>
      <c r="B505" s="42" t="n">
        <v>46302</v>
      </c>
      <c r="C505" s="43" t="inlineStr">
        <is>
          <t>MEP</t>
        </is>
      </c>
      <c r="D505" s="43" t="inlineStr">
        <is>
          <t>Lighting installation</t>
        </is>
      </c>
      <c r="E505" s="41" t="inlineStr">
        <is>
          <t>CH 0+434</t>
        </is>
      </c>
      <c r="F505" s="42" t="n">
        <v>46302</v>
      </c>
      <c r="G505" s="43" t="inlineStr">
        <is>
          <t>Eng. Hana Saleh</t>
        </is>
      </c>
      <c r="H505" s="41" t="inlineStr">
        <is>
          <t>Approved</t>
        </is>
      </c>
      <c r="I505" s="42" t="n">
        <v>46303</v>
      </c>
      <c r="J505" s="41">
        <f>IF(H505="Pending",TODAY()-B505,IF(I505="","",I505-B505))</f>
        <v/>
      </c>
      <c r="K505" s="43" t="inlineStr"/>
    </row>
    <row r="506">
      <c r="A506" s="44" t="inlineStr">
        <is>
          <t>CTP-WIR-SUR-0110</t>
        </is>
      </c>
      <c r="B506" s="45" t="n">
        <v>46302</v>
      </c>
      <c r="C506" s="46" t="inlineStr">
        <is>
          <t>Survey</t>
        </is>
      </c>
      <c r="D506" s="46" t="inlineStr">
        <is>
          <t>Setting-out check</t>
        </is>
      </c>
      <c r="E506" s="44" t="inlineStr">
        <is>
          <t>CH 3+239</t>
        </is>
      </c>
      <c r="F506" s="45" t="n">
        <v>46303</v>
      </c>
      <c r="G506" s="46" t="inlineStr">
        <is>
          <t>Eng. Hana Saleh</t>
        </is>
      </c>
      <c r="H506" s="44" t="inlineStr">
        <is>
          <t>Approved</t>
        </is>
      </c>
      <c r="I506" s="45" t="n">
        <v>46306</v>
      </c>
      <c r="J506" s="44">
        <f>IF(H506="Pending",TODAY()-B506,IF(I506="","",I506-B506))</f>
        <v/>
      </c>
      <c r="K506" s="46" t="inlineStr"/>
    </row>
    <row r="507">
      <c r="A507" s="41" t="inlineStr">
        <is>
          <t>CTP-WIR-TUN-0103</t>
        </is>
      </c>
      <c r="B507" s="42" t="n">
        <v>46302</v>
      </c>
      <c r="C507" s="43" t="inlineStr">
        <is>
          <t>Tunnelling</t>
        </is>
      </c>
      <c r="D507" s="43" t="inlineStr">
        <is>
          <t>Annulus grouting</t>
        </is>
      </c>
      <c r="E507" s="41" t="inlineStr">
        <is>
          <t>CH 0+518</t>
        </is>
      </c>
      <c r="F507" s="42" t="n">
        <v>46303</v>
      </c>
      <c r="G507" s="43" t="inlineStr">
        <is>
          <t>Eng. Sara Nasser</t>
        </is>
      </c>
      <c r="H507" s="41" t="inlineStr">
        <is>
          <t>Approved</t>
        </is>
      </c>
      <c r="I507" s="42" t="n">
        <v>46306</v>
      </c>
      <c r="J507" s="41">
        <f>IF(H507="Pending",TODAY()-B507,IF(I507="","",I507-B507))</f>
        <v/>
      </c>
      <c r="K507" s="43" t="inlineStr"/>
    </row>
    <row r="508">
      <c r="A508" s="44" t="inlineStr">
        <is>
          <t>CTP-WIR-CIV-0097</t>
        </is>
      </c>
      <c r="B508" s="45" t="n">
        <v>46303</v>
      </c>
      <c r="C508" s="46" t="inlineStr">
        <is>
          <t>Civil</t>
        </is>
      </c>
      <c r="D508" s="46" t="inlineStr">
        <is>
          <t>Formwork inspection</t>
        </is>
      </c>
      <c r="E508" s="44" t="inlineStr">
        <is>
          <t>CH 2+751</t>
        </is>
      </c>
      <c r="F508" s="45" t="n">
        <v>46305</v>
      </c>
      <c r="G508" s="46" t="inlineStr">
        <is>
          <t>Eng. Mark Collins</t>
        </is>
      </c>
      <c r="H508" s="44" t="inlineStr">
        <is>
          <t>Approved</t>
        </is>
      </c>
      <c r="I508" s="45" t="n">
        <v>46306</v>
      </c>
      <c r="J508" s="44">
        <f>IF(H508="Pending",TODAY()-B508,IF(I508="","",I508-B508))</f>
        <v/>
      </c>
      <c r="K508" s="46" t="inlineStr"/>
    </row>
    <row r="509">
      <c r="A509" s="41" t="inlineStr">
        <is>
          <t>CTP-WIR-GEO-0099</t>
        </is>
      </c>
      <c r="B509" s="42" t="n">
        <v>46303</v>
      </c>
      <c r="C509" s="43" t="inlineStr">
        <is>
          <t>Geotechnical</t>
        </is>
      </c>
      <c r="D509" s="43" t="inlineStr">
        <is>
          <t>Grout injection</t>
        </is>
      </c>
      <c r="E509" s="41" t="inlineStr">
        <is>
          <t>CH 1+042</t>
        </is>
      </c>
      <c r="F509" s="42" t="n">
        <v>46303</v>
      </c>
      <c r="G509" s="43" t="inlineStr">
        <is>
          <t>Eng. Hana Saleh</t>
        </is>
      </c>
      <c r="H509" s="41" t="inlineStr">
        <is>
          <t>Approved</t>
        </is>
      </c>
      <c r="I509" s="42" t="n">
        <v>46304</v>
      </c>
      <c r="J509" s="41">
        <f>IF(H509="Pending",TODAY()-B509,IF(I509="","",I509-B509))</f>
        <v/>
      </c>
      <c r="K509" s="43" t="inlineStr"/>
    </row>
    <row r="510">
      <c r="A510" s="44" t="inlineStr">
        <is>
          <t>CTP-WIR-GEO-0100</t>
        </is>
      </c>
      <c r="B510" s="45" t="n">
        <v>46303</v>
      </c>
      <c r="C510" s="46" t="inlineStr">
        <is>
          <t>Geotechnical</t>
        </is>
      </c>
      <c r="D510" s="46" t="inlineStr">
        <is>
          <t>Grout injection</t>
        </is>
      </c>
      <c r="E510" s="44" t="inlineStr">
        <is>
          <t>CH 9+942</t>
        </is>
      </c>
      <c r="F510" s="45" t="n">
        <v>46304</v>
      </c>
      <c r="G510" s="46" t="inlineStr">
        <is>
          <t>Eng. Ali Haddad</t>
        </is>
      </c>
      <c r="H510" s="44" t="inlineStr">
        <is>
          <t>Approved</t>
        </is>
      </c>
      <c r="I510" s="45" t="n">
        <v>46306</v>
      </c>
      <c r="J510" s="44">
        <f>IF(H510="Pending",TODAY()-B510,IF(I510="","",I510-B510))</f>
        <v/>
      </c>
      <c r="K510" s="46" t="inlineStr"/>
    </row>
    <row r="511">
      <c r="A511" s="41" t="inlineStr">
        <is>
          <t>CTP-WIR-MEP-0097</t>
        </is>
      </c>
      <c r="B511" s="42" t="n">
        <v>46303</v>
      </c>
      <c r="C511" s="43" t="inlineStr">
        <is>
          <t>MEP</t>
        </is>
      </c>
      <c r="D511" s="43" t="inlineStr">
        <is>
          <t>Ventilation duct alignment</t>
        </is>
      </c>
      <c r="E511" s="41" t="inlineStr">
        <is>
          <t>CH 5+596</t>
        </is>
      </c>
      <c r="F511" s="42" t="n">
        <v>46303</v>
      </c>
      <c r="G511" s="43" t="inlineStr">
        <is>
          <t>Eng. Pedro Alves</t>
        </is>
      </c>
      <c r="H511" s="41" t="inlineStr">
        <is>
          <t>Approved with Comments</t>
        </is>
      </c>
      <c r="I511" s="42" t="n">
        <v>46303</v>
      </c>
      <c r="J511" s="41">
        <f>IF(H511="Pending",TODAY()-B511,IF(I511="","",I511-B511))</f>
        <v/>
      </c>
      <c r="K511" s="43" t="inlineStr">
        <is>
          <t>Minor comments to close</t>
        </is>
      </c>
    </row>
    <row r="512">
      <c r="A512" s="44" t="inlineStr">
        <is>
          <t>CTP-WIR-MEP-0098</t>
        </is>
      </c>
      <c r="B512" s="45" t="n">
        <v>46303</v>
      </c>
      <c r="C512" s="46" t="inlineStr">
        <is>
          <t>MEP</t>
        </is>
      </c>
      <c r="D512" s="46" t="inlineStr">
        <is>
          <t>Cable tray installation</t>
        </is>
      </c>
      <c r="E512" s="44" t="inlineStr">
        <is>
          <t>CH 4+926</t>
        </is>
      </c>
      <c r="F512" s="45" t="n">
        <v>46305</v>
      </c>
      <c r="G512" s="46" t="inlineStr">
        <is>
          <t>Eng. Pedro Alves</t>
        </is>
      </c>
      <c r="H512" s="44" t="inlineStr">
        <is>
          <t>Pending</t>
        </is>
      </c>
      <c r="I512" s="45" t="n"/>
      <c r="J512" s="44">
        <f>IF(H512="Pending",TODAY()-B512,IF(I512="","",I512-B512))</f>
        <v/>
      </c>
      <c r="K512" s="46" t="inlineStr"/>
    </row>
    <row r="513">
      <c r="A513" s="41" t="inlineStr">
        <is>
          <t>CTP-WIR-SUR-0111</t>
        </is>
      </c>
      <c r="B513" s="42" t="n">
        <v>46303</v>
      </c>
      <c r="C513" s="43" t="inlineStr">
        <is>
          <t>Survey</t>
        </is>
      </c>
      <c r="D513" s="43" t="inlineStr">
        <is>
          <t>Tunnel alignment survey</t>
        </is>
      </c>
      <c r="E513" s="41" t="inlineStr">
        <is>
          <t>CH 4+765</t>
        </is>
      </c>
      <c r="F513" s="42" t="n">
        <v>46304</v>
      </c>
      <c r="G513" s="43" t="inlineStr">
        <is>
          <t>Eng. Ali Haddad</t>
        </is>
      </c>
      <c r="H513" s="41" t="inlineStr">
        <is>
          <t>Approved with Comments</t>
        </is>
      </c>
      <c r="I513" s="42" t="n">
        <v>46307</v>
      </c>
      <c r="J513" s="41">
        <f>IF(H513="Pending",TODAY()-B513,IF(I513="","",I513-B513))</f>
        <v/>
      </c>
      <c r="K513" s="43" t="inlineStr">
        <is>
          <t>Minor comments to close</t>
        </is>
      </c>
    </row>
    <row r="514">
      <c r="A514" s="44" t="inlineStr">
        <is>
          <t>CTP-WIR-SUR-0112</t>
        </is>
      </c>
      <c r="B514" s="45" t="n">
        <v>46303</v>
      </c>
      <c r="C514" s="46" t="inlineStr">
        <is>
          <t>Survey</t>
        </is>
      </c>
      <c r="D514" s="46" t="inlineStr">
        <is>
          <t>Settlement monitoring</t>
        </is>
      </c>
      <c r="E514" s="44" t="inlineStr">
        <is>
          <t>CH 3+601</t>
        </is>
      </c>
      <c r="F514" s="45" t="n">
        <v>46304</v>
      </c>
      <c r="G514" s="46" t="inlineStr">
        <is>
          <t>Eng. Hana Saleh</t>
        </is>
      </c>
      <c r="H514" s="44" t="inlineStr">
        <is>
          <t>Approved with Comments</t>
        </is>
      </c>
      <c r="I514" s="45" t="n">
        <v>46305</v>
      </c>
      <c r="J514" s="44">
        <f>IF(H514="Pending",TODAY()-B514,IF(I514="","",I514-B514))</f>
        <v/>
      </c>
      <c r="K514" s="46" t="inlineStr">
        <is>
          <t>Minor comments to close</t>
        </is>
      </c>
    </row>
    <row r="515">
      <c r="A515" s="41" t="inlineStr">
        <is>
          <t>CTP-WIR-TUN-0104</t>
        </is>
      </c>
      <c r="B515" s="42" t="n">
        <v>46303</v>
      </c>
      <c r="C515" s="43" t="inlineStr">
        <is>
          <t>Tunnelling</t>
        </is>
      </c>
      <c r="D515" s="43" t="inlineStr">
        <is>
          <t>Tunnel invert cleaning</t>
        </is>
      </c>
      <c r="E515" s="41" t="inlineStr">
        <is>
          <t>CH 1+002</t>
        </is>
      </c>
      <c r="F515" s="42" t="n">
        <v>46304</v>
      </c>
      <c r="G515" s="43" t="inlineStr">
        <is>
          <t>Eng. Ali Haddad</t>
        </is>
      </c>
      <c r="H515" s="41" t="inlineStr">
        <is>
          <t>Rejected</t>
        </is>
      </c>
      <c r="I515" s="42" t="n">
        <v>46305</v>
      </c>
      <c r="J515" s="41">
        <f>IF(H515="Pending",TODAY()-B515,IF(I515="","",I515-B515))</f>
        <v/>
      </c>
      <c r="K515" s="43" t="inlineStr">
        <is>
          <t>Re-inspection required</t>
        </is>
      </c>
    </row>
    <row r="516">
      <c r="A516" s="44" t="inlineStr">
        <is>
          <t>CTP-WIR-TUN-0105</t>
        </is>
      </c>
      <c r="B516" s="45" t="n">
        <v>46303</v>
      </c>
      <c r="C516" s="46" t="inlineStr">
        <is>
          <t>Tunnelling</t>
        </is>
      </c>
      <c r="D516" s="46" t="inlineStr">
        <is>
          <t>Segment ring build</t>
        </is>
      </c>
      <c r="E516" s="44" t="inlineStr">
        <is>
          <t>CH 9+651</t>
        </is>
      </c>
      <c r="F516" s="45" t="n">
        <v>46305</v>
      </c>
      <c r="G516" s="46" t="inlineStr">
        <is>
          <t>Eng. Mark Collins</t>
        </is>
      </c>
      <c r="H516" s="44" t="inlineStr">
        <is>
          <t>Approved</t>
        </is>
      </c>
      <c r="I516" s="45" t="n">
        <v>46305</v>
      </c>
      <c r="J516" s="44">
        <f>IF(H516="Pending",TODAY()-B516,IF(I516="","",I516-B516))</f>
        <v/>
      </c>
      <c r="K516" s="46" t="inlineStr"/>
    </row>
    <row r="517">
      <c r="A517" s="41" t="inlineStr">
        <is>
          <t>CTP-WIR-CIV-0098</t>
        </is>
      </c>
      <c r="B517" s="42" t="n">
        <v>46305</v>
      </c>
      <c r="C517" s="43" t="inlineStr">
        <is>
          <t>Civil</t>
        </is>
      </c>
      <c r="D517" s="43" t="inlineStr">
        <is>
          <t>Rebar inspection before concrete</t>
        </is>
      </c>
      <c r="E517" s="41" t="inlineStr">
        <is>
          <t>CH 6+415</t>
        </is>
      </c>
      <c r="F517" s="42" t="n">
        <v>46305</v>
      </c>
      <c r="G517" s="43" t="inlineStr">
        <is>
          <t>Eng. Mark Collins</t>
        </is>
      </c>
      <c r="H517" s="41" t="inlineStr">
        <is>
          <t>Approved with Comments</t>
        </is>
      </c>
      <c r="I517" s="42" t="n">
        <v>46306</v>
      </c>
      <c r="J517" s="41">
        <f>IF(H517="Pending",TODAY()-B517,IF(I517="","",I517-B517))</f>
        <v/>
      </c>
      <c r="K517" s="43" t="inlineStr">
        <is>
          <t>Minor comments to close</t>
        </is>
      </c>
    </row>
    <row r="518">
      <c r="A518" s="44" t="inlineStr">
        <is>
          <t>CTP-WIR-SUR-0113</t>
        </is>
      </c>
      <c r="B518" s="45" t="n">
        <v>46305</v>
      </c>
      <c r="C518" s="46" t="inlineStr">
        <is>
          <t>Survey</t>
        </is>
      </c>
      <c r="D518" s="46" t="inlineStr">
        <is>
          <t>As-built survey</t>
        </is>
      </c>
      <c r="E518" s="44" t="inlineStr">
        <is>
          <t>CH 0+299</t>
        </is>
      </c>
      <c r="F518" s="45" t="n">
        <v>46305</v>
      </c>
      <c r="G518" s="46" t="inlineStr">
        <is>
          <t>Eng. Ali Haddad</t>
        </is>
      </c>
      <c r="H518" s="44" t="inlineStr">
        <is>
          <t>Approved with Comments</t>
        </is>
      </c>
      <c r="I518" s="45" t="n">
        <v>46308</v>
      </c>
      <c r="J518" s="44">
        <f>IF(H518="Pending",TODAY()-B518,IF(I518="","",I518-B518))</f>
        <v/>
      </c>
      <c r="K518" s="46" t="inlineStr">
        <is>
          <t>Minor comments to close</t>
        </is>
      </c>
    </row>
    <row r="519">
      <c r="A519" s="41" t="inlineStr">
        <is>
          <t>CTP-WIR-TUN-0106</t>
        </is>
      </c>
      <c r="B519" s="42" t="n">
        <v>46305</v>
      </c>
      <c r="C519" s="43" t="inlineStr">
        <is>
          <t>Tunnelling</t>
        </is>
      </c>
      <c r="D519" s="43" t="inlineStr">
        <is>
          <t>Annulus grouting</t>
        </is>
      </c>
      <c r="E519" s="41" t="inlineStr">
        <is>
          <t>CH 4+004</t>
        </is>
      </c>
      <c r="F519" s="42" t="n">
        <v>46306</v>
      </c>
      <c r="G519" s="43" t="inlineStr">
        <is>
          <t>Eng. Pedro Alves</t>
        </is>
      </c>
      <c r="H519" s="41" t="inlineStr">
        <is>
          <t>Rejected</t>
        </is>
      </c>
      <c r="I519" s="42" t="n">
        <v>46308</v>
      </c>
      <c r="J519" s="41">
        <f>IF(H519="Pending",TODAY()-B519,IF(I519="","",I519-B519))</f>
        <v/>
      </c>
      <c r="K519" s="43" t="inlineStr">
        <is>
          <t>Re-inspection required</t>
        </is>
      </c>
    </row>
    <row r="520">
      <c r="A520" s="44" t="inlineStr">
        <is>
          <t>CTP-WIR-TUN-0107</t>
        </is>
      </c>
      <c r="B520" s="45" t="n">
        <v>46305</v>
      </c>
      <c r="C520" s="46" t="inlineStr">
        <is>
          <t>Tunnelling</t>
        </is>
      </c>
      <c r="D520" s="46" t="inlineStr">
        <is>
          <t>Annulus grouting</t>
        </is>
      </c>
      <c r="E520" s="44" t="inlineStr">
        <is>
          <t>CH 6+420</t>
        </is>
      </c>
      <c r="F520" s="45" t="n">
        <v>46305</v>
      </c>
      <c r="G520" s="46" t="inlineStr">
        <is>
          <t>Eng. Pedro Alves</t>
        </is>
      </c>
      <c r="H520" s="44" t="inlineStr">
        <is>
          <t>Approved with Comments</t>
        </is>
      </c>
      <c r="I520" s="45" t="n">
        <v>46307</v>
      </c>
      <c r="J520" s="44">
        <f>IF(H520="Pending",TODAY()-B520,IF(I520="","",I520-B520))</f>
        <v/>
      </c>
      <c r="K520" s="46" t="inlineStr">
        <is>
          <t>Minor comments to close</t>
        </is>
      </c>
    </row>
    <row r="521">
      <c r="A521" s="41" t="inlineStr">
        <is>
          <t>CTP-WIR-CIV-0099</t>
        </is>
      </c>
      <c r="B521" s="42" t="n">
        <v>46306</v>
      </c>
      <c r="C521" s="43" t="inlineStr">
        <is>
          <t>Civil</t>
        </is>
      </c>
      <c r="D521" s="43" t="inlineStr">
        <is>
          <t>Rebar inspection before concrete</t>
        </is>
      </c>
      <c r="E521" s="41" t="inlineStr">
        <is>
          <t>CH 8+009</t>
        </is>
      </c>
      <c r="F521" s="42" t="n">
        <v>46307</v>
      </c>
      <c r="G521" s="43" t="inlineStr">
        <is>
          <t>Eng. Mark Collins</t>
        </is>
      </c>
      <c r="H521" s="41" t="inlineStr">
        <is>
          <t>Rejected</t>
        </is>
      </c>
      <c r="I521" s="42" t="n">
        <v>46309</v>
      </c>
      <c r="J521" s="41">
        <f>IF(H521="Pending",TODAY()-B521,IF(I521="","",I521-B521))</f>
        <v/>
      </c>
      <c r="K521" s="43" t="inlineStr">
        <is>
          <t>Re-inspection required</t>
        </is>
      </c>
    </row>
    <row r="522">
      <c r="A522" s="44" t="inlineStr">
        <is>
          <t>CTP-WIR-CIV-0100</t>
        </is>
      </c>
      <c r="B522" s="45" t="n">
        <v>46306</v>
      </c>
      <c r="C522" s="46" t="inlineStr">
        <is>
          <t>Civil</t>
        </is>
      </c>
      <c r="D522" s="46" t="inlineStr">
        <is>
          <t>Rebar inspection before concrete</t>
        </is>
      </c>
      <c r="E522" s="44" t="inlineStr">
        <is>
          <t>CH 5+692</t>
        </is>
      </c>
      <c r="F522" s="45" t="n">
        <v>46306</v>
      </c>
      <c r="G522" s="46" t="inlineStr">
        <is>
          <t>Eng. Hana Saleh</t>
        </is>
      </c>
      <c r="H522" s="44" t="inlineStr">
        <is>
          <t>Approved</t>
        </is>
      </c>
      <c r="I522" s="45" t="n">
        <v>46307</v>
      </c>
      <c r="J522" s="44">
        <f>IF(H522="Pending",TODAY()-B522,IF(I522="","",I522-B522))</f>
        <v/>
      </c>
      <c r="K522" s="46" t="inlineStr"/>
    </row>
    <row r="523">
      <c r="A523" s="41" t="inlineStr">
        <is>
          <t>CTP-WIR-CIV-0101</t>
        </is>
      </c>
      <c r="B523" s="42" t="n">
        <v>46306</v>
      </c>
      <c r="C523" s="43" t="inlineStr">
        <is>
          <t>Civil</t>
        </is>
      </c>
      <c r="D523" s="43" t="inlineStr">
        <is>
          <t>Backfilling &amp; compaction</t>
        </is>
      </c>
      <c r="E523" s="41" t="inlineStr">
        <is>
          <t>CH 4+682</t>
        </is>
      </c>
      <c r="F523" s="42" t="n">
        <v>46308</v>
      </c>
      <c r="G523" s="43" t="inlineStr">
        <is>
          <t>Eng. Ali Haddad</t>
        </is>
      </c>
      <c r="H523" s="41" t="inlineStr">
        <is>
          <t>Pending</t>
        </is>
      </c>
      <c r="I523" s="42" t="n"/>
      <c r="J523" s="41">
        <f>IF(H523="Pending",TODAY()-B523,IF(I523="","",I523-B523))</f>
        <v/>
      </c>
      <c r="K523" s="43" t="inlineStr"/>
    </row>
    <row r="524">
      <c r="A524" s="44" t="inlineStr">
        <is>
          <t>CTP-WIR-GEO-0101</t>
        </is>
      </c>
      <c r="B524" s="45" t="n">
        <v>46306</v>
      </c>
      <c r="C524" s="46" t="inlineStr">
        <is>
          <t>Geotechnical</t>
        </is>
      </c>
      <c r="D524" s="46" t="inlineStr">
        <is>
          <t>Grout injection</t>
        </is>
      </c>
      <c r="E524" s="44" t="inlineStr">
        <is>
          <t>CH 3+123</t>
        </is>
      </c>
      <c r="F524" s="45" t="n">
        <v>46307</v>
      </c>
      <c r="G524" s="46" t="inlineStr">
        <is>
          <t>Eng. Ali Haddad</t>
        </is>
      </c>
      <c r="H524" s="44" t="inlineStr">
        <is>
          <t>Approved</t>
        </is>
      </c>
      <c r="I524" s="45" t="n">
        <v>46309</v>
      </c>
      <c r="J524" s="44">
        <f>IF(H524="Pending",TODAY()-B524,IF(I524="","",I524-B524))</f>
        <v/>
      </c>
      <c r="K524" s="46" t="inlineStr"/>
    </row>
    <row r="525">
      <c r="A525" s="41" t="inlineStr">
        <is>
          <t>CTP-WIR-GEO-0102</t>
        </is>
      </c>
      <c r="B525" s="42" t="n">
        <v>46306</v>
      </c>
      <c r="C525" s="43" t="inlineStr">
        <is>
          <t>Geotechnical</t>
        </is>
      </c>
      <c r="D525" s="43" t="inlineStr">
        <is>
          <t>Grout injection</t>
        </is>
      </c>
      <c r="E525" s="41" t="inlineStr">
        <is>
          <t>CH 5+980</t>
        </is>
      </c>
      <c r="F525" s="42" t="n">
        <v>46308</v>
      </c>
      <c r="G525" s="43" t="inlineStr">
        <is>
          <t>Eng. Sara Nasser</t>
        </is>
      </c>
      <c r="H525" s="41" t="inlineStr">
        <is>
          <t>Approved</t>
        </is>
      </c>
      <c r="I525" s="42" t="n">
        <v>46309</v>
      </c>
      <c r="J525" s="41">
        <f>IF(H525="Pending",TODAY()-B525,IF(I525="","",I525-B525))</f>
        <v/>
      </c>
      <c r="K525" s="43" t="inlineStr"/>
    </row>
    <row r="526">
      <c r="A526" s="44" t="inlineStr">
        <is>
          <t>CTP-WIR-GEO-0103</t>
        </is>
      </c>
      <c r="B526" s="45" t="n">
        <v>46306</v>
      </c>
      <c r="C526" s="46" t="inlineStr">
        <is>
          <t>Geotechnical</t>
        </is>
      </c>
      <c r="D526" s="46" t="inlineStr">
        <is>
          <t>Ground anchor installation</t>
        </is>
      </c>
      <c r="E526" s="44" t="inlineStr">
        <is>
          <t>CH 6+315</t>
        </is>
      </c>
      <c r="F526" s="45" t="n">
        <v>46307</v>
      </c>
      <c r="G526" s="46" t="inlineStr">
        <is>
          <t>Eng. Sara Nasser</t>
        </is>
      </c>
      <c r="H526" s="44" t="inlineStr">
        <is>
          <t>Approved with Comments</t>
        </is>
      </c>
      <c r="I526" s="45" t="n">
        <v>46309</v>
      </c>
      <c r="J526" s="44">
        <f>IF(H526="Pending",TODAY()-B526,IF(I526="","",I526-B526))</f>
        <v/>
      </c>
      <c r="K526" s="46" t="inlineStr">
        <is>
          <t>Minor comments to close</t>
        </is>
      </c>
    </row>
    <row r="527">
      <c r="A527" s="41" t="inlineStr">
        <is>
          <t>CTP-WIR-MEP-0099</t>
        </is>
      </c>
      <c r="B527" s="42" t="n">
        <v>46306</v>
      </c>
      <c r="C527" s="43" t="inlineStr">
        <is>
          <t>MEP</t>
        </is>
      </c>
      <c r="D527" s="43" t="inlineStr">
        <is>
          <t>Cable tray installation</t>
        </is>
      </c>
      <c r="E527" s="41" t="inlineStr">
        <is>
          <t>CH 0+058</t>
        </is>
      </c>
      <c r="F527" s="42" t="n">
        <v>46306</v>
      </c>
      <c r="G527" s="43" t="inlineStr">
        <is>
          <t>Eng. Hana Saleh</t>
        </is>
      </c>
      <c r="H527" s="41" t="inlineStr">
        <is>
          <t>Approved</t>
        </is>
      </c>
      <c r="I527" s="42" t="n">
        <v>46307</v>
      </c>
      <c r="J527" s="41">
        <f>IF(H527="Pending",TODAY()-B527,IF(I527="","",I527-B527))</f>
        <v/>
      </c>
      <c r="K527" s="43" t="inlineStr"/>
    </row>
    <row r="528">
      <c r="A528" s="44" t="inlineStr">
        <is>
          <t>CTP-WIR-MEP-0100</t>
        </is>
      </c>
      <c r="B528" s="45" t="n">
        <v>46306</v>
      </c>
      <c r="C528" s="46" t="inlineStr">
        <is>
          <t>MEP</t>
        </is>
      </c>
      <c r="D528" s="46" t="inlineStr">
        <is>
          <t>Lighting installation</t>
        </is>
      </c>
      <c r="E528" s="44" t="inlineStr">
        <is>
          <t>CH 9+767</t>
        </is>
      </c>
      <c r="F528" s="45" t="n">
        <v>46308</v>
      </c>
      <c r="G528" s="46" t="inlineStr">
        <is>
          <t>Eng. Ali Haddad</t>
        </is>
      </c>
      <c r="H528" s="44" t="inlineStr">
        <is>
          <t>Approved with Comments</t>
        </is>
      </c>
      <c r="I528" s="45" t="n">
        <v>46309</v>
      </c>
      <c r="J528" s="44">
        <f>IF(H528="Pending",TODAY()-B528,IF(I528="","",I528-B528))</f>
        <v/>
      </c>
      <c r="K528" s="46" t="inlineStr">
        <is>
          <t>Minor comments to close</t>
        </is>
      </c>
    </row>
    <row r="529">
      <c r="A529" s="41" t="inlineStr">
        <is>
          <t>CTP-WIR-SUR-0114</t>
        </is>
      </c>
      <c r="B529" s="42" t="n">
        <v>46306</v>
      </c>
      <c r="C529" s="43" t="inlineStr">
        <is>
          <t>Survey</t>
        </is>
      </c>
      <c r="D529" s="43" t="inlineStr">
        <is>
          <t>Setting-out check</t>
        </is>
      </c>
      <c r="E529" s="41" t="inlineStr">
        <is>
          <t>CH 4+147</t>
        </is>
      </c>
      <c r="F529" s="42" t="n">
        <v>46308</v>
      </c>
      <c r="G529" s="43" t="inlineStr">
        <is>
          <t>Eng. Hana Saleh</t>
        </is>
      </c>
      <c r="H529" s="41" t="inlineStr">
        <is>
          <t>Pending</t>
        </is>
      </c>
      <c r="I529" s="42" t="n"/>
      <c r="J529" s="41">
        <f>IF(H529="Pending",TODAY()-B529,IF(I529="","",I529-B529))</f>
        <v/>
      </c>
      <c r="K529" s="43" t="inlineStr"/>
    </row>
    <row r="530">
      <c r="A530" s="44" t="inlineStr">
        <is>
          <t>CTP-WIR-SUR-0115</t>
        </is>
      </c>
      <c r="B530" s="45" t="n">
        <v>46306</v>
      </c>
      <c r="C530" s="46" t="inlineStr">
        <is>
          <t>Survey</t>
        </is>
      </c>
      <c r="D530" s="46" t="inlineStr">
        <is>
          <t>Setting-out check</t>
        </is>
      </c>
      <c r="E530" s="44" t="inlineStr">
        <is>
          <t>CH 4+642</t>
        </is>
      </c>
      <c r="F530" s="45" t="n">
        <v>46306</v>
      </c>
      <c r="G530" s="46" t="inlineStr">
        <is>
          <t>Eng. Sara Nasser</t>
        </is>
      </c>
      <c r="H530" s="44" t="inlineStr">
        <is>
          <t>Approved</t>
        </is>
      </c>
      <c r="I530" s="45" t="n">
        <v>46309</v>
      </c>
      <c r="J530" s="44">
        <f>IF(H530="Pending",TODAY()-B530,IF(I530="","",I530-B530))</f>
        <v/>
      </c>
      <c r="K530" s="46" t="inlineStr"/>
    </row>
    <row r="531">
      <c r="A531" s="41" t="inlineStr">
        <is>
          <t>CTP-WIR-SUR-0116</t>
        </is>
      </c>
      <c r="B531" s="42" t="n">
        <v>46306</v>
      </c>
      <c r="C531" s="43" t="inlineStr">
        <is>
          <t>Survey</t>
        </is>
      </c>
      <c r="D531" s="43" t="inlineStr">
        <is>
          <t>As-built survey</t>
        </is>
      </c>
      <c r="E531" s="41" t="inlineStr">
        <is>
          <t>CH 6+504</t>
        </is>
      </c>
      <c r="F531" s="42" t="n">
        <v>46306</v>
      </c>
      <c r="G531" s="43" t="inlineStr">
        <is>
          <t>Eng. Sara Nasser</t>
        </is>
      </c>
      <c r="H531" s="41" t="inlineStr">
        <is>
          <t>Rejected</t>
        </is>
      </c>
      <c r="I531" s="42" t="n">
        <v>46306</v>
      </c>
      <c r="J531" s="41">
        <f>IF(H531="Pending",TODAY()-B531,IF(I531="","",I531-B531))</f>
        <v/>
      </c>
      <c r="K531" s="43" t="inlineStr">
        <is>
          <t>Re-inspection required</t>
        </is>
      </c>
    </row>
    <row r="532">
      <c r="A532" s="44" t="inlineStr">
        <is>
          <t>CTP-WIR-TUN-0108</t>
        </is>
      </c>
      <c r="B532" s="45" t="n">
        <v>46306</v>
      </c>
      <c r="C532" s="46" t="inlineStr">
        <is>
          <t>Tunnelling</t>
        </is>
      </c>
      <c r="D532" s="46" t="inlineStr">
        <is>
          <t>Tunnel invert cleaning</t>
        </is>
      </c>
      <c r="E532" s="44" t="inlineStr">
        <is>
          <t>CH 4+677</t>
        </is>
      </c>
      <c r="F532" s="45" t="n">
        <v>46307</v>
      </c>
      <c r="G532" s="46" t="inlineStr">
        <is>
          <t>Eng. Hana Saleh</t>
        </is>
      </c>
      <c r="H532" s="44" t="inlineStr">
        <is>
          <t>Rejected</t>
        </is>
      </c>
      <c r="I532" s="45" t="n">
        <v>46308</v>
      </c>
      <c r="J532" s="44">
        <f>IF(H532="Pending",TODAY()-B532,IF(I532="","",I532-B532))</f>
        <v/>
      </c>
      <c r="K532" s="46" t="inlineStr">
        <is>
          <t>Re-inspection required</t>
        </is>
      </c>
    </row>
    <row r="533">
      <c r="A533" s="41" t="inlineStr">
        <is>
          <t>CTP-WIR-CIV-0102</t>
        </is>
      </c>
      <c r="B533" s="42" t="n">
        <v>46307</v>
      </c>
      <c r="C533" s="43" t="inlineStr">
        <is>
          <t>Civil</t>
        </is>
      </c>
      <c r="D533" s="43" t="inlineStr">
        <is>
          <t>Concrete pouring</t>
        </is>
      </c>
      <c r="E533" s="41" t="inlineStr">
        <is>
          <t>CH 0+601</t>
        </is>
      </c>
      <c r="F533" s="42" t="n">
        <v>46308</v>
      </c>
      <c r="G533" s="43" t="inlineStr">
        <is>
          <t>Eng. Pedro Alves</t>
        </is>
      </c>
      <c r="H533" s="41" t="inlineStr">
        <is>
          <t>Pending</t>
        </is>
      </c>
      <c r="I533" s="42" t="n"/>
      <c r="J533" s="41">
        <f>IF(H533="Pending",TODAY()-B533,IF(I533="","",I533-B533))</f>
        <v/>
      </c>
      <c r="K533" s="43" t="inlineStr"/>
    </row>
    <row r="534">
      <c r="A534" s="44" t="inlineStr">
        <is>
          <t>CTP-WIR-GEO-0104</t>
        </is>
      </c>
      <c r="B534" s="45" t="n">
        <v>46307</v>
      </c>
      <c r="C534" s="46" t="inlineStr">
        <is>
          <t>Geotechnical</t>
        </is>
      </c>
      <c r="D534" s="46" t="inlineStr">
        <is>
          <t>Borehole drilling &amp; logging</t>
        </is>
      </c>
      <c r="E534" s="44" t="inlineStr">
        <is>
          <t>CH 3+528</t>
        </is>
      </c>
      <c r="F534" s="45" t="n">
        <v>46309</v>
      </c>
      <c r="G534" s="46" t="inlineStr">
        <is>
          <t>Eng. Mark Collins</t>
        </is>
      </c>
      <c r="H534" s="44" t="inlineStr">
        <is>
          <t>Approved</t>
        </is>
      </c>
      <c r="I534" s="45" t="n">
        <v>46309</v>
      </c>
      <c r="J534" s="44">
        <f>IF(H534="Pending",TODAY()-B534,IF(I534="","",I534-B534))</f>
        <v/>
      </c>
      <c r="K534" s="46" t="inlineStr"/>
    </row>
    <row r="535">
      <c r="A535" s="41" t="inlineStr">
        <is>
          <t>CTP-WIR-MEP-0101</t>
        </is>
      </c>
      <c r="B535" s="42" t="n">
        <v>46307</v>
      </c>
      <c r="C535" s="43" t="inlineStr">
        <is>
          <t>MEP</t>
        </is>
      </c>
      <c r="D535" s="43" t="inlineStr">
        <is>
          <t>Lighting installation</t>
        </is>
      </c>
      <c r="E535" s="41" t="inlineStr">
        <is>
          <t>CH 3+948</t>
        </is>
      </c>
      <c r="F535" s="42" t="n">
        <v>46309</v>
      </c>
      <c r="G535" s="43" t="inlineStr">
        <is>
          <t>Eng. Hana Saleh</t>
        </is>
      </c>
      <c r="H535" s="41" t="inlineStr">
        <is>
          <t>Pending</t>
        </is>
      </c>
      <c r="I535" s="42" t="n"/>
      <c r="J535" s="41">
        <f>IF(H535="Pending",TODAY()-B535,IF(I535="","",I535-B535))</f>
        <v/>
      </c>
      <c r="K535" s="43" t="inlineStr"/>
    </row>
    <row r="536">
      <c r="A536" s="44" t="inlineStr">
        <is>
          <t>CTP-WIR-SUR-0117</t>
        </is>
      </c>
      <c r="B536" s="45" t="n">
        <v>46307</v>
      </c>
      <c r="C536" s="46" t="inlineStr">
        <is>
          <t>Survey</t>
        </is>
      </c>
      <c r="D536" s="46" t="inlineStr">
        <is>
          <t>Settlement monitoring</t>
        </is>
      </c>
      <c r="E536" s="44" t="inlineStr">
        <is>
          <t>CH 7+677</t>
        </is>
      </c>
      <c r="F536" s="45" t="n">
        <v>46308</v>
      </c>
      <c r="G536" s="46" t="inlineStr">
        <is>
          <t>Eng. Ali Haddad</t>
        </is>
      </c>
      <c r="H536" s="44" t="inlineStr">
        <is>
          <t>Approved</t>
        </is>
      </c>
      <c r="I536" s="45" t="n">
        <v>46309</v>
      </c>
      <c r="J536" s="44">
        <f>IF(H536="Pending",TODAY()-B536,IF(I536="","",I536-B536))</f>
        <v/>
      </c>
      <c r="K536" s="46" t="inlineStr"/>
    </row>
    <row r="537">
      <c r="A537" s="41" t="inlineStr">
        <is>
          <t>CTP-WIR-SUR-0118</t>
        </is>
      </c>
      <c r="B537" s="42" t="n">
        <v>46307</v>
      </c>
      <c r="C537" s="43" t="inlineStr">
        <is>
          <t>Survey</t>
        </is>
      </c>
      <c r="D537" s="43" t="inlineStr">
        <is>
          <t>As-built survey</t>
        </is>
      </c>
      <c r="E537" s="41" t="inlineStr">
        <is>
          <t>CH 6+542</t>
        </is>
      </c>
      <c r="F537" s="42" t="n">
        <v>46308</v>
      </c>
      <c r="G537" s="43" t="inlineStr">
        <is>
          <t>Eng. Ali Haddad</t>
        </is>
      </c>
      <c r="H537" s="41" t="inlineStr">
        <is>
          <t>Pending</t>
        </is>
      </c>
      <c r="I537" s="42" t="n"/>
      <c r="J537" s="41">
        <f>IF(H537="Pending",TODAY()-B537,IF(I537="","",I537-B537))</f>
        <v/>
      </c>
      <c r="K537" s="43" t="inlineStr"/>
    </row>
    <row r="538">
      <c r="A538" s="44" t="inlineStr">
        <is>
          <t>CTP-WIR-TUN-0109</t>
        </is>
      </c>
      <c r="B538" s="45" t="n">
        <v>46307</v>
      </c>
      <c r="C538" s="46" t="inlineStr">
        <is>
          <t>Tunnelling</t>
        </is>
      </c>
      <c r="D538" s="46" t="inlineStr">
        <is>
          <t>Annulus grouting</t>
        </is>
      </c>
      <c r="E538" s="44" t="inlineStr">
        <is>
          <t>CH 3+635</t>
        </is>
      </c>
      <c r="F538" s="45" t="n">
        <v>46308</v>
      </c>
      <c r="G538" s="46" t="inlineStr">
        <is>
          <t>Eng. Pedro Alves</t>
        </is>
      </c>
      <c r="H538" s="44" t="inlineStr">
        <is>
          <t>Approved</t>
        </is>
      </c>
      <c r="I538" s="45" t="n">
        <v>46309</v>
      </c>
      <c r="J538" s="44">
        <f>IF(H538="Pending",TODAY()-B538,IF(I538="","",I538-B538))</f>
        <v/>
      </c>
      <c r="K538" s="46" t="inlineStr"/>
    </row>
    <row r="539">
      <c r="A539" s="41" t="inlineStr">
        <is>
          <t>CTP-WIR-TUN-0110</t>
        </is>
      </c>
      <c r="B539" s="42" t="n">
        <v>46307</v>
      </c>
      <c r="C539" s="43" t="inlineStr">
        <is>
          <t>Tunnelling</t>
        </is>
      </c>
      <c r="D539" s="43" t="inlineStr">
        <is>
          <t>Tunnel invert cleaning</t>
        </is>
      </c>
      <c r="E539" s="41" t="inlineStr">
        <is>
          <t>CH 4+370</t>
        </is>
      </c>
      <c r="F539" s="42" t="n">
        <v>46309</v>
      </c>
      <c r="G539" s="43" t="inlineStr">
        <is>
          <t>Eng. Sara Nasser</t>
        </is>
      </c>
      <c r="H539" s="41" t="inlineStr">
        <is>
          <t>Pending</t>
        </is>
      </c>
      <c r="I539" s="42" t="n"/>
      <c r="J539" s="41">
        <f>IF(H539="Pending",TODAY()-B539,IF(I539="","",I539-B539))</f>
        <v/>
      </c>
      <c r="K539" s="43" t="inlineStr"/>
    </row>
    <row r="540">
      <c r="A540" s="44" t="inlineStr">
        <is>
          <t>CTP-WIR-CIV-0103</t>
        </is>
      </c>
      <c r="B540" s="45" t="n">
        <v>46308</v>
      </c>
      <c r="C540" s="46" t="inlineStr">
        <is>
          <t>Civil</t>
        </is>
      </c>
      <c r="D540" s="46" t="inlineStr">
        <is>
          <t>Concrete pouring</t>
        </is>
      </c>
      <c r="E540" s="44" t="inlineStr">
        <is>
          <t>CH 9+312</t>
        </is>
      </c>
      <c r="F540" s="45" t="n">
        <v>46308</v>
      </c>
      <c r="G540" s="46" t="inlineStr">
        <is>
          <t>Eng. Hana Saleh</t>
        </is>
      </c>
      <c r="H540" s="44" t="inlineStr">
        <is>
          <t>Pending</t>
        </is>
      </c>
      <c r="I540" s="45" t="n"/>
      <c r="J540" s="44">
        <f>IF(H540="Pending",TODAY()-B540,IF(I540="","",I540-B540))</f>
        <v/>
      </c>
      <c r="K540" s="46" t="inlineStr"/>
    </row>
    <row r="541">
      <c r="A541" s="41" t="inlineStr">
        <is>
          <t>CTP-WIR-CIV-0104</t>
        </is>
      </c>
      <c r="B541" s="42" t="n">
        <v>46308</v>
      </c>
      <c r="C541" s="43" t="inlineStr">
        <is>
          <t>Civil</t>
        </is>
      </c>
      <c r="D541" s="43" t="inlineStr">
        <is>
          <t>Rebar inspection before concrete</t>
        </is>
      </c>
      <c r="E541" s="41" t="inlineStr">
        <is>
          <t>CH 3+907</t>
        </is>
      </c>
      <c r="F541" s="42" t="n">
        <v>46309</v>
      </c>
      <c r="G541" s="43" t="inlineStr">
        <is>
          <t>Eng. Hana Saleh</t>
        </is>
      </c>
      <c r="H541" s="41" t="inlineStr">
        <is>
          <t>Pending</t>
        </is>
      </c>
      <c r="I541" s="42" t="n"/>
      <c r="J541" s="41">
        <f>IF(H541="Pending",TODAY()-B541,IF(I541="","",I541-B541))</f>
        <v/>
      </c>
      <c r="K541" s="43" t="inlineStr"/>
    </row>
    <row r="542">
      <c r="A542" s="44" t="inlineStr">
        <is>
          <t>CTP-WIR-MEP-0102</t>
        </is>
      </c>
      <c r="B542" s="45" t="n">
        <v>46308</v>
      </c>
      <c r="C542" s="46" t="inlineStr">
        <is>
          <t>MEP</t>
        </is>
      </c>
      <c r="D542" s="46" t="inlineStr">
        <is>
          <t>Cable tray installation</t>
        </is>
      </c>
      <c r="E542" s="44" t="inlineStr">
        <is>
          <t>CH 2+990</t>
        </is>
      </c>
      <c r="F542" s="45" t="n">
        <v>46310</v>
      </c>
      <c r="G542" s="46" t="inlineStr">
        <is>
          <t>Eng. Pedro Alves</t>
        </is>
      </c>
      <c r="H542" s="44" t="inlineStr">
        <is>
          <t>Rejected</t>
        </is>
      </c>
      <c r="I542" s="45" t="n">
        <v>46309</v>
      </c>
      <c r="J542" s="44">
        <f>IF(H542="Pending",TODAY()-B542,IF(I542="","",I542-B542))</f>
        <v/>
      </c>
      <c r="K542" s="46" t="inlineStr">
        <is>
          <t>Re-inspection required</t>
        </is>
      </c>
    </row>
    <row r="543">
      <c r="A543" s="41" t="inlineStr">
        <is>
          <t>CTP-WIR-SUR-0119</t>
        </is>
      </c>
      <c r="B543" s="42" t="n">
        <v>46308</v>
      </c>
      <c r="C543" s="43" t="inlineStr">
        <is>
          <t>Survey</t>
        </is>
      </c>
      <c r="D543" s="43" t="inlineStr">
        <is>
          <t>As-built survey</t>
        </is>
      </c>
      <c r="E543" s="41" t="inlineStr">
        <is>
          <t>CH 7+825</t>
        </is>
      </c>
      <c r="F543" s="42" t="n">
        <v>46309</v>
      </c>
      <c r="G543" s="43" t="inlineStr">
        <is>
          <t>Eng. Sara Nasser</t>
        </is>
      </c>
      <c r="H543" s="41" t="inlineStr">
        <is>
          <t>Pending</t>
        </is>
      </c>
      <c r="I543" s="42" t="n"/>
      <c r="J543" s="41">
        <f>IF(H543="Pending",TODAY()-B543,IF(I543="","",I543-B543))</f>
        <v/>
      </c>
      <c r="K543" s="43" t="inlineStr"/>
    </row>
    <row r="544">
      <c r="A544" s="44" t="inlineStr">
        <is>
          <t>CTP-WIR-CIV-0105</t>
        </is>
      </c>
      <c r="B544" s="45" t="n">
        <v>46309</v>
      </c>
      <c r="C544" s="46" t="inlineStr">
        <is>
          <t>Civil</t>
        </is>
      </c>
      <c r="D544" s="46" t="inlineStr">
        <is>
          <t>Concrete pouring</t>
        </is>
      </c>
      <c r="E544" s="44" t="inlineStr">
        <is>
          <t>CH 6+219</t>
        </is>
      </c>
      <c r="F544" s="45" t="n">
        <v>46310</v>
      </c>
      <c r="G544" s="46" t="inlineStr">
        <is>
          <t>Eng. Mark Collins</t>
        </is>
      </c>
      <c r="H544" s="44" t="inlineStr">
        <is>
          <t>Pending</t>
        </is>
      </c>
      <c r="I544" s="45" t="n"/>
      <c r="J544" s="44">
        <f>IF(H544="Pending",TODAY()-B544,IF(I544="","",I544-B544))</f>
        <v/>
      </c>
      <c r="K544" s="46" t="inlineStr"/>
    </row>
    <row r="545">
      <c r="A545" s="41" t="inlineStr">
        <is>
          <t>CTP-WIR-GEO-0105</t>
        </is>
      </c>
      <c r="B545" s="42" t="n">
        <v>46309</v>
      </c>
      <c r="C545" s="43" t="inlineStr">
        <is>
          <t>Geotechnical</t>
        </is>
      </c>
      <c r="D545" s="43" t="inlineStr">
        <is>
          <t>Rock bolt pull-out test</t>
        </is>
      </c>
      <c r="E545" s="41" t="inlineStr">
        <is>
          <t>CH 8+423</t>
        </is>
      </c>
      <c r="F545" s="42" t="n">
        <v>46310</v>
      </c>
      <c r="G545" s="43" t="inlineStr">
        <is>
          <t>Eng. Mark Collins</t>
        </is>
      </c>
      <c r="H545" s="41" t="inlineStr">
        <is>
          <t>Pending</t>
        </is>
      </c>
      <c r="I545" s="42" t="n"/>
      <c r="J545" s="41">
        <f>IF(H545="Pending",TODAY()-B545,IF(I545="","",I545-B545))</f>
        <v/>
      </c>
      <c r="K545" s="43" t="inlineStr"/>
    </row>
    <row r="546">
      <c r="A546" s="44" t="inlineStr">
        <is>
          <t>CTP-WIR-GEO-0106</t>
        </is>
      </c>
      <c r="B546" s="45" t="n">
        <v>46309</v>
      </c>
      <c r="C546" s="46" t="inlineStr">
        <is>
          <t>Geotechnical</t>
        </is>
      </c>
      <c r="D546" s="46" t="inlineStr">
        <is>
          <t>Ground anchor installation</t>
        </is>
      </c>
      <c r="E546" s="44" t="inlineStr">
        <is>
          <t>CH 1+946</t>
        </is>
      </c>
      <c r="F546" s="45" t="n">
        <v>46310</v>
      </c>
      <c r="G546" s="46" t="inlineStr">
        <is>
          <t>Eng. Ali Haddad</t>
        </is>
      </c>
      <c r="H546" s="44" t="inlineStr">
        <is>
          <t>Pending</t>
        </is>
      </c>
      <c r="I546" s="45" t="n"/>
      <c r="J546" s="44">
        <f>IF(H546="Pending",TODAY()-B546,IF(I546="","",I546-B546))</f>
        <v/>
      </c>
      <c r="K546" s="46" t="inlineStr"/>
    </row>
    <row r="547">
      <c r="A547" s="41" t="inlineStr">
        <is>
          <t>CTP-WIR-MEP-0103</t>
        </is>
      </c>
      <c r="B547" s="42" t="n">
        <v>46309</v>
      </c>
      <c r="C547" s="43" t="inlineStr">
        <is>
          <t>MEP</t>
        </is>
      </c>
      <c r="D547" s="43" t="inlineStr">
        <is>
          <t>Cable tray installation</t>
        </is>
      </c>
      <c r="E547" s="41" t="inlineStr">
        <is>
          <t>CH 4+920</t>
        </is>
      </c>
      <c r="F547" s="42" t="n">
        <v>46310</v>
      </c>
      <c r="G547" s="43" t="inlineStr">
        <is>
          <t>Eng. Pedro Alves</t>
        </is>
      </c>
      <c r="H547" s="41" t="inlineStr">
        <is>
          <t>Pending</t>
        </is>
      </c>
      <c r="I547" s="42" t="n"/>
      <c r="J547" s="41">
        <f>IF(H547="Pending",TODAY()-B547,IF(I547="","",I547-B547))</f>
        <v/>
      </c>
      <c r="K547" s="43" t="inlineStr"/>
    </row>
    <row r="548">
      <c r="A548" s="44" t="inlineStr">
        <is>
          <t>CTP-WIR-MEP-0104</t>
        </is>
      </c>
      <c r="B548" s="45" t="n">
        <v>46309</v>
      </c>
      <c r="C548" s="46" t="inlineStr">
        <is>
          <t>MEP</t>
        </is>
      </c>
      <c r="D548" s="46" t="inlineStr">
        <is>
          <t>Pump station testing</t>
        </is>
      </c>
      <c r="E548" s="44" t="inlineStr">
        <is>
          <t>CH 6+627</t>
        </is>
      </c>
      <c r="F548" s="45" t="n">
        <v>46310</v>
      </c>
      <c r="G548" s="46" t="inlineStr">
        <is>
          <t>Eng. Ali Haddad</t>
        </is>
      </c>
      <c r="H548" s="44" t="inlineStr">
        <is>
          <t>Pending</t>
        </is>
      </c>
      <c r="I548" s="45" t="n"/>
      <c r="J548" s="44">
        <f>IF(H548="Pending",TODAY()-B548,IF(I548="","",I548-B548))</f>
        <v/>
      </c>
      <c r="K548" s="46" t="inlineStr"/>
    </row>
    <row r="549">
      <c r="A549" s="41" t="inlineStr">
        <is>
          <t>CTP-WIR-SUR-0120</t>
        </is>
      </c>
      <c r="B549" s="42" t="n">
        <v>46309</v>
      </c>
      <c r="C549" s="43" t="inlineStr">
        <is>
          <t>Survey</t>
        </is>
      </c>
      <c r="D549" s="43" t="inlineStr">
        <is>
          <t>Tunnel alignment survey</t>
        </is>
      </c>
      <c r="E549" s="41" t="inlineStr">
        <is>
          <t>CH 3+316</t>
        </is>
      </c>
      <c r="F549" s="42" t="n">
        <v>46310</v>
      </c>
      <c r="G549" s="43" t="inlineStr">
        <is>
          <t>Eng. Sara Nasser</t>
        </is>
      </c>
      <c r="H549" s="41" t="inlineStr">
        <is>
          <t>Pending</t>
        </is>
      </c>
      <c r="I549" s="42" t="n"/>
      <c r="J549" s="41">
        <f>IF(H549="Pending",TODAY()-B549,IF(I549="","",I549-B549))</f>
        <v/>
      </c>
      <c r="K549" s="43" t="inlineStr"/>
    </row>
    <row r="550">
      <c r="A550" s="44" t="inlineStr">
        <is>
          <t>CTP-WIR-SUR-0121</t>
        </is>
      </c>
      <c r="B550" s="45" t="n">
        <v>46309</v>
      </c>
      <c r="C550" s="46" t="inlineStr">
        <is>
          <t>Survey</t>
        </is>
      </c>
      <c r="D550" s="46" t="inlineStr">
        <is>
          <t>Tunnel alignment survey</t>
        </is>
      </c>
      <c r="E550" s="44" t="inlineStr">
        <is>
          <t>CH 8+073</t>
        </is>
      </c>
      <c r="F550" s="45" t="n">
        <v>46309</v>
      </c>
      <c r="G550" s="46" t="inlineStr">
        <is>
          <t>Eng. Sara Nasser</t>
        </is>
      </c>
      <c r="H550" s="44" t="inlineStr">
        <is>
          <t>Pending</t>
        </is>
      </c>
      <c r="I550" s="45" t="n"/>
      <c r="J550" s="44">
        <f>IF(H550="Pending",TODAY()-B550,IF(I550="","",I550-B550))</f>
        <v/>
      </c>
      <c r="K550" s="46" t="inlineStr"/>
    </row>
  </sheetData>
  <autoFilter ref="A4:K550"/>
  <mergeCells count="2">
    <mergeCell ref="A2:K2"/>
    <mergeCell ref="A1:K1"/>
  </mergeCells>
  <conditionalFormatting sqref="H5:H2000">
    <cfRule type="cellIs" priority="1" operator="equal" dxfId="0">
      <formula>"Approved"</formula>
    </cfRule>
    <cfRule type="cellIs" priority="2" operator="equal" dxfId="1">
      <formula>"Approved with Comments"</formula>
    </cfRule>
    <cfRule type="cellIs" priority="3" operator="equal" dxfId="2">
      <formula>"Rejected"</formula>
    </cfRule>
    <cfRule type="cellIs" priority="4" operator="equal" dxfId="3">
      <formula>"Pending"</formula>
    </cfRule>
  </conditionalFormatting>
  <conditionalFormatting sqref="J5:J2000">
    <cfRule type="expression" priority="5" dxfId="4">
      <formula>AND($H5="Pending",$J5&gt;3)</formula>
    </cfRule>
  </conditionalFormatting>
  <dataValidations count="1">
    <dataValidation sqref="H5:H2000" showDropDown="0" showInputMessage="0" showErrorMessage="0" allowBlank="1" type="list">
      <formula1>"Approved,Approved with Comments,Rejected,Pending"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</cols>
  <sheetData>
    <row r="1" ht="36" customHeight="1">
      <c r="A1" s="36" t="inlineStr">
        <is>
          <t>Daily WIR Submission Log</t>
        </is>
      </c>
      <c r="B1" s="37" t="n"/>
      <c r="C1" s="37" t="n"/>
      <c r="D1" s="37" t="n"/>
      <c r="E1" s="37" t="n"/>
      <c r="F1" s="37" t="n"/>
      <c r="G1" s="37" t="n"/>
      <c r="H1" s="37" t="n"/>
    </row>
    <row r="2">
      <c r="A2" s="38" t="inlineStr">
        <is>
          <t>Submitted per discipline per working day (Friday off)  •  Formulas count directly from the WIR Register</t>
        </is>
      </c>
    </row>
    <row r="3" ht="4" customHeight="1">
      <c r="A3" s="39" t="n"/>
      <c r="B3" s="39" t="n"/>
      <c r="C3" s="39" t="n"/>
      <c r="D3" s="39" t="n"/>
      <c r="E3" s="39" t="n"/>
      <c r="F3" s="39" t="n"/>
      <c r="G3" s="39" t="n"/>
      <c r="H3" s="39" t="n"/>
    </row>
    <row r="4">
      <c r="A4" s="40" t="inlineStr">
        <is>
          <t>Date</t>
        </is>
      </c>
      <c r="B4" s="40" t="inlineStr">
        <is>
          <t>Day</t>
        </is>
      </c>
      <c r="C4" s="40" t="inlineStr">
        <is>
          <t>Geotechnical</t>
        </is>
      </c>
      <c r="D4" s="40" t="inlineStr">
        <is>
          <t>Civil</t>
        </is>
      </c>
      <c r="E4" s="40" t="inlineStr">
        <is>
          <t>Tunnelling</t>
        </is>
      </c>
      <c r="F4" s="40" t="inlineStr">
        <is>
          <t>MEP</t>
        </is>
      </c>
      <c r="G4" s="40" t="inlineStr">
        <is>
          <t>Survey</t>
        </is>
      </c>
      <c r="H4" s="40" t="inlineStr">
        <is>
          <t>Total</t>
        </is>
      </c>
    </row>
    <row r="5">
      <c r="A5" s="47" t="n">
        <v>46309</v>
      </c>
      <c r="B5" s="41">
        <f>TEXT(A5,"ddd")</f>
        <v/>
      </c>
      <c r="C5" s="41">
        <f>COUNTIFS('WIR Register'!$B$5:$B$2000,$A5,'WIR Register'!$C$5:$C$2000,"Geotechnical")</f>
        <v/>
      </c>
      <c r="D5" s="41">
        <f>COUNTIFS('WIR Register'!$B$5:$B$2000,$A5,'WIR Register'!$C$5:$C$2000,"Civil")</f>
        <v/>
      </c>
      <c r="E5" s="41">
        <f>COUNTIFS('WIR Register'!$B$5:$B$2000,$A5,'WIR Register'!$C$5:$C$2000,"Tunnelling")</f>
        <v/>
      </c>
      <c r="F5" s="41">
        <f>COUNTIFS('WIR Register'!$B$5:$B$2000,$A5,'WIR Register'!$C$5:$C$2000,"MEP")</f>
        <v/>
      </c>
      <c r="G5" s="41">
        <f>COUNTIFS('WIR Register'!$B$5:$B$2000,$A5,'WIR Register'!$C$5:$C$2000,"Survey")</f>
        <v/>
      </c>
      <c r="H5" s="48">
        <f>SUM(C5:G5)</f>
        <v/>
      </c>
    </row>
    <row r="6">
      <c r="A6" s="49" t="n">
        <v>46308</v>
      </c>
      <c r="B6" s="44">
        <f>TEXT(A6,"ddd")</f>
        <v/>
      </c>
      <c r="C6" s="44">
        <f>COUNTIFS('WIR Register'!$B$5:$B$2000,$A6,'WIR Register'!$C$5:$C$2000,"Geotechnical")</f>
        <v/>
      </c>
      <c r="D6" s="44">
        <f>COUNTIFS('WIR Register'!$B$5:$B$2000,$A6,'WIR Register'!$C$5:$C$2000,"Civil")</f>
        <v/>
      </c>
      <c r="E6" s="44">
        <f>COUNTIFS('WIR Register'!$B$5:$B$2000,$A6,'WIR Register'!$C$5:$C$2000,"Tunnelling")</f>
        <v/>
      </c>
      <c r="F6" s="44">
        <f>COUNTIFS('WIR Register'!$B$5:$B$2000,$A6,'WIR Register'!$C$5:$C$2000,"MEP")</f>
        <v/>
      </c>
      <c r="G6" s="44">
        <f>COUNTIFS('WIR Register'!$B$5:$B$2000,$A6,'WIR Register'!$C$5:$C$2000,"Survey")</f>
        <v/>
      </c>
      <c r="H6" s="50">
        <f>SUM(C6:G6)</f>
        <v/>
      </c>
    </row>
    <row r="7">
      <c r="A7" s="47" t="n">
        <v>46307</v>
      </c>
      <c r="B7" s="41">
        <f>TEXT(A7,"ddd")</f>
        <v/>
      </c>
      <c r="C7" s="41">
        <f>COUNTIFS('WIR Register'!$B$5:$B$2000,$A7,'WIR Register'!$C$5:$C$2000,"Geotechnical")</f>
        <v/>
      </c>
      <c r="D7" s="41">
        <f>COUNTIFS('WIR Register'!$B$5:$B$2000,$A7,'WIR Register'!$C$5:$C$2000,"Civil")</f>
        <v/>
      </c>
      <c r="E7" s="41">
        <f>COUNTIFS('WIR Register'!$B$5:$B$2000,$A7,'WIR Register'!$C$5:$C$2000,"Tunnelling")</f>
        <v/>
      </c>
      <c r="F7" s="41">
        <f>COUNTIFS('WIR Register'!$B$5:$B$2000,$A7,'WIR Register'!$C$5:$C$2000,"MEP")</f>
        <v/>
      </c>
      <c r="G7" s="41">
        <f>COUNTIFS('WIR Register'!$B$5:$B$2000,$A7,'WIR Register'!$C$5:$C$2000,"Survey")</f>
        <v/>
      </c>
      <c r="H7" s="48">
        <f>SUM(C7:G7)</f>
        <v/>
      </c>
    </row>
    <row r="8">
      <c r="A8" s="49" t="n">
        <v>46306</v>
      </c>
      <c r="B8" s="44">
        <f>TEXT(A8,"ddd")</f>
        <v/>
      </c>
      <c r="C8" s="44">
        <f>COUNTIFS('WIR Register'!$B$5:$B$2000,$A8,'WIR Register'!$C$5:$C$2000,"Geotechnical")</f>
        <v/>
      </c>
      <c r="D8" s="44">
        <f>COUNTIFS('WIR Register'!$B$5:$B$2000,$A8,'WIR Register'!$C$5:$C$2000,"Civil")</f>
        <v/>
      </c>
      <c r="E8" s="44">
        <f>COUNTIFS('WIR Register'!$B$5:$B$2000,$A8,'WIR Register'!$C$5:$C$2000,"Tunnelling")</f>
        <v/>
      </c>
      <c r="F8" s="44">
        <f>COUNTIFS('WIR Register'!$B$5:$B$2000,$A8,'WIR Register'!$C$5:$C$2000,"MEP")</f>
        <v/>
      </c>
      <c r="G8" s="44">
        <f>COUNTIFS('WIR Register'!$B$5:$B$2000,$A8,'WIR Register'!$C$5:$C$2000,"Survey")</f>
        <v/>
      </c>
      <c r="H8" s="50">
        <f>SUM(C8:G8)</f>
        <v/>
      </c>
    </row>
    <row r="9">
      <c r="A9" s="47" t="n">
        <v>46305</v>
      </c>
      <c r="B9" s="41">
        <f>TEXT(A9,"ddd")</f>
        <v/>
      </c>
      <c r="C9" s="41">
        <f>COUNTIFS('WIR Register'!$B$5:$B$2000,$A9,'WIR Register'!$C$5:$C$2000,"Geotechnical")</f>
        <v/>
      </c>
      <c r="D9" s="41">
        <f>COUNTIFS('WIR Register'!$B$5:$B$2000,$A9,'WIR Register'!$C$5:$C$2000,"Civil")</f>
        <v/>
      </c>
      <c r="E9" s="41">
        <f>COUNTIFS('WIR Register'!$B$5:$B$2000,$A9,'WIR Register'!$C$5:$C$2000,"Tunnelling")</f>
        <v/>
      </c>
      <c r="F9" s="41">
        <f>COUNTIFS('WIR Register'!$B$5:$B$2000,$A9,'WIR Register'!$C$5:$C$2000,"MEP")</f>
        <v/>
      </c>
      <c r="G9" s="41">
        <f>COUNTIFS('WIR Register'!$B$5:$B$2000,$A9,'WIR Register'!$C$5:$C$2000,"Survey")</f>
        <v/>
      </c>
      <c r="H9" s="48">
        <f>SUM(C9:G9)</f>
        <v/>
      </c>
    </row>
    <row r="10">
      <c r="A10" s="49" t="n">
        <v>46303</v>
      </c>
      <c r="B10" s="44">
        <f>TEXT(A10,"ddd")</f>
        <v/>
      </c>
      <c r="C10" s="44">
        <f>COUNTIFS('WIR Register'!$B$5:$B$2000,$A10,'WIR Register'!$C$5:$C$2000,"Geotechnical")</f>
        <v/>
      </c>
      <c r="D10" s="44">
        <f>COUNTIFS('WIR Register'!$B$5:$B$2000,$A10,'WIR Register'!$C$5:$C$2000,"Civil")</f>
        <v/>
      </c>
      <c r="E10" s="44">
        <f>COUNTIFS('WIR Register'!$B$5:$B$2000,$A10,'WIR Register'!$C$5:$C$2000,"Tunnelling")</f>
        <v/>
      </c>
      <c r="F10" s="44">
        <f>COUNTIFS('WIR Register'!$B$5:$B$2000,$A10,'WIR Register'!$C$5:$C$2000,"MEP")</f>
        <v/>
      </c>
      <c r="G10" s="44">
        <f>COUNTIFS('WIR Register'!$B$5:$B$2000,$A10,'WIR Register'!$C$5:$C$2000,"Survey")</f>
        <v/>
      </c>
      <c r="H10" s="50">
        <f>SUM(C10:G10)</f>
        <v/>
      </c>
    </row>
    <row r="11">
      <c r="A11" s="47" t="n">
        <v>46302</v>
      </c>
      <c r="B11" s="41">
        <f>TEXT(A11,"ddd")</f>
        <v/>
      </c>
      <c r="C11" s="41">
        <f>COUNTIFS('WIR Register'!$B$5:$B$2000,$A11,'WIR Register'!$C$5:$C$2000,"Geotechnical")</f>
        <v/>
      </c>
      <c r="D11" s="41">
        <f>COUNTIFS('WIR Register'!$B$5:$B$2000,$A11,'WIR Register'!$C$5:$C$2000,"Civil")</f>
        <v/>
      </c>
      <c r="E11" s="41">
        <f>COUNTIFS('WIR Register'!$B$5:$B$2000,$A11,'WIR Register'!$C$5:$C$2000,"Tunnelling")</f>
        <v/>
      </c>
      <c r="F11" s="41">
        <f>COUNTIFS('WIR Register'!$B$5:$B$2000,$A11,'WIR Register'!$C$5:$C$2000,"MEP")</f>
        <v/>
      </c>
      <c r="G11" s="41">
        <f>COUNTIFS('WIR Register'!$B$5:$B$2000,$A11,'WIR Register'!$C$5:$C$2000,"Survey")</f>
        <v/>
      </c>
      <c r="H11" s="48">
        <f>SUM(C11:G11)</f>
        <v/>
      </c>
    </row>
    <row r="12">
      <c r="A12" s="49" t="n">
        <v>46301</v>
      </c>
      <c r="B12" s="44">
        <f>TEXT(A12,"ddd")</f>
        <v/>
      </c>
      <c r="C12" s="44">
        <f>COUNTIFS('WIR Register'!$B$5:$B$2000,$A12,'WIR Register'!$C$5:$C$2000,"Geotechnical")</f>
        <v/>
      </c>
      <c r="D12" s="44">
        <f>COUNTIFS('WIR Register'!$B$5:$B$2000,$A12,'WIR Register'!$C$5:$C$2000,"Civil")</f>
        <v/>
      </c>
      <c r="E12" s="44">
        <f>COUNTIFS('WIR Register'!$B$5:$B$2000,$A12,'WIR Register'!$C$5:$C$2000,"Tunnelling")</f>
        <v/>
      </c>
      <c r="F12" s="44">
        <f>COUNTIFS('WIR Register'!$B$5:$B$2000,$A12,'WIR Register'!$C$5:$C$2000,"MEP")</f>
        <v/>
      </c>
      <c r="G12" s="44">
        <f>COUNTIFS('WIR Register'!$B$5:$B$2000,$A12,'WIR Register'!$C$5:$C$2000,"Survey")</f>
        <v/>
      </c>
      <c r="H12" s="50">
        <f>SUM(C12:G12)</f>
        <v/>
      </c>
    </row>
    <row r="13">
      <c r="A13" s="47" t="n">
        <v>46300</v>
      </c>
      <c r="B13" s="41">
        <f>TEXT(A13,"ddd")</f>
        <v/>
      </c>
      <c r="C13" s="41">
        <f>COUNTIFS('WIR Register'!$B$5:$B$2000,$A13,'WIR Register'!$C$5:$C$2000,"Geotechnical")</f>
        <v/>
      </c>
      <c r="D13" s="41">
        <f>COUNTIFS('WIR Register'!$B$5:$B$2000,$A13,'WIR Register'!$C$5:$C$2000,"Civil")</f>
        <v/>
      </c>
      <c r="E13" s="41">
        <f>COUNTIFS('WIR Register'!$B$5:$B$2000,$A13,'WIR Register'!$C$5:$C$2000,"Tunnelling")</f>
        <v/>
      </c>
      <c r="F13" s="41">
        <f>COUNTIFS('WIR Register'!$B$5:$B$2000,$A13,'WIR Register'!$C$5:$C$2000,"MEP")</f>
        <v/>
      </c>
      <c r="G13" s="41">
        <f>COUNTIFS('WIR Register'!$B$5:$B$2000,$A13,'WIR Register'!$C$5:$C$2000,"Survey")</f>
        <v/>
      </c>
      <c r="H13" s="48">
        <f>SUM(C13:G13)</f>
        <v/>
      </c>
    </row>
    <row r="14">
      <c r="A14" s="49" t="n">
        <v>46299</v>
      </c>
      <c r="B14" s="44">
        <f>TEXT(A14,"ddd")</f>
        <v/>
      </c>
      <c r="C14" s="44">
        <f>COUNTIFS('WIR Register'!$B$5:$B$2000,$A14,'WIR Register'!$C$5:$C$2000,"Geotechnical")</f>
        <v/>
      </c>
      <c r="D14" s="44">
        <f>COUNTIFS('WIR Register'!$B$5:$B$2000,$A14,'WIR Register'!$C$5:$C$2000,"Civil")</f>
        <v/>
      </c>
      <c r="E14" s="44">
        <f>COUNTIFS('WIR Register'!$B$5:$B$2000,$A14,'WIR Register'!$C$5:$C$2000,"Tunnelling")</f>
        <v/>
      </c>
      <c r="F14" s="44">
        <f>COUNTIFS('WIR Register'!$B$5:$B$2000,$A14,'WIR Register'!$C$5:$C$2000,"MEP")</f>
        <v/>
      </c>
      <c r="G14" s="44">
        <f>COUNTIFS('WIR Register'!$B$5:$B$2000,$A14,'WIR Register'!$C$5:$C$2000,"Survey")</f>
        <v/>
      </c>
      <c r="H14" s="50">
        <f>SUM(C14:G14)</f>
        <v/>
      </c>
    </row>
    <row r="15">
      <c r="A15" s="47" t="n">
        <v>46298</v>
      </c>
      <c r="B15" s="41">
        <f>TEXT(A15,"ddd")</f>
        <v/>
      </c>
      <c r="C15" s="41">
        <f>COUNTIFS('WIR Register'!$B$5:$B$2000,$A15,'WIR Register'!$C$5:$C$2000,"Geotechnical")</f>
        <v/>
      </c>
      <c r="D15" s="41">
        <f>COUNTIFS('WIR Register'!$B$5:$B$2000,$A15,'WIR Register'!$C$5:$C$2000,"Civil")</f>
        <v/>
      </c>
      <c r="E15" s="41">
        <f>COUNTIFS('WIR Register'!$B$5:$B$2000,$A15,'WIR Register'!$C$5:$C$2000,"Tunnelling")</f>
        <v/>
      </c>
      <c r="F15" s="41">
        <f>COUNTIFS('WIR Register'!$B$5:$B$2000,$A15,'WIR Register'!$C$5:$C$2000,"MEP")</f>
        <v/>
      </c>
      <c r="G15" s="41">
        <f>COUNTIFS('WIR Register'!$B$5:$B$2000,$A15,'WIR Register'!$C$5:$C$2000,"Survey")</f>
        <v/>
      </c>
      <c r="H15" s="48">
        <f>SUM(C15:G15)</f>
        <v/>
      </c>
    </row>
    <row r="16">
      <c r="A16" s="49" t="n">
        <v>46296</v>
      </c>
      <c r="B16" s="44">
        <f>TEXT(A16,"ddd")</f>
        <v/>
      </c>
      <c r="C16" s="44">
        <f>COUNTIFS('WIR Register'!$B$5:$B$2000,$A16,'WIR Register'!$C$5:$C$2000,"Geotechnical")</f>
        <v/>
      </c>
      <c r="D16" s="44">
        <f>COUNTIFS('WIR Register'!$B$5:$B$2000,$A16,'WIR Register'!$C$5:$C$2000,"Civil")</f>
        <v/>
      </c>
      <c r="E16" s="44">
        <f>COUNTIFS('WIR Register'!$B$5:$B$2000,$A16,'WIR Register'!$C$5:$C$2000,"Tunnelling")</f>
        <v/>
      </c>
      <c r="F16" s="44">
        <f>COUNTIFS('WIR Register'!$B$5:$B$2000,$A16,'WIR Register'!$C$5:$C$2000,"MEP")</f>
        <v/>
      </c>
      <c r="G16" s="44">
        <f>COUNTIFS('WIR Register'!$B$5:$B$2000,$A16,'WIR Register'!$C$5:$C$2000,"Survey")</f>
        <v/>
      </c>
      <c r="H16" s="50">
        <f>SUM(C16:G16)</f>
        <v/>
      </c>
    </row>
    <row r="17">
      <c r="A17" s="47" t="n">
        <v>46295</v>
      </c>
      <c r="B17" s="41">
        <f>TEXT(A17,"ddd")</f>
        <v/>
      </c>
      <c r="C17" s="41">
        <f>COUNTIFS('WIR Register'!$B$5:$B$2000,$A17,'WIR Register'!$C$5:$C$2000,"Geotechnical")</f>
        <v/>
      </c>
      <c r="D17" s="41">
        <f>COUNTIFS('WIR Register'!$B$5:$B$2000,$A17,'WIR Register'!$C$5:$C$2000,"Civil")</f>
        <v/>
      </c>
      <c r="E17" s="41">
        <f>COUNTIFS('WIR Register'!$B$5:$B$2000,$A17,'WIR Register'!$C$5:$C$2000,"Tunnelling")</f>
        <v/>
      </c>
      <c r="F17" s="41">
        <f>COUNTIFS('WIR Register'!$B$5:$B$2000,$A17,'WIR Register'!$C$5:$C$2000,"MEP")</f>
        <v/>
      </c>
      <c r="G17" s="41">
        <f>COUNTIFS('WIR Register'!$B$5:$B$2000,$A17,'WIR Register'!$C$5:$C$2000,"Survey")</f>
        <v/>
      </c>
      <c r="H17" s="48">
        <f>SUM(C17:G17)</f>
        <v/>
      </c>
    </row>
    <row r="18">
      <c r="A18" s="49" t="n">
        <v>46294</v>
      </c>
      <c r="B18" s="44">
        <f>TEXT(A18,"ddd")</f>
        <v/>
      </c>
      <c r="C18" s="44">
        <f>COUNTIFS('WIR Register'!$B$5:$B$2000,$A18,'WIR Register'!$C$5:$C$2000,"Geotechnical")</f>
        <v/>
      </c>
      <c r="D18" s="44">
        <f>COUNTIFS('WIR Register'!$B$5:$B$2000,$A18,'WIR Register'!$C$5:$C$2000,"Civil")</f>
        <v/>
      </c>
      <c r="E18" s="44">
        <f>COUNTIFS('WIR Register'!$B$5:$B$2000,$A18,'WIR Register'!$C$5:$C$2000,"Tunnelling")</f>
        <v/>
      </c>
      <c r="F18" s="44">
        <f>COUNTIFS('WIR Register'!$B$5:$B$2000,$A18,'WIR Register'!$C$5:$C$2000,"MEP")</f>
        <v/>
      </c>
      <c r="G18" s="44">
        <f>COUNTIFS('WIR Register'!$B$5:$B$2000,$A18,'WIR Register'!$C$5:$C$2000,"Survey")</f>
        <v/>
      </c>
      <c r="H18" s="50">
        <f>SUM(C18:G18)</f>
        <v/>
      </c>
    </row>
    <row r="19">
      <c r="A19" s="47" t="n">
        <v>46293</v>
      </c>
      <c r="B19" s="41">
        <f>TEXT(A19,"ddd")</f>
        <v/>
      </c>
      <c r="C19" s="41">
        <f>COUNTIFS('WIR Register'!$B$5:$B$2000,$A19,'WIR Register'!$C$5:$C$2000,"Geotechnical")</f>
        <v/>
      </c>
      <c r="D19" s="41">
        <f>COUNTIFS('WIR Register'!$B$5:$B$2000,$A19,'WIR Register'!$C$5:$C$2000,"Civil")</f>
        <v/>
      </c>
      <c r="E19" s="41">
        <f>COUNTIFS('WIR Register'!$B$5:$B$2000,$A19,'WIR Register'!$C$5:$C$2000,"Tunnelling")</f>
        <v/>
      </c>
      <c r="F19" s="41">
        <f>COUNTIFS('WIR Register'!$B$5:$B$2000,$A19,'WIR Register'!$C$5:$C$2000,"MEP")</f>
        <v/>
      </c>
      <c r="G19" s="41">
        <f>COUNTIFS('WIR Register'!$B$5:$B$2000,$A19,'WIR Register'!$C$5:$C$2000,"Survey")</f>
        <v/>
      </c>
      <c r="H19" s="48">
        <f>SUM(C19:G19)</f>
        <v/>
      </c>
    </row>
    <row r="20">
      <c r="A20" s="49" t="n">
        <v>46292</v>
      </c>
      <c r="B20" s="44">
        <f>TEXT(A20,"ddd")</f>
        <v/>
      </c>
      <c r="C20" s="44">
        <f>COUNTIFS('WIR Register'!$B$5:$B$2000,$A20,'WIR Register'!$C$5:$C$2000,"Geotechnical")</f>
        <v/>
      </c>
      <c r="D20" s="44">
        <f>COUNTIFS('WIR Register'!$B$5:$B$2000,$A20,'WIR Register'!$C$5:$C$2000,"Civil")</f>
        <v/>
      </c>
      <c r="E20" s="44">
        <f>COUNTIFS('WIR Register'!$B$5:$B$2000,$A20,'WIR Register'!$C$5:$C$2000,"Tunnelling")</f>
        <v/>
      </c>
      <c r="F20" s="44">
        <f>COUNTIFS('WIR Register'!$B$5:$B$2000,$A20,'WIR Register'!$C$5:$C$2000,"MEP")</f>
        <v/>
      </c>
      <c r="G20" s="44">
        <f>COUNTIFS('WIR Register'!$B$5:$B$2000,$A20,'WIR Register'!$C$5:$C$2000,"Survey")</f>
        <v/>
      </c>
      <c r="H20" s="50">
        <f>SUM(C20:G20)</f>
        <v/>
      </c>
    </row>
    <row r="21">
      <c r="A21" s="47" t="n">
        <v>46291</v>
      </c>
      <c r="B21" s="41">
        <f>TEXT(A21,"ddd")</f>
        <v/>
      </c>
      <c r="C21" s="41">
        <f>COUNTIFS('WIR Register'!$B$5:$B$2000,$A21,'WIR Register'!$C$5:$C$2000,"Geotechnical")</f>
        <v/>
      </c>
      <c r="D21" s="41">
        <f>COUNTIFS('WIR Register'!$B$5:$B$2000,$A21,'WIR Register'!$C$5:$C$2000,"Civil")</f>
        <v/>
      </c>
      <c r="E21" s="41">
        <f>COUNTIFS('WIR Register'!$B$5:$B$2000,$A21,'WIR Register'!$C$5:$C$2000,"Tunnelling")</f>
        <v/>
      </c>
      <c r="F21" s="41">
        <f>COUNTIFS('WIR Register'!$B$5:$B$2000,$A21,'WIR Register'!$C$5:$C$2000,"MEP")</f>
        <v/>
      </c>
      <c r="G21" s="41">
        <f>COUNTIFS('WIR Register'!$B$5:$B$2000,$A21,'WIR Register'!$C$5:$C$2000,"Survey")</f>
        <v/>
      </c>
      <c r="H21" s="48">
        <f>SUM(C21:G21)</f>
        <v/>
      </c>
    </row>
    <row r="22">
      <c r="A22" s="49" t="n">
        <v>46289</v>
      </c>
      <c r="B22" s="44">
        <f>TEXT(A22,"ddd")</f>
        <v/>
      </c>
      <c r="C22" s="44">
        <f>COUNTIFS('WIR Register'!$B$5:$B$2000,$A22,'WIR Register'!$C$5:$C$2000,"Geotechnical")</f>
        <v/>
      </c>
      <c r="D22" s="44">
        <f>COUNTIFS('WIR Register'!$B$5:$B$2000,$A22,'WIR Register'!$C$5:$C$2000,"Civil")</f>
        <v/>
      </c>
      <c r="E22" s="44">
        <f>COUNTIFS('WIR Register'!$B$5:$B$2000,$A22,'WIR Register'!$C$5:$C$2000,"Tunnelling")</f>
        <v/>
      </c>
      <c r="F22" s="44">
        <f>COUNTIFS('WIR Register'!$B$5:$B$2000,$A22,'WIR Register'!$C$5:$C$2000,"MEP")</f>
        <v/>
      </c>
      <c r="G22" s="44">
        <f>COUNTIFS('WIR Register'!$B$5:$B$2000,$A22,'WIR Register'!$C$5:$C$2000,"Survey")</f>
        <v/>
      </c>
      <c r="H22" s="50">
        <f>SUM(C22:G22)</f>
        <v/>
      </c>
    </row>
    <row r="23">
      <c r="A23" s="47" t="n">
        <v>46288</v>
      </c>
      <c r="B23" s="41">
        <f>TEXT(A23,"ddd")</f>
        <v/>
      </c>
      <c r="C23" s="41">
        <f>COUNTIFS('WIR Register'!$B$5:$B$2000,$A23,'WIR Register'!$C$5:$C$2000,"Geotechnical")</f>
        <v/>
      </c>
      <c r="D23" s="41">
        <f>COUNTIFS('WIR Register'!$B$5:$B$2000,$A23,'WIR Register'!$C$5:$C$2000,"Civil")</f>
        <v/>
      </c>
      <c r="E23" s="41">
        <f>COUNTIFS('WIR Register'!$B$5:$B$2000,$A23,'WIR Register'!$C$5:$C$2000,"Tunnelling")</f>
        <v/>
      </c>
      <c r="F23" s="41">
        <f>COUNTIFS('WIR Register'!$B$5:$B$2000,$A23,'WIR Register'!$C$5:$C$2000,"MEP")</f>
        <v/>
      </c>
      <c r="G23" s="41">
        <f>COUNTIFS('WIR Register'!$B$5:$B$2000,$A23,'WIR Register'!$C$5:$C$2000,"Survey")</f>
        <v/>
      </c>
      <c r="H23" s="48">
        <f>SUM(C23:G23)</f>
        <v/>
      </c>
    </row>
    <row r="24">
      <c r="A24" s="49" t="n">
        <v>46287</v>
      </c>
      <c r="B24" s="44">
        <f>TEXT(A24,"ddd")</f>
        <v/>
      </c>
      <c r="C24" s="44">
        <f>COUNTIFS('WIR Register'!$B$5:$B$2000,$A24,'WIR Register'!$C$5:$C$2000,"Geotechnical")</f>
        <v/>
      </c>
      <c r="D24" s="44">
        <f>COUNTIFS('WIR Register'!$B$5:$B$2000,$A24,'WIR Register'!$C$5:$C$2000,"Civil")</f>
        <v/>
      </c>
      <c r="E24" s="44">
        <f>COUNTIFS('WIR Register'!$B$5:$B$2000,$A24,'WIR Register'!$C$5:$C$2000,"Tunnelling")</f>
        <v/>
      </c>
      <c r="F24" s="44">
        <f>COUNTIFS('WIR Register'!$B$5:$B$2000,$A24,'WIR Register'!$C$5:$C$2000,"MEP")</f>
        <v/>
      </c>
      <c r="G24" s="44">
        <f>COUNTIFS('WIR Register'!$B$5:$B$2000,$A24,'WIR Register'!$C$5:$C$2000,"Survey")</f>
        <v/>
      </c>
      <c r="H24" s="50">
        <f>SUM(C24:G24)</f>
        <v/>
      </c>
    </row>
    <row r="25">
      <c r="A25" s="47" t="n">
        <v>46286</v>
      </c>
      <c r="B25" s="41">
        <f>TEXT(A25,"ddd")</f>
        <v/>
      </c>
      <c r="C25" s="41">
        <f>COUNTIFS('WIR Register'!$B$5:$B$2000,$A25,'WIR Register'!$C$5:$C$2000,"Geotechnical")</f>
        <v/>
      </c>
      <c r="D25" s="41">
        <f>COUNTIFS('WIR Register'!$B$5:$B$2000,$A25,'WIR Register'!$C$5:$C$2000,"Civil")</f>
        <v/>
      </c>
      <c r="E25" s="41">
        <f>COUNTIFS('WIR Register'!$B$5:$B$2000,$A25,'WIR Register'!$C$5:$C$2000,"Tunnelling")</f>
        <v/>
      </c>
      <c r="F25" s="41">
        <f>COUNTIFS('WIR Register'!$B$5:$B$2000,$A25,'WIR Register'!$C$5:$C$2000,"MEP")</f>
        <v/>
      </c>
      <c r="G25" s="41">
        <f>COUNTIFS('WIR Register'!$B$5:$B$2000,$A25,'WIR Register'!$C$5:$C$2000,"Survey")</f>
        <v/>
      </c>
      <c r="H25" s="48">
        <f>SUM(C25:G25)</f>
        <v/>
      </c>
    </row>
    <row r="26">
      <c r="A26" s="49" t="n">
        <v>46285</v>
      </c>
      <c r="B26" s="44">
        <f>TEXT(A26,"ddd")</f>
        <v/>
      </c>
      <c r="C26" s="44">
        <f>COUNTIFS('WIR Register'!$B$5:$B$2000,$A26,'WIR Register'!$C$5:$C$2000,"Geotechnical")</f>
        <v/>
      </c>
      <c r="D26" s="44">
        <f>COUNTIFS('WIR Register'!$B$5:$B$2000,$A26,'WIR Register'!$C$5:$C$2000,"Civil")</f>
        <v/>
      </c>
      <c r="E26" s="44">
        <f>COUNTIFS('WIR Register'!$B$5:$B$2000,$A26,'WIR Register'!$C$5:$C$2000,"Tunnelling")</f>
        <v/>
      </c>
      <c r="F26" s="44">
        <f>COUNTIFS('WIR Register'!$B$5:$B$2000,$A26,'WIR Register'!$C$5:$C$2000,"MEP")</f>
        <v/>
      </c>
      <c r="G26" s="44">
        <f>COUNTIFS('WIR Register'!$B$5:$B$2000,$A26,'WIR Register'!$C$5:$C$2000,"Survey")</f>
        <v/>
      </c>
      <c r="H26" s="50">
        <f>SUM(C26:G26)</f>
        <v/>
      </c>
    </row>
    <row r="27">
      <c r="A27" s="47" t="n">
        <v>46284</v>
      </c>
      <c r="B27" s="41">
        <f>TEXT(A27,"ddd")</f>
        <v/>
      </c>
      <c r="C27" s="41">
        <f>COUNTIFS('WIR Register'!$B$5:$B$2000,$A27,'WIR Register'!$C$5:$C$2000,"Geotechnical")</f>
        <v/>
      </c>
      <c r="D27" s="41">
        <f>COUNTIFS('WIR Register'!$B$5:$B$2000,$A27,'WIR Register'!$C$5:$C$2000,"Civil")</f>
        <v/>
      </c>
      <c r="E27" s="41">
        <f>COUNTIFS('WIR Register'!$B$5:$B$2000,$A27,'WIR Register'!$C$5:$C$2000,"Tunnelling")</f>
        <v/>
      </c>
      <c r="F27" s="41">
        <f>COUNTIFS('WIR Register'!$B$5:$B$2000,$A27,'WIR Register'!$C$5:$C$2000,"MEP")</f>
        <v/>
      </c>
      <c r="G27" s="41">
        <f>COUNTIFS('WIR Register'!$B$5:$B$2000,$A27,'WIR Register'!$C$5:$C$2000,"Survey")</f>
        <v/>
      </c>
      <c r="H27" s="48">
        <f>SUM(C27:G27)</f>
        <v/>
      </c>
    </row>
    <row r="28">
      <c r="A28" s="49" t="n">
        <v>46282</v>
      </c>
      <c r="B28" s="44">
        <f>TEXT(A28,"ddd")</f>
        <v/>
      </c>
      <c r="C28" s="44">
        <f>COUNTIFS('WIR Register'!$B$5:$B$2000,$A28,'WIR Register'!$C$5:$C$2000,"Geotechnical")</f>
        <v/>
      </c>
      <c r="D28" s="44">
        <f>COUNTIFS('WIR Register'!$B$5:$B$2000,$A28,'WIR Register'!$C$5:$C$2000,"Civil")</f>
        <v/>
      </c>
      <c r="E28" s="44">
        <f>COUNTIFS('WIR Register'!$B$5:$B$2000,$A28,'WIR Register'!$C$5:$C$2000,"Tunnelling")</f>
        <v/>
      </c>
      <c r="F28" s="44">
        <f>COUNTIFS('WIR Register'!$B$5:$B$2000,$A28,'WIR Register'!$C$5:$C$2000,"MEP")</f>
        <v/>
      </c>
      <c r="G28" s="44">
        <f>COUNTIFS('WIR Register'!$B$5:$B$2000,$A28,'WIR Register'!$C$5:$C$2000,"Survey")</f>
        <v/>
      </c>
      <c r="H28" s="50">
        <f>SUM(C28:G28)</f>
        <v/>
      </c>
    </row>
    <row r="29">
      <c r="A29" s="47" t="n">
        <v>46281</v>
      </c>
      <c r="B29" s="41">
        <f>TEXT(A29,"ddd")</f>
        <v/>
      </c>
      <c r="C29" s="41">
        <f>COUNTIFS('WIR Register'!$B$5:$B$2000,$A29,'WIR Register'!$C$5:$C$2000,"Geotechnical")</f>
        <v/>
      </c>
      <c r="D29" s="41">
        <f>COUNTIFS('WIR Register'!$B$5:$B$2000,$A29,'WIR Register'!$C$5:$C$2000,"Civil")</f>
        <v/>
      </c>
      <c r="E29" s="41">
        <f>COUNTIFS('WIR Register'!$B$5:$B$2000,$A29,'WIR Register'!$C$5:$C$2000,"Tunnelling")</f>
        <v/>
      </c>
      <c r="F29" s="41">
        <f>COUNTIFS('WIR Register'!$B$5:$B$2000,$A29,'WIR Register'!$C$5:$C$2000,"MEP")</f>
        <v/>
      </c>
      <c r="G29" s="41">
        <f>COUNTIFS('WIR Register'!$B$5:$B$2000,$A29,'WIR Register'!$C$5:$C$2000,"Survey")</f>
        <v/>
      </c>
      <c r="H29" s="48">
        <f>SUM(C29:G29)</f>
        <v/>
      </c>
    </row>
    <row r="30">
      <c r="A30" s="49" t="n">
        <v>46280</v>
      </c>
      <c r="B30" s="44">
        <f>TEXT(A30,"ddd")</f>
        <v/>
      </c>
      <c r="C30" s="44">
        <f>COUNTIFS('WIR Register'!$B$5:$B$2000,$A30,'WIR Register'!$C$5:$C$2000,"Geotechnical")</f>
        <v/>
      </c>
      <c r="D30" s="44">
        <f>COUNTIFS('WIR Register'!$B$5:$B$2000,$A30,'WIR Register'!$C$5:$C$2000,"Civil")</f>
        <v/>
      </c>
      <c r="E30" s="44">
        <f>COUNTIFS('WIR Register'!$B$5:$B$2000,$A30,'WIR Register'!$C$5:$C$2000,"Tunnelling")</f>
        <v/>
      </c>
      <c r="F30" s="44">
        <f>COUNTIFS('WIR Register'!$B$5:$B$2000,$A30,'WIR Register'!$C$5:$C$2000,"MEP")</f>
        <v/>
      </c>
      <c r="G30" s="44">
        <f>COUNTIFS('WIR Register'!$B$5:$B$2000,$A30,'WIR Register'!$C$5:$C$2000,"Survey")</f>
        <v/>
      </c>
      <c r="H30" s="50">
        <f>SUM(C30:G30)</f>
        <v/>
      </c>
    </row>
    <row r="31">
      <c r="A31" s="47" t="n">
        <v>46279</v>
      </c>
      <c r="B31" s="41">
        <f>TEXT(A31,"ddd")</f>
        <v/>
      </c>
      <c r="C31" s="41">
        <f>COUNTIFS('WIR Register'!$B$5:$B$2000,$A31,'WIR Register'!$C$5:$C$2000,"Geotechnical")</f>
        <v/>
      </c>
      <c r="D31" s="41">
        <f>COUNTIFS('WIR Register'!$B$5:$B$2000,$A31,'WIR Register'!$C$5:$C$2000,"Civil")</f>
        <v/>
      </c>
      <c r="E31" s="41">
        <f>COUNTIFS('WIR Register'!$B$5:$B$2000,$A31,'WIR Register'!$C$5:$C$2000,"Tunnelling")</f>
        <v/>
      </c>
      <c r="F31" s="41">
        <f>COUNTIFS('WIR Register'!$B$5:$B$2000,$A31,'WIR Register'!$C$5:$C$2000,"MEP")</f>
        <v/>
      </c>
      <c r="G31" s="41">
        <f>COUNTIFS('WIR Register'!$B$5:$B$2000,$A31,'WIR Register'!$C$5:$C$2000,"Survey")</f>
        <v/>
      </c>
      <c r="H31" s="48">
        <f>SUM(C31:G31)</f>
        <v/>
      </c>
    </row>
    <row r="32">
      <c r="A32" s="49" t="n">
        <v>46278</v>
      </c>
      <c r="B32" s="44">
        <f>TEXT(A32,"ddd")</f>
        <v/>
      </c>
      <c r="C32" s="44">
        <f>COUNTIFS('WIR Register'!$B$5:$B$2000,$A32,'WIR Register'!$C$5:$C$2000,"Geotechnical")</f>
        <v/>
      </c>
      <c r="D32" s="44">
        <f>COUNTIFS('WIR Register'!$B$5:$B$2000,$A32,'WIR Register'!$C$5:$C$2000,"Civil")</f>
        <v/>
      </c>
      <c r="E32" s="44">
        <f>COUNTIFS('WIR Register'!$B$5:$B$2000,$A32,'WIR Register'!$C$5:$C$2000,"Tunnelling")</f>
        <v/>
      </c>
      <c r="F32" s="44">
        <f>COUNTIFS('WIR Register'!$B$5:$B$2000,$A32,'WIR Register'!$C$5:$C$2000,"MEP")</f>
        <v/>
      </c>
      <c r="G32" s="44">
        <f>COUNTIFS('WIR Register'!$B$5:$B$2000,$A32,'WIR Register'!$C$5:$C$2000,"Survey")</f>
        <v/>
      </c>
      <c r="H32" s="50">
        <f>SUM(C32:G32)</f>
        <v/>
      </c>
    </row>
    <row r="33">
      <c r="A33" s="47" t="n">
        <v>46277</v>
      </c>
      <c r="B33" s="41">
        <f>TEXT(A33,"ddd")</f>
        <v/>
      </c>
      <c r="C33" s="41">
        <f>COUNTIFS('WIR Register'!$B$5:$B$2000,$A33,'WIR Register'!$C$5:$C$2000,"Geotechnical")</f>
        <v/>
      </c>
      <c r="D33" s="41">
        <f>COUNTIFS('WIR Register'!$B$5:$B$2000,$A33,'WIR Register'!$C$5:$C$2000,"Civil")</f>
        <v/>
      </c>
      <c r="E33" s="41">
        <f>COUNTIFS('WIR Register'!$B$5:$B$2000,$A33,'WIR Register'!$C$5:$C$2000,"Tunnelling")</f>
        <v/>
      </c>
      <c r="F33" s="41">
        <f>COUNTIFS('WIR Register'!$B$5:$B$2000,$A33,'WIR Register'!$C$5:$C$2000,"MEP")</f>
        <v/>
      </c>
      <c r="G33" s="41">
        <f>COUNTIFS('WIR Register'!$B$5:$B$2000,$A33,'WIR Register'!$C$5:$C$2000,"Survey")</f>
        <v/>
      </c>
      <c r="H33" s="48">
        <f>SUM(C33:G33)</f>
        <v/>
      </c>
    </row>
    <row r="34">
      <c r="A34" s="49" t="n">
        <v>46275</v>
      </c>
      <c r="B34" s="44">
        <f>TEXT(A34,"ddd")</f>
        <v/>
      </c>
      <c r="C34" s="44">
        <f>COUNTIFS('WIR Register'!$B$5:$B$2000,$A34,'WIR Register'!$C$5:$C$2000,"Geotechnical")</f>
        <v/>
      </c>
      <c r="D34" s="44">
        <f>COUNTIFS('WIR Register'!$B$5:$B$2000,$A34,'WIR Register'!$C$5:$C$2000,"Civil")</f>
        <v/>
      </c>
      <c r="E34" s="44">
        <f>COUNTIFS('WIR Register'!$B$5:$B$2000,$A34,'WIR Register'!$C$5:$C$2000,"Tunnelling")</f>
        <v/>
      </c>
      <c r="F34" s="44">
        <f>COUNTIFS('WIR Register'!$B$5:$B$2000,$A34,'WIR Register'!$C$5:$C$2000,"MEP")</f>
        <v/>
      </c>
      <c r="G34" s="44">
        <f>COUNTIFS('WIR Register'!$B$5:$B$2000,$A34,'WIR Register'!$C$5:$C$2000,"Survey")</f>
        <v/>
      </c>
      <c r="H34" s="50">
        <f>SUM(C34:G34)</f>
        <v/>
      </c>
    </row>
    <row r="35">
      <c r="A35" s="47" t="n">
        <v>46274</v>
      </c>
      <c r="B35" s="41">
        <f>TEXT(A35,"ddd")</f>
        <v/>
      </c>
      <c r="C35" s="41">
        <f>COUNTIFS('WIR Register'!$B$5:$B$2000,$A35,'WIR Register'!$C$5:$C$2000,"Geotechnical")</f>
        <v/>
      </c>
      <c r="D35" s="41">
        <f>COUNTIFS('WIR Register'!$B$5:$B$2000,$A35,'WIR Register'!$C$5:$C$2000,"Civil")</f>
        <v/>
      </c>
      <c r="E35" s="41">
        <f>COUNTIFS('WIR Register'!$B$5:$B$2000,$A35,'WIR Register'!$C$5:$C$2000,"Tunnelling")</f>
        <v/>
      </c>
      <c r="F35" s="41">
        <f>COUNTIFS('WIR Register'!$B$5:$B$2000,$A35,'WIR Register'!$C$5:$C$2000,"MEP")</f>
        <v/>
      </c>
      <c r="G35" s="41">
        <f>COUNTIFS('WIR Register'!$B$5:$B$2000,$A35,'WIR Register'!$C$5:$C$2000,"Survey")</f>
        <v/>
      </c>
      <c r="H35" s="48">
        <f>SUM(C35:G35)</f>
        <v/>
      </c>
    </row>
    <row r="36">
      <c r="A36" s="49" t="n">
        <v>46273</v>
      </c>
      <c r="B36" s="44">
        <f>TEXT(A36,"ddd")</f>
        <v/>
      </c>
      <c r="C36" s="44">
        <f>COUNTIFS('WIR Register'!$B$5:$B$2000,$A36,'WIR Register'!$C$5:$C$2000,"Geotechnical")</f>
        <v/>
      </c>
      <c r="D36" s="44">
        <f>COUNTIFS('WIR Register'!$B$5:$B$2000,$A36,'WIR Register'!$C$5:$C$2000,"Civil")</f>
        <v/>
      </c>
      <c r="E36" s="44">
        <f>COUNTIFS('WIR Register'!$B$5:$B$2000,$A36,'WIR Register'!$C$5:$C$2000,"Tunnelling")</f>
        <v/>
      </c>
      <c r="F36" s="44">
        <f>COUNTIFS('WIR Register'!$B$5:$B$2000,$A36,'WIR Register'!$C$5:$C$2000,"MEP")</f>
        <v/>
      </c>
      <c r="G36" s="44">
        <f>COUNTIFS('WIR Register'!$B$5:$B$2000,$A36,'WIR Register'!$C$5:$C$2000,"Survey")</f>
        <v/>
      </c>
      <c r="H36" s="50">
        <f>SUM(C36:G36)</f>
        <v/>
      </c>
    </row>
    <row r="37">
      <c r="A37" s="47" t="n">
        <v>46272</v>
      </c>
      <c r="B37" s="41">
        <f>TEXT(A37,"ddd")</f>
        <v/>
      </c>
      <c r="C37" s="41">
        <f>COUNTIFS('WIR Register'!$B$5:$B$2000,$A37,'WIR Register'!$C$5:$C$2000,"Geotechnical")</f>
        <v/>
      </c>
      <c r="D37" s="41">
        <f>COUNTIFS('WIR Register'!$B$5:$B$2000,$A37,'WIR Register'!$C$5:$C$2000,"Civil")</f>
        <v/>
      </c>
      <c r="E37" s="41">
        <f>COUNTIFS('WIR Register'!$B$5:$B$2000,$A37,'WIR Register'!$C$5:$C$2000,"Tunnelling")</f>
        <v/>
      </c>
      <c r="F37" s="41">
        <f>COUNTIFS('WIR Register'!$B$5:$B$2000,$A37,'WIR Register'!$C$5:$C$2000,"MEP")</f>
        <v/>
      </c>
      <c r="G37" s="41">
        <f>COUNTIFS('WIR Register'!$B$5:$B$2000,$A37,'WIR Register'!$C$5:$C$2000,"Survey")</f>
        <v/>
      </c>
      <c r="H37" s="48">
        <f>SUM(C37:G37)</f>
        <v/>
      </c>
    </row>
    <row r="38">
      <c r="A38" s="49" t="n">
        <v>46271</v>
      </c>
      <c r="B38" s="44">
        <f>TEXT(A38,"ddd")</f>
        <v/>
      </c>
      <c r="C38" s="44">
        <f>COUNTIFS('WIR Register'!$B$5:$B$2000,$A38,'WIR Register'!$C$5:$C$2000,"Geotechnical")</f>
        <v/>
      </c>
      <c r="D38" s="44">
        <f>COUNTIFS('WIR Register'!$B$5:$B$2000,$A38,'WIR Register'!$C$5:$C$2000,"Civil")</f>
        <v/>
      </c>
      <c r="E38" s="44">
        <f>COUNTIFS('WIR Register'!$B$5:$B$2000,$A38,'WIR Register'!$C$5:$C$2000,"Tunnelling")</f>
        <v/>
      </c>
      <c r="F38" s="44">
        <f>COUNTIFS('WIR Register'!$B$5:$B$2000,$A38,'WIR Register'!$C$5:$C$2000,"MEP")</f>
        <v/>
      </c>
      <c r="G38" s="44">
        <f>COUNTIFS('WIR Register'!$B$5:$B$2000,$A38,'WIR Register'!$C$5:$C$2000,"Survey")</f>
        <v/>
      </c>
      <c r="H38" s="50">
        <f>SUM(C38:G38)</f>
        <v/>
      </c>
    </row>
    <row r="39">
      <c r="A39" s="47" t="n">
        <v>46270</v>
      </c>
      <c r="B39" s="41">
        <f>TEXT(A39,"ddd")</f>
        <v/>
      </c>
      <c r="C39" s="41">
        <f>COUNTIFS('WIR Register'!$B$5:$B$2000,$A39,'WIR Register'!$C$5:$C$2000,"Geotechnical")</f>
        <v/>
      </c>
      <c r="D39" s="41">
        <f>COUNTIFS('WIR Register'!$B$5:$B$2000,$A39,'WIR Register'!$C$5:$C$2000,"Civil")</f>
        <v/>
      </c>
      <c r="E39" s="41">
        <f>COUNTIFS('WIR Register'!$B$5:$B$2000,$A39,'WIR Register'!$C$5:$C$2000,"Tunnelling")</f>
        <v/>
      </c>
      <c r="F39" s="41">
        <f>COUNTIFS('WIR Register'!$B$5:$B$2000,$A39,'WIR Register'!$C$5:$C$2000,"MEP")</f>
        <v/>
      </c>
      <c r="G39" s="41">
        <f>COUNTIFS('WIR Register'!$B$5:$B$2000,$A39,'WIR Register'!$C$5:$C$2000,"Survey")</f>
        <v/>
      </c>
      <c r="H39" s="48">
        <f>SUM(C39:G39)</f>
        <v/>
      </c>
    </row>
    <row r="40">
      <c r="A40" s="49" t="n">
        <v>46268</v>
      </c>
      <c r="B40" s="44">
        <f>TEXT(A40,"ddd")</f>
        <v/>
      </c>
      <c r="C40" s="44">
        <f>COUNTIFS('WIR Register'!$B$5:$B$2000,$A40,'WIR Register'!$C$5:$C$2000,"Geotechnical")</f>
        <v/>
      </c>
      <c r="D40" s="44">
        <f>COUNTIFS('WIR Register'!$B$5:$B$2000,$A40,'WIR Register'!$C$5:$C$2000,"Civil")</f>
        <v/>
      </c>
      <c r="E40" s="44">
        <f>COUNTIFS('WIR Register'!$B$5:$B$2000,$A40,'WIR Register'!$C$5:$C$2000,"Tunnelling")</f>
        <v/>
      </c>
      <c r="F40" s="44">
        <f>COUNTIFS('WIR Register'!$B$5:$B$2000,$A40,'WIR Register'!$C$5:$C$2000,"MEP")</f>
        <v/>
      </c>
      <c r="G40" s="44">
        <f>COUNTIFS('WIR Register'!$B$5:$B$2000,$A40,'WIR Register'!$C$5:$C$2000,"Survey")</f>
        <v/>
      </c>
      <c r="H40" s="50">
        <f>SUM(C40:G40)</f>
        <v/>
      </c>
    </row>
    <row r="41">
      <c r="A41" s="47" t="n">
        <v>46267</v>
      </c>
      <c r="B41" s="41">
        <f>TEXT(A41,"ddd")</f>
        <v/>
      </c>
      <c r="C41" s="41">
        <f>COUNTIFS('WIR Register'!$B$5:$B$2000,$A41,'WIR Register'!$C$5:$C$2000,"Geotechnical")</f>
        <v/>
      </c>
      <c r="D41" s="41">
        <f>COUNTIFS('WIR Register'!$B$5:$B$2000,$A41,'WIR Register'!$C$5:$C$2000,"Civil")</f>
        <v/>
      </c>
      <c r="E41" s="41">
        <f>COUNTIFS('WIR Register'!$B$5:$B$2000,$A41,'WIR Register'!$C$5:$C$2000,"Tunnelling")</f>
        <v/>
      </c>
      <c r="F41" s="41">
        <f>COUNTIFS('WIR Register'!$B$5:$B$2000,$A41,'WIR Register'!$C$5:$C$2000,"MEP")</f>
        <v/>
      </c>
      <c r="G41" s="41">
        <f>COUNTIFS('WIR Register'!$B$5:$B$2000,$A41,'WIR Register'!$C$5:$C$2000,"Survey")</f>
        <v/>
      </c>
      <c r="H41" s="48">
        <f>SUM(C41:G41)</f>
        <v/>
      </c>
    </row>
    <row r="42">
      <c r="A42" s="49" t="n">
        <v>46266</v>
      </c>
      <c r="B42" s="44">
        <f>TEXT(A42,"ddd")</f>
        <v/>
      </c>
      <c r="C42" s="44">
        <f>COUNTIFS('WIR Register'!$B$5:$B$2000,$A42,'WIR Register'!$C$5:$C$2000,"Geotechnical")</f>
        <v/>
      </c>
      <c r="D42" s="44">
        <f>COUNTIFS('WIR Register'!$B$5:$B$2000,$A42,'WIR Register'!$C$5:$C$2000,"Civil")</f>
        <v/>
      </c>
      <c r="E42" s="44">
        <f>COUNTIFS('WIR Register'!$B$5:$B$2000,$A42,'WIR Register'!$C$5:$C$2000,"Tunnelling")</f>
        <v/>
      </c>
      <c r="F42" s="44">
        <f>COUNTIFS('WIR Register'!$B$5:$B$2000,$A42,'WIR Register'!$C$5:$C$2000,"MEP")</f>
        <v/>
      </c>
      <c r="G42" s="44">
        <f>COUNTIFS('WIR Register'!$B$5:$B$2000,$A42,'WIR Register'!$C$5:$C$2000,"Survey")</f>
        <v/>
      </c>
      <c r="H42" s="50">
        <f>SUM(C42:G42)</f>
        <v/>
      </c>
    </row>
    <row r="43">
      <c r="A43" s="47" t="n">
        <v>46265</v>
      </c>
      <c r="B43" s="41">
        <f>TEXT(A43,"ddd")</f>
        <v/>
      </c>
      <c r="C43" s="41">
        <f>COUNTIFS('WIR Register'!$B$5:$B$2000,$A43,'WIR Register'!$C$5:$C$2000,"Geotechnical")</f>
        <v/>
      </c>
      <c r="D43" s="41">
        <f>COUNTIFS('WIR Register'!$B$5:$B$2000,$A43,'WIR Register'!$C$5:$C$2000,"Civil")</f>
        <v/>
      </c>
      <c r="E43" s="41">
        <f>COUNTIFS('WIR Register'!$B$5:$B$2000,$A43,'WIR Register'!$C$5:$C$2000,"Tunnelling")</f>
        <v/>
      </c>
      <c r="F43" s="41">
        <f>COUNTIFS('WIR Register'!$B$5:$B$2000,$A43,'WIR Register'!$C$5:$C$2000,"MEP")</f>
        <v/>
      </c>
      <c r="G43" s="41">
        <f>COUNTIFS('WIR Register'!$B$5:$B$2000,$A43,'WIR Register'!$C$5:$C$2000,"Survey")</f>
        <v/>
      </c>
      <c r="H43" s="48">
        <f>SUM(C43:G43)</f>
        <v/>
      </c>
    </row>
    <row r="44">
      <c r="A44" s="49" t="n">
        <v>46264</v>
      </c>
      <c r="B44" s="44">
        <f>TEXT(A44,"ddd")</f>
        <v/>
      </c>
      <c r="C44" s="44">
        <f>COUNTIFS('WIR Register'!$B$5:$B$2000,$A44,'WIR Register'!$C$5:$C$2000,"Geotechnical")</f>
        <v/>
      </c>
      <c r="D44" s="44">
        <f>COUNTIFS('WIR Register'!$B$5:$B$2000,$A44,'WIR Register'!$C$5:$C$2000,"Civil")</f>
        <v/>
      </c>
      <c r="E44" s="44">
        <f>COUNTIFS('WIR Register'!$B$5:$B$2000,$A44,'WIR Register'!$C$5:$C$2000,"Tunnelling")</f>
        <v/>
      </c>
      <c r="F44" s="44">
        <f>COUNTIFS('WIR Register'!$B$5:$B$2000,$A44,'WIR Register'!$C$5:$C$2000,"MEP")</f>
        <v/>
      </c>
      <c r="G44" s="44">
        <f>COUNTIFS('WIR Register'!$B$5:$B$2000,$A44,'WIR Register'!$C$5:$C$2000,"Survey")</f>
        <v/>
      </c>
      <c r="H44" s="50">
        <f>SUM(C44:G44)</f>
        <v/>
      </c>
    </row>
    <row r="45">
      <c r="A45" s="47" t="n">
        <v>46263</v>
      </c>
      <c r="B45" s="41">
        <f>TEXT(A45,"ddd")</f>
        <v/>
      </c>
      <c r="C45" s="41">
        <f>COUNTIFS('WIR Register'!$B$5:$B$2000,$A45,'WIR Register'!$C$5:$C$2000,"Geotechnical")</f>
        <v/>
      </c>
      <c r="D45" s="41">
        <f>COUNTIFS('WIR Register'!$B$5:$B$2000,$A45,'WIR Register'!$C$5:$C$2000,"Civil")</f>
        <v/>
      </c>
      <c r="E45" s="41">
        <f>COUNTIFS('WIR Register'!$B$5:$B$2000,$A45,'WIR Register'!$C$5:$C$2000,"Tunnelling")</f>
        <v/>
      </c>
      <c r="F45" s="41">
        <f>COUNTIFS('WIR Register'!$B$5:$B$2000,$A45,'WIR Register'!$C$5:$C$2000,"MEP")</f>
        <v/>
      </c>
      <c r="G45" s="41">
        <f>COUNTIFS('WIR Register'!$B$5:$B$2000,$A45,'WIR Register'!$C$5:$C$2000,"Survey")</f>
        <v/>
      </c>
      <c r="H45" s="48">
        <f>SUM(C45:G45)</f>
        <v/>
      </c>
    </row>
    <row r="46">
      <c r="A46" s="49" t="n">
        <v>46261</v>
      </c>
      <c r="B46" s="44">
        <f>TEXT(A46,"ddd")</f>
        <v/>
      </c>
      <c r="C46" s="44">
        <f>COUNTIFS('WIR Register'!$B$5:$B$2000,$A46,'WIR Register'!$C$5:$C$2000,"Geotechnical")</f>
        <v/>
      </c>
      <c r="D46" s="44">
        <f>COUNTIFS('WIR Register'!$B$5:$B$2000,$A46,'WIR Register'!$C$5:$C$2000,"Civil")</f>
        <v/>
      </c>
      <c r="E46" s="44">
        <f>COUNTIFS('WIR Register'!$B$5:$B$2000,$A46,'WIR Register'!$C$5:$C$2000,"Tunnelling")</f>
        <v/>
      </c>
      <c r="F46" s="44">
        <f>COUNTIFS('WIR Register'!$B$5:$B$2000,$A46,'WIR Register'!$C$5:$C$2000,"MEP")</f>
        <v/>
      </c>
      <c r="G46" s="44">
        <f>COUNTIFS('WIR Register'!$B$5:$B$2000,$A46,'WIR Register'!$C$5:$C$2000,"Survey")</f>
        <v/>
      </c>
      <c r="H46" s="50">
        <f>SUM(C46:G46)</f>
        <v/>
      </c>
    </row>
    <row r="47">
      <c r="A47" s="47" t="n">
        <v>46260</v>
      </c>
      <c r="B47" s="41">
        <f>TEXT(A47,"ddd")</f>
        <v/>
      </c>
      <c r="C47" s="41">
        <f>COUNTIFS('WIR Register'!$B$5:$B$2000,$A47,'WIR Register'!$C$5:$C$2000,"Geotechnical")</f>
        <v/>
      </c>
      <c r="D47" s="41">
        <f>COUNTIFS('WIR Register'!$B$5:$B$2000,$A47,'WIR Register'!$C$5:$C$2000,"Civil")</f>
        <v/>
      </c>
      <c r="E47" s="41">
        <f>COUNTIFS('WIR Register'!$B$5:$B$2000,$A47,'WIR Register'!$C$5:$C$2000,"Tunnelling")</f>
        <v/>
      </c>
      <c r="F47" s="41">
        <f>COUNTIFS('WIR Register'!$B$5:$B$2000,$A47,'WIR Register'!$C$5:$C$2000,"MEP")</f>
        <v/>
      </c>
      <c r="G47" s="41">
        <f>COUNTIFS('WIR Register'!$B$5:$B$2000,$A47,'WIR Register'!$C$5:$C$2000,"Survey")</f>
        <v/>
      </c>
      <c r="H47" s="48">
        <f>SUM(C47:G47)</f>
        <v/>
      </c>
    </row>
    <row r="48">
      <c r="A48" s="49" t="n">
        <v>46259</v>
      </c>
      <c r="B48" s="44">
        <f>TEXT(A48,"ddd")</f>
        <v/>
      </c>
      <c r="C48" s="44">
        <f>COUNTIFS('WIR Register'!$B$5:$B$2000,$A48,'WIR Register'!$C$5:$C$2000,"Geotechnical")</f>
        <v/>
      </c>
      <c r="D48" s="44">
        <f>COUNTIFS('WIR Register'!$B$5:$B$2000,$A48,'WIR Register'!$C$5:$C$2000,"Civil")</f>
        <v/>
      </c>
      <c r="E48" s="44">
        <f>COUNTIFS('WIR Register'!$B$5:$B$2000,$A48,'WIR Register'!$C$5:$C$2000,"Tunnelling")</f>
        <v/>
      </c>
      <c r="F48" s="44">
        <f>COUNTIFS('WIR Register'!$B$5:$B$2000,$A48,'WIR Register'!$C$5:$C$2000,"MEP")</f>
        <v/>
      </c>
      <c r="G48" s="44">
        <f>COUNTIFS('WIR Register'!$B$5:$B$2000,$A48,'WIR Register'!$C$5:$C$2000,"Survey")</f>
        <v/>
      </c>
      <c r="H48" s="50">
        <f>SUM(C48:G48)</f>
        <v/>
      </c>
    </row>
    <row r="49">
      <c r="A49" s="47" t="n">
        <v>46258</v>
      </c>
      <c r="B49" s="41">
        <f>TEXT(A49,"ddd")</f>
        <v/>
      </c>
      <c r="C49" s="41">
        <f>COUNTIFS('WIR Register'!$B$5:$B$2000,$A49,'WIR Register'!$C$5:$C$2000,"Geotechnical")</f>
        <v/>
      </c>
      <c r="D49" s="41">
        <f>COUNTIFS('WIR Register'!$B$5:$B$2000,$A49,'WIR Register'!$C$5:$C$2000,"Civil")</f>
        <v/>
      </c>
      <c r="E49" s="41">
        <f>COUNTIFS('WIR Register'!$B$5:$B$2000,$A49,'WIR Register'!$C$5:$C$2000,"Tunnelling")</f>
        <v/>
      </c>
      <c r="F49" s="41">
        <f>COUNTIFS('WIR Register'!$B$5:$B$2000,$A49,'WIR Register'!$C$5:$C$2000,"MEP")</f>
        <v/>
      </c>
      <c r="G49" s="41">
        <f>COUNTIFS('WIR Register'!$B$5:$B$2000,$A49,'WIR Register'!$C$5:$C$2000,"Survey")</f>
        <v/>
      </c>
      <c r="H49" s="48">
        <f>SUM(C49:G49)</f>
        <v/>
      </c>
    </row>
    <row r="50">
      <c r="A50" s="49" t="n">
        <v>46257</v>
      </c>
      <c r="B50" s="44">
        <f>TEXT(A50,"ddd")</f>
        <v/>
      </c>
      <c r="C50" s="44">
        <f>COUNTIFS('WIR Register'!$B$5:$B$2000,$A50,'WIR Register'!$C$5:$C$2000,"Geotechnical")</f>
        <v/>
      </c>
      <c r="D50" s="44">
        <f>COUNTIFS('WIR Register'!$B$5:$B$2000,$A50,'WIR Register'!$C$5:$C$2000,"Civil")</f>
        <v/>
      </c>
      <c r="E50" s="44">
        <f>COUNTIFS('WIR Register'!$B$5:$B$2000,$A50,'WIR Register'!$C$5:$C$2000,"Tunnelling")</f>
        <v/>
      </c>
      <c r="F50" s="44">
        <f>COUNTIFS('WIR Register'!$B$5:$B$2000,$A50,'WIR Register'!$C$5:$C$2000,"MEP")</f>
        <v/>
      </c>
      <c r="G50" s="44">
        <f>COUNTIFS('WIR Register'!$B$5:$B$2000,$A50,'WIR Register'!$C$5:$C$2000,"Survey")</f>
        <v/>
      </c>
      <c r="H50" s="50">
        <f>SUM(C50:G50)</f>
        <v/>
      </c>
    </row>
    <row r="51">
      <c r="A51" s="47" t="n">
        <v>46256</v>
      </c>
      <c r="B51" s="41">
        <f>TEXT(A51,"ddd")</f>
        <v/>
      </c>
      <c r="C51" s="41">
        <f>COUNTIFS('WIR Register'!$B$5:$B$2000,$A51,'WIR Register'!$C$5:$C$2000,"Geotechnical")</f>
        <v/>
      </c>
      <c r="D51" s="41">
        <f>COUNTIFS('WIR Register'!$B$5:$B$2000,$A51,'WIR Register'!$C$5:$C$2000,"Civil")</f>
        <v/>
      </c>
      <c r="E51" s="41">
        <f>COUNTIFS('WIR Register'!$B$5:$B$2000,$A51,'WIR Register'!$C$5:$C$2000,"Tunnelling")</f>
        <v/>
      </c>
      <c r="F51" s="41">
        <f>COUNTIFS('WIR Register'!$B$5:$B$2000,$A51,'WIR Register'!$C$5:$C$2000,"MEP")</f>
        <v/>
      </c>
      <c r="G51" s="41">
        <f>COUNTIFS('WIR Register'!$B$5:$B$2000,$A51,'WIR Register'!$C$5:$C$2000,"Survey")</f>
        <v/>
      </c>
      <c r="H51" s="48">
        <f>SUM(C51:G51)</f>
        <v/>
      </c>
    </row>
    <row r="52">
      <c r="A52" s="49" t="n">
        <v>46254</v>
      </c>
      <c r="B52" s="44">
        <f>TEXT(A52,"ddd")</f>
        <v/>
      </c>
      <c r="C52" s="44">
        <f>COUNTIFS('WIR Register'!$B$5:$B$2000,$A52,'WIR Register'!$C$5:$C$2000,"Geotechnical")</f>
        <v/>
      </c>
      <c r="D52" s="44">
        <f>COUNTIFS('WIR Register'!$B$5:$B$2000,$A52,'WIR Register'!$C$5:$C$2000,"Civil")</f>
        <v/>
      </c>
      <c r="E52" s="44">
        <f>COUNTIFS('WIR Register'!$B$5:$B$2000,$A52,'WIR Register'!$C$5:$C$2000,"Tunnelling")</f>
        <v/>
      </c>
      <c r="F52" s="44">
        <f>COUNTIFS('WIR Register'!$B$5:$B$2000,$A52,'WIR Register'!$C$5:$C$2000,"MEP")</f>
        <v/>
      </c>
      <c r="G52" s="44">
        <f>COUNTIFS('WIR Register'!$B$5:$B$2000,$A52,'WIR Register'!$C$5:$C$2000,"Survey")</f>
        <v/>
      </c>
      <c r="H52" s="50">
        <f>SUM(C52:G52)</f>
        <v/>
      </c>
    </row>
    <row r="53">
      <c r="A53" s="47" t="n">
        <v>46253</v>
      </c>
      <c r="B53" s="41">
        <f>TEXT(A53,"ddd")</f>
        <v/>
      </c>
      <c r="C53" s="41">
        <f>COUNTIFS('WIR Register'!$B$5:$B$2000,$A53,'WIR Register'!$C$5:$C$2000,"Geotechnical")</f>
        <v/>
      </c>
      <c r="D53" s="41">
        <f>COUNTIFS('WIR Register'!$B$5:$B$2000,$A53,'WIR Register'!$C$5:$C$2000,"Civil")</f>
        <v/>
      </c>
      <c r="E53" s="41">
        <f>COUNTIFS('WIR Register'!$B$5:$B$2000,$A53,'WIR Register'!$C$5:$C$2000,"Tunnelling")</f>
        <v/>
      </c>
      <c r="F53" s="41">
        <f>COUNTIFS('WIR Register'!$B$5:$B$2000,$A53,'WIR Register'!$C$5:$C$2000,"MEP")</f>
        <v/>
      </c>
      <c r="G53" s="41">
        <f>COUNTIFS('WIR Register'!$B$5:$B$2000,$A53,'WIR Register'!$C$5:$C$2000,"Survey")</f>
        <v/>
      </c>
      <c r="H53" s="48">
        <f>SUM(C53:G53)</f>
        <v/>
      </c>
    </row>
    <row r="54">
      <c r="A54" s="49" t="n">
        <v>46252</v>
      </c>
      <c r="B54" s="44">
        <f>TEXT(A54,"ddd")</f>
        <v/>
      </c>
      <c r="C54" s="44">
        <f>COUNTIFS('WIR Register'!$B$5:$B$2000,$A54,'WIR Register'!$C$5:$C$2000,"Geotechnical")</f>
        <v/>
      </c>
      <c r="D54" s="44">
        <f>COUNTIFS('WIR Register'!$B$5:$B$2000,$A54,'WIR Register'!$C$5:$C$2000,"Civil")</f>
        <v/>
      </c>
      <c r="E54" s="44">
        <f>COUNTIFS('WIR Register'!$B$5:$B$2000,$A54,'WIR Register'!$C$5:$C$2000,"Tunnelling")</f>
        <v/>
      </c>
      <c r="F54" s="44">
        <f>COUNTIFS('WIR Register'!$B$5:$B$2000,$A54,'WIR Register'!$C$5:$C$2000,"MEP")</f>
        <v/>
      </c>
      <c r="G54" s="44">
        <f>COUNTIFS('WIR Register'!$B$5:$B$2000,$A54,'WIR Register'!$C$5:$C$2000,"Survey")</f>
        <v/>
      </c>
      <c r="H54" s="50">
        <f>SUM(C54:G54)</f>
        <v/>
      </c>
    </row>
    <row r="55">
      <c r="A55" s="47" t="n">
        <v>46251</v>
      </c>
      <c r="B55" s="41">
        <f>TEXT(A55,"ddd")</f>
        <v/>
      </c>
      <c r="C55" s="41">
        <f>COUNTIFS('WIR Register'!$B$5:$B$2000,$A55,'WIR Register'!$C$5:$C$2000,"Geotechnical")</f>
        <v/>
      </c>
      <c r="D55" s="41">
        <f>COUNTIFS('WIR Register'!$B$5:$B$2000,$A55,'WIR Register'!$C$5:$C$2000,"Civil")</f>
        <v/>
      </c>
      <c r="E55" s="41">
        <f>COUNTIFS('WIR Register'!$B$5:$B$2000,$A55,'WIR Register'!$C$5:$C$2000,"Tunnelling")</f>
        <v/>
      </c>
      <c r="F55" s="41">
        <f>COUNTIFS('WIR Register'!$B$5:$B$2000,$A55,'WIR Register'!$C$5:$C$2000,"MEP")</f>
        <v/>
      </c>
      <c r="G55" s="41">
        <f>COUNTIFS('WIR Register'!$B$5:$B$2000,$A55,'WIR Register'!$C$5:$C$2000,"Survey")</f>
        <v/>
      </c>
      <c r="H55" s="48">
        <f>SUM(C55:G55)</f>
        <v/>
      </c>
    </row>
    <row r="56">
      <c r="A56" s="49" t="n">
        <v>46250</v>
      </c>
      <c r="B56" s="44">
        <f>TEXT(A56,"ddd")</f>
        <v/>
      </c>
      <c r="C56" s="44">
        <f>COUNTIFS('WIR Register'!$B$5:$B$2000,$A56,'WIR Register'!$C$5:$C$2000,"Geotechnical")</f>
        <v/>
      </c>
      <c r="D56" s="44">
        <f>COUNTIFS('WIR Register'!$B$5:$B$2000,$A56,'WIR Register'!$C$5:$C$2000,"Civil")</f>
        <v/>
      </c>
      <c r="E56" s="44">
        <f>COUNTIFS('WIR Register'!$B$5:$B$2000,$A56,'WIR Register'!$C$5:$C$2000,"Tunnelling")</f>
        <v/>
      </c>
      <c r="F56" s="44">
        <f>COUNTIFS('WIR Register'!$B$5:$B$2000,$A56,'WIR Register'!$C$5:$C$2000,"MEP")</f>
        <v/>
      </c>
      <c r="G56" s="44">
        <f>COUNTIFS('WIR Register'!$B$5:$B$2000,$A56,'WIR Register'!$C$5:$C$2000,"Survey")</f>
        <v/>
      </c>
      <c r="H56" s="50">
        <f>SUM(C56:G56)</f>
        <v/>
      </c>
    </row>
    <row r="57">
      <c r="A57" s="47" t="n">
        <v>46249</v>
      </c>
      <c r="B57" s="41">
        <f>TEXT(A57,"ddd")</f>
        <v/>
      </c>
      <c r="C57" s="41">
        <f>COUNTIFS('WIR Register'!$B$5:$B$2000,$A57,'WIR Register'!$C$5:$C$2000,"Geotechnical")</f>
        <v/>
      </c>
      <c r="D57" s="41">
        <f>COUNTIFS('WIR Register'!$B$5:$B$2000,$A57,'WIR Register'!$C$5:$C$2000,"Civil")</f>
        <v/>
      </c>
      <c r="E57" s="41">
        <f>COUNTIFS('WIR Register'!$B$5:$B$2000,$A57,'WIR Register'!$C$5:$C$2000,"Tunnelling")</f>
        <v/>
      </c>
      <c r="F57" s="41">
        <f>COUNTIFS('WIR Register'!$B$5:$B$2000,$A57,'WIR Register'!$C$5:$C$2000,"MEP")</f>
        <v/>
      </c>
      <c r="G57" s="41">
        <f>COUNTIFS('WIR Register'!$B$5:$B$2000,$A57,'WIR Register'!$C$5:$C$2000,"Survey")</f>
        <v/>
      </c>
      <c r="H57" s="48">
        <f>SUM(C57:G57)</f>
        <v/>
      </c>
    </row>
    <row r="58">
      <c r="A58" s="49" t="n">
        <v>46247</v>
      </c>
      <c r="B58" s="44">
        <f>TEXT(A58,"ddd")</f>
        <v/>
      </c>
      <c r="C58" s="44">
        <f>COUNTIFS('WIR Register'!$B$5:$B$2000,$A58,'WIR Register'!$C$5:$C$2000,"Geotechnical")</f>
        <v/>
      </c>
      <c r="D58" s="44">
        <f>COUNTIFS('WIR Register'!$B$5:$B$2000,$A58,'WIR Register'!$C$5:$C$2000,"Civil")</f>
        <v/>
      </c>
      <c r="E58" s="44">
        <f>COUNTIFS('WIR Register'!$B$5:$B$2000,$A58,'WIR Register'!$C$5:$C$2000,"Tunnelling")</f>
        <v/>
      </c>
      <c r="F58" s="44">
        <f>COUNTIFS('WIR Register'!$B$5:$B$2000,$A58,'WIR Register'!$C$5:$C$2000,"MEP")</f>
        <v/>
      </c>
      <c r="G58" s="44">
        <f>COUNTIFS('WIR Register'!$B$5:$B$2000,$A58,'WIR Register'!$C$5:$C$2000,"Survey")</f>
        <v/>
      </c>
      <c r="H58" s="50">
        <f>SUM(C58:G58)</f>
        <v/>
      </c>
    </row>
    <row r="59">
      <c r="A59" s="47" t="n">
        <v>46246</v>
      </c>
      <c r="B59" s="41">
        <f>TEXT(A59,"ddd")</f>
        <v/>
      </c>
      <c r="C59" s="41">
        <f>COUNTIFS('WIR Register'!$B$5:$B$2000,$A59,'WIR Register'!$C$5:$C$2000,"Geotechnical")</f>
        <v/>
      </c>
      <c r="D59" s="41">
        <f>COUNTIFS('WIR Register'!$B$5:$B$2000,$A59,'WIR Register'!$C$5:$C$2000,"Civil")</f>
        <v/>
      </c>
      <c r="E59" s="41">
        <f>COUNTIFS('WIR Register'!$B$5:$B$2000,$A59,'WIR Register'!$C$5:$C$2000,"Tunnelling")</f>
        <v/>
      </c>
      <c r="F59" s="41">
        <f>COUNTIFS('WIR Register'!$B$5:$B$2000,$A59,'WIR Register'!$C$5:$C$2000,"MEP")</f>
        <v/>
      </c>
      <c r="G59" s="41">
        <f>COUNTIFS('WIR Register'!$B$5:$B$2000,$A59,'WIR Register'!$C$5:$C$2000,"Survey")</f>
        <v/>
      </c>
      <c r="H59" s="48">
        <f>SUM(C59:G59)</f>
        <v/>
      </c>
    </row>
    <row r="60">
      <c r="A60" s="49" t="n">
        <v>46245</v>
      </c>
      <c r="B60" s="44">
        <f>TEXT(A60,"ddd")</f>
        <v/>
      </c>
      <c r="C60" s="44">
        <f>COUNTIFS('WIR Register'!$B$5:$B$2000,$A60,'WIR Register'!$C$5:$C$2000,"Geotechnical")</f>
        <v/>
      </c>
      <c r="D60" s="44">
        <f>COUNTIFS('WIR Register'!$B$5:$B$2000,$A60,'WIR Register'!$C$5:$C$2000,"Civil")</f>
        <v/>
      </c>
      <c r="E60" s="44">
        <f>COUNTIFS('WIR Register'!$B$5:$B$2000,$A60,'WIR Register'!$C$5:$C$2000,"Tunnelling")</f>
        <v/>
      </c>
      <c r="F60" s="44">
        <f>COUNTIFS('WIR Register'!$B$5:$B$2000,$A60,'WIR Register'!$C$5:$C$2000,"MEP")</f>
        <v/>
      </c>
      <c r="G60" s="44">
        <f>COUNTIFS('WIR Register'!$B$5:$B$2000,$A60,'WIR Register'!$C$5:$C$2000,"Survey")</f>
        <v/>
      </c>
      <c r="H60" s="50">
        <f>SUM(C60:G60)</f>
        <v/>
      </c>
    </row>
    <row r="61">
      <c r="A61" s="47" t="n">
        <v>46244</v>
      </c>
      <c r="B61" s="41">
        <f>TEXT(A61,"ddd")</f>
        <v/>
      </c>
      <c r="C61" s="41">
        <f>COUNTIFS('WIR Register'!$B$5:$B$2000,$A61,'WIR Register'!$C$5:$C$2000,"Geotechnical")</f>
        <v/>
      </c>
      <c r="D61" s="41">
        <f>COUNTIFS('WIR Register'!$B$5:$B$2000,$A61,'WIR Register'!$C$5:$C$2000,"Civil")</f>
        <v/>
      </c>
      <c r="E61" s="41">
        <f>COUNTIFS('WIR Register'!$B$5:$B$2000,$A61,'WIR Register'!$C$5:$C$2000,"Tunnelling")</f>
        <v/>
      </c>
      <c r="F61" s="41">
        <f>COUNTIFS('WIR Register'!$B$5:$B$2000,$A61,'WIR Register'!$C$5:$C$2000,"MEP")</f>
        <v/>
      </c>
      <c r="G61" s="41">
        <f>COUNTIFS('WIR Register'!$B$5:$B$2000,$A61,'WIR Register'!$C$5:$C$2000,"Survey")</f>
        <v/>
      </c>
      <c r="H61" s="48">
        <f>SUM(C61:G61)</f>
        <v/>
      </c>
    </row>
    <row r="62">
      <c r="A62" s="49" t="n">
        <v>46243</v>
      </c>
      <c r="B62" s="44">
        <f>TEXT(A62,"ddd")</f>
        <v/>
      </c>
      <c r="C62" s="44">
        <f>COUNTIFS('WIR Register'!$B$5:$B$2000,$A62,'WIR Register'!$C$5:$C$2000,"Geotechnical")</f>
        <v/>
      </c>
      <c r="D62" s="44">
        <f>COUNTIFS('WIR Register'!$B$5:$B$2000,$A62,'WIR Register'!$C$5:$C$2000,"Civil")</f>
        <v/>
      </c>
      <c r="E62" s="44">
        <f>COUNTIFS('WIR Register'!$B$5:$B$2000,$A62,'WIR Register'!$C$5:$C$2000,"Tunnelling")</f>
        <v/>
      </c>
      <c r="F62" s="44">
        <f>COUNTIFS('WIR Register'!$B$5:$B$2000,$A62,'WIR Register'!$C$5:$C$2000,"MEP")</f>
        <v/>
      </c>
      <c r="G62" s="44">
        <f>COUNTIFS('WIR Register'!$B$5:$B$2000,$A62,'WIR Register'!$C$5:$C$2000,"Survey")</f>
        <v/>
      </c>
      <c r="H62" s="50">
        <f>SUM(C62:G62)</f>
        <v/>
      </c>
    </row>
    <row r="63">
      <c r="A63" s="47" t="n">
        <v>46242</v>
      </c>
      <c r="B63" s="41">
        <f>TEXT(A63,"ddd")</f>
        <v/>
      </c>
      <c r="C63" s="41">
        <f>COUNTIFS('WIR Register'!$B$5:$B$2000,$A63,'WIR Register'!$C$5:$C$2000,"Geotechnical")</f>
        <v/>
      </c>
      <c r="D63" s="41">
        <f>COUNTIFS('WIR Register'!$B$5:$B$2000,$A63,'WIR Register'!$C$5:$C$2000,"Civil")</f>
        <v/>
      </c>
      <c r="E63" s="41">
        <f>COUNTIFS('WIR Register'!$B$5:$B$2000,$A63,'WIR Register'!$C$5:$C$2000,"Tunnelling")</f>
        <v/>
      </c>
      <c r="F63" s="41">
        <f>COUNTIFS('WIR Register'!$B$5:$B$2000,$A63,'WIR Register'!$C$5:$C$2000,"MEP")</f>
        <v/>
      </c>
      <c r="G63" s="41">
        <f>COUNTIFS('WIR Register'!$B$5:$B$2000,$A63,'WIR Register'!$C$5:$C$2000,"Survey")</f>
        <v/>
      </c>
      <c r="H63" s="48">
        <f>SUM(C63:G63)</f>
        <v/>
      </c>
    </row>
    <row r="64">
      <c r="A64" s="49" t="n">
        <v>46240</v>
      </c>
      <c r="B64" s="44">
        <f>TEXT(A64,"ddd")</f>
        <v/>
      </c>
      <c r="C64" s="44">
        <f>COUNTIFS('WIR Register'!$B$5:$B$2000,$A64,'WIR Register'!$C$5:$C$2000,"Geotechnical")</f>
        <v/>
      </c>
      <c r="D64" s="44">
        <f>COUNTIFS('WIR Register'!$B$5:$B$2000,$A64,'WIR Register'!$C$5:$C$2000,"Civil")</f>
        <v/>
      </c>
      <c r="E64" s="44">
        <f>COUNTIFS('WIR Register'!$B$5:$B$2000,$A64,'WIR Register'!$C$5:$C$2000,"Tunnelling")</f>
        <v/>
      </c>
      <c r="F64" s="44">
        <f>COUNTIFS('WIR Register'!$B$5:$B$2000,$A64,'WIR Register'!$C$5:$C$2000,"MEP")</f>
        <v/>
      </c>
      <c r="G64" s="44">
        <f>COUNTIFS('WIR Register'!$B$5:$B$2000,$A64,'WIR Register'!$C$5:$C$2000,"Survey")</f>
        <v/>
      </c>
      <c r="H64" s="50">
        <f>SUM(C64:G64)</f>
        <v/>
      </c>
    </row>
    <row r="65">
      <c r="A65" s="47" t="n">
        <v>46239</v>
      </c>
      <c r="B65" s="41">
        <f>TEXT(A65,"ddd")</f>
        <v/>
      </c>
      <c r="C65" s="41">
        <f>COUNTIFS('WIR Register'!$B$5:$B$2000,$A65,'WIR Register'!$C$5:$C$2000,"Geotechnical")</f>
        <v/>
      </c>
      <c r="D65" s="41">
        <f>COUNTIFS('WIR Register'!$B$5:$B$2000,$A65,'WIR Register'!$C$5:$C$2000,"Civil")</f>
        <v/>
      </c>
      <c r="E65" s="41">
        <f>COUNTIFS('WIR Register'!$B$5:$B$2000,$A65,'WIR Register'!$C$5:$C$2000,"Tunnelling")</f>
        <v/>
      </c>
      <c r="F65" s="41">
        <f>COUNTIFS('WIR Register'!$B$5:$B$2000,$A65,'WIR Register'!$C$5:$C$2000,"MEP")</f>
        <v/>
      </c>
      <c r="G65" s="41">
        <f>COUNTIFS('WIR Register'!$B$5:$B$2000,$A65,'WIR Register'!$C$5:$C$2000,"Survey")</f>
        <v/>
      </c>
      <c r="H65" s="48">
        <f>SUM(C65:G65)</f>
        <v/>
      </c>
    </row>
    <row r="66">
      <c r="A66" s="49" t="n">
        <v>46238</v>
      </c>
      <c r="B66" s="44">
        <f>TEXT(A66,"ddd")</f>
        <v/>
      </c>
      <c r="C66" s="44">
        <f>COUNTIFS('WIR Register'!$B$5:$B$2000,$A66,'WIR Register'!$C$5:$C$2000,"Geotechnical")</f>
        <v/>
      </c>
      <c r="D66" s="44">
        <f>COUNTIFS('WIR Register'!$B$5:$B$2000,$A66,'WIR Register'!$C$5:$C$2000,"Civil")</f>
        <v/>
      </c>
      <c r="E66" s="44">
        <f>COUNTIFS('WIR Register'!$B$5:$B$2000,$A66,'WIR Register'!$C$5:$C$2000,"Tunnelling")</f>
        <v/>
      </c>
      <c r="F66" s="44">
        <f>COUNTIFS('WIR Register'!$B$5:$B$2000,$A66,'WIR Register'!$C$5:$C$2000,"MEP")</f>
        <v/>
      </c>
      <c r="G66" s="44">
        <f>COUNTIFS('WIR Register'!$B$5:$B$2000,$A66,'WIR Register'!$C$5:$C$2000,"Survey")</f>
        <v/>
      </c>
      <c r="H66" s="50">
        <f>SUM(C66:G66)</f>
        <v/>
      </c>
    </row>
    <row r="67">
      <c r="A67" s="47" t="n">
        <v>46237</v>
      </c>
      <c r="B67" s="41">
        <f>TEXT(A67,"ddd")</f>
        <v/>
      </c>
      <c r="C67" s="41">
        <f>COUNTIFS('WIR Register'!$B$5:$B$2000,$A67,'WIR Register'!$C$5:$C$2000,"Geotechnical")</f>
        <v/>
      </c>
      <c r="D67" s="41">
        <f>COUNTIFS('WIR Register'!$B$5:$B$2000,$A67,'WIR Register'!$C$5:$C$2000,"Civil")</f>
        <v/>
      </c>
      <c r="E67" s="41">
        <f>COUNTIFS('WIR Register'!$B$5:$B$2000,$A67,'WIR Register'!$C$5:$C$2000,"Tunnelling")</f>
        <v/>
      </c>
      <c r="F67" s="41">
        <f>COUNTIFS('WIR Register'!$B$5:$B$2000,$A67,'WIR Register'!$C$5:$C$2000,"MEP")</f>
        <v/>
      </c>
      <c r="G67" s="41">
        <f>COUNTIFS('WIR Register'!$B$5:$B$2000,$A67,'WIR Register'!$C$5:$C$2000,"Survey")</f>
        <v/>
      </c>
      <c r="H67" s="48">
        <f>SUM(C67:G67)</f>
        <v/>
      </c>
    </row>
    <row r="68">
      <c r="A68" s="49" t="n">
        <v>46236</v>
      </c>
      <c r="B68" s="44">
        <f>TEXT(A68,"ddd")</f>
        <v/>
      </c>
      <c r="C68" s="44">
        <f>COUNTIFS('WIR Register'!$B$5:$B$2000,$A68,'WIR Register'!$C$5:$C$2000,"Geotechnical")</f>
        <v/>
      </c>
      <c r="D68" s="44">
        <f>COUNTIFS('WIR Register'!$B$5:$B$2000,$A68,'WIR Register'!$C$5:$C$2000,"Civil")</f>
        <v/>
      </c>
      <c r="E68" s="44">
        <f>COUNTIFS('WIR Register'!$B$5:$B$2000,$A68,'WIR Register'!$C$5:$C$2000,"Tunnelling")</f>
        <v/>
      </c>
      <c r="F68" s="44">
        <f>COUNTIFS('WIR Register'!$B$5:$B$2000,$A68,'WIR Register'!$C$5:$C$2000,"MEP")</f>
        <v/>
      </c>
      <c r="G68" s="44">
        <f>COUNTIFS('WIR Register'!$B$5:$B$2000,$A68,'WIR Register'!$C$5:$C$2000,"Survey")</f>
        <v/>
      </c>
      <c r="H68" s="50">
        <f>SUM(C68:G68)</f>
        <v/>
      </c>
    </row>
    <row r="69">
      <c r="A69" s="47" t="n">
        <v>46235</v>
      </c>
      <c r="B69" s="41">
        <f>TEXT(A69,"ddd")</f>
        <v/>
      </c>
      <c r="C69" s="41">
        <f>COUNTIFS('WIR Register'!$B$5:$B$2000,$A69,'WIR Register'!$C$5:$C$2000,"Geotechnical")</f>
        <v/>
      </c>
      <c r="D69" s="41">
        <f>COUNTIFS('WIR Register'!$B$5:$B$2000,$A69,'WIR Register'!$C$5:$C$2000,"Civil")</f>
        <v/>
      </c>
      <c r="E69" s="41">
        <f>COUNTIFS('WIR Register'!$B$5:$B$2000,$A69,'WIR Register'!$C$5:$C$2000,"Tunnelling")</f>
        <v/>
      </c>
      <c r="F69" s="41">
        <f>COUNTIFS('WIR Register'!$B$5:$B$2000,$A69,'WIR Register'!$C$5:$C$2000,"MEP")</f>
        <v/>
      </c>
      <c r="G69" s="41">
        <f>COUNTIFS('WIR Register'!$B$5:$B$2000,$A69,'WIR Register'!$C$5:$C$2000,"Survey")</f>
        <v/>
      </c>
      <c r="H69" s="48">
        <f>SUM(C69:G69)</f>
        <v/>
      </c>
    </row>
    <row r="70">
      <c r="A70" s="49" t="n">
        <v>46233</v>
      </c>
      <c r="B70" s="44">
        <f>TEXT(A70,"ddd")</f>
        <v/>
      </c>
      <c r="C70" s="44">
        <f>COUNTIFS('WIR Register'!$B$5:$B$2000,$A70,'WIR Register'!$C$5:$C$2000,"Geotechnical")</f>
        <v/>
      </c>
      <c r="D70" s="44">
        <f>COUNTIFS('WIR Register'!$B$5:$B$2000,$A70,'WIR Register'!$C$5:$C$2000,"Civil")</f>
        <v/>
      </c>
      <c r="E70" s="44">
        <f>COUNTIFS('WIR Register'!$B$5:$B$2000,$A70,'WIR Register'!$C$5:$C$2000,"Tunnelling")</f>
        <v/>
      </c>
      <c r="F70" s="44">
        <f>COUNTIFS('WIR Register'!$B$5:$B$2000,$A70,'WIR Register'!$C$5:$C$2000,"MEP")</f>
        <v/>
      </c>
      <c r="G70" s="44">
        <f>COUNTIFS('WIR Register'!$B$5:$B$2000,$A70,'WIR Register'!$C$5:$C$2000,"Survey")</f>
        <v/>
      </c>
      <c r="H70" s="50">
        <f>SUM(C70:G70)</f>
        <v/>
      </c>
    </row>
    <row r="71">
      <c r="A71" s="47" t="n">
        <v>46232</v>
      </c>
      <c r="B71" s="41">
        <f>TEXT(A71,"ddd")</f>
        <v/>
      </c>
      <c r="C71" s="41">
        <f>COUNTIFS('WIR Register'!$B$5:$B$2000,$A71,'WIR Register'!$C$5:$C$2000,"Geotechnical")</f>
        <v/>
      </c>
      <c r="D71" s="41">
        <f>COUNTIFS('WIR Register'!$B$5:$B$2000,$A71,'WIR Register'!$C$5:$C$2000,"Civil")</f>
        <v/>
      </c>
      <c r="E71" s="41">
        <f>COUNTIFS('WIR Register'!$B$5:$B$2000,$A71,'WIR Register'!$C$5:$C$2000,"Tunnelling")</f>
        <v/>
      </c>
      <c r="F71" s="41">
        <f>COUNTIFS('WIR Register'!$B$5:$B$2000,$A71,'WIR Register'!$C$5:$C$2000,"MEP")</f>
        <v/>
      </c>
      <c r="G71" s="41">
        <f>COUNTIFS('WIR Register'!$B$5:$B$2000,$A71,'WIR Register'!$C$5:$C$2000,"Survey")</f>
        <v/>
      </c>
      <c r="H71" s="48">
        <f>SUM(C71:G71)</f>
        <v/>
      </c>
    </row>
    <row r="72">
      <c r="A72" s="49" t="n">
        <v>46231</v>
      </c>
      <c r="B72" s="44">
        <f>TEXT(A72,"ddd")</f>
        <v/>
      </c>
      <c r="C72" s="44">
        <f>COUNTIFS('WIR Register'!$B$5:$B$2000,$A72,'WIR Register'!$C$5:$C$2000,"Geotechnical")</f>
        <v/>
      </c>
      <c r="D72" s="44">
        <f>COUNTIFS('WIR Register'!$B$5:$B$2000,$A72,'WIR Register'!$C$5:$C$2000,"Civil")</f>
        <v/>
      </c>
      <c r="E72" s="44">
        <f>COUNTIFS('WIR Register'!$B$5:$B$2000,$A72,'WIR Register'!$C$5:$C$2000,"Tunnelling")</f>
        <v/>
      </c>
      <c r="F72" s="44">
        <f>COUNTIFS('WIR Register'!$B$5:$B$2000,$A72,'WIR Register'!$C$5:$C$2000,"MEP")</f>
        <v/>
      </c>
      <c r="G72" s="44">
        <f>COUNTIFS('WIR Register'!$B$5:$B$2000,$A72,'WIR Register'!$C$5:$C$2000,"Survey")</f>
        <v/>
      </c>
      <c r="H72" s="50">
        <f>SUM(C72:G72)</f>
        <v/>
      </c>
    </row>
    <row r="73">
      <c r="A73" s="47" t="n">
        <v>46230</v>
      </c>
      <c r="B73" s="41">
        <f>TEXT(A73,"ddd")</f>
        <v/>
      </c>
      <c r="C73" s="41">
        <f>COUNTIFS('WIR Register'!$B$5:$B$2000,$A73,'WIR Register'!$C$5:$C$2000,"Geotechnical")</f>
        <v/>
      </c>
      <c r="D73" s="41">
        <f>COUNTIFS('WIR Register'!$B$5:$B$2000,$A73,'WIR Register'!$C$5:$C$2000,"Civil")</f>
        <v/>
      </c>
      <c r="E73" s="41">
        <f>COUNTIFS('WIR Register'!$B$5:$B$2000,$A73,'WIR Register'!$C$5:$C$2000,"Tunnelling")</f>
        <v/>
      </c>
      <c r="F73" s="41">
        <f>COUNTIFS('WIR Register'!$B$5:$B$2000,$A73,'WIR Register'!$C$5:$C$2000,"MEP")</f>
        <v/>
      </c>
      <c r="G73" s="41">
        <f>COUNTIFS('WIR Register'!$B$5:$B$2000,$A73,'WIR Register'!$C$5:$C$2000,"Survey")</f>
        <v/>
      </c>
      <c r="H73" s="48">
        <f>SUM(C73:G73)</f>
        <v/>
      </c>
    </row>
    <row r="74">
      <c r="A74" s="49" t="n">
        <v>46229</v>
      </c>
      <c r="B74" s="44">
        <f>TEXT(A74,"ddd")</f>
        <v/>
      </c>
      <c r="C74" s="44">
        <f>COUNTIFS('WIR Register'!$B$5:$B$2000,$A74,'WIR Register'!$C$5:$C$2000,"Geotechnical")</f>
        <v/>
      </c>
      <c r="D74" s="44">
        <f>COUNTIFS('WIR Register'!$B$5:$B$2000,$A74,'WIR Register'!$C$5:$C$2000,"Civil")</f>
        <v/>
      </c>
      <c r="E74" s="44">
        <f>COUNTIFS('WIR Register'!$B$5:$B$2000,$A74,'WIR Register'!$C$5:$C$2000,"Tunnelling")</f>
        <v/>
      </c>
      <c r="F74" s="44">
        <f>COUNTIFS('WIR Register'!$B$5:$B$2000,$A74,'WIR Register'!$C$5:$C$2000,"MEP")</f>
        <v/>
      </c>
      <c r="G74" s="44">
        <f>COUNTIFS('WIR Register'!$B$5:$B$2000,$A74,'WIR Register'!$C$5:$C$2000,"Survey")</f>
        <v/>
      </c>
      <c r="H74" s="50">
        <f>SUM(C74:G74)</f>
        <v/>
      </c>
    </row>
    <row r="75">
      <c r="A75" s="47" t="n">
        <v>46228</v>
      </c>
      <c r="B75" s="41">
        <f>TEXT(A75,"ddd")</f>
        <v/>
      </c>
      <c r="C75" s="41">
        <f>COUNTIFS('WIR Register'!$B$5:$B$2000,$A75,'WIR Register'!$C$5:$C$2000,"Geotechnical")</f>
        <v/>
      </c>
      <c r="D75" s="41">
        <f>COUNTIFS('WIR Register'!$B$5:$B$2000,$A75,'WIR Register'!$C$5:$C$2000,"Civil")</f>
        <v/>
      </c>
      <c r="E75" s="41">
        <f>COUNTIFS('WIR Register'!$B$5:$B$2000,$A75,'WIR Register'!$C$5:$C$2000,"Tunnelling")</f>
        <v/>
      </c>
      <c r="F75" s="41">
        <f>COUNTIFS('WIR Register'!$B$5:$B$2000,$A75,'WIR Register'!$C$5:$C$2000,"MEP")</f>
        <v/>
      </c>
      <c r="G75" s="41">
        <f>COUNTIFS('WIR Register'!$B$5:$B$2000,$A75,'WIR Register'!$C$5:$C$2000,"Survey")</f>
        <v/>
      </c>
      <c r="H75" s="48">
        <f>SUM(C75:G75)</f>
        <v/>
      </c>
    </row>
    <row r="76">
      <c r="A76" s="49" t="n">
        <v>46226</v>
      </c>
      <c r="B76" s="44">
        <f>TEXT(A76,"ddd")</f>
        <v/>
      </c>
      <c r="C76" s="44">
        <f>COUNTIFS('WIR Register'!$B$5:$B$2000,$A76,'WIR Register'!$C$5:$C$2000,"Geotechnical")</f>
        <v/>
      </c>
      <c r="D76" s="44">
        <f>COUNTIFS('WIR Register'!$B$5:$B$2000,$A76,'WIR Register'!$C$5:$C$2000,"Civil")</f>
        <v/>
      </c>
      <c r="E76" s="44">
        <f>COUNTIFS('WIR Register'!$B$5:$B$2000,$A76,'WIR Register'!$C$5:$C$2000,"Tunnelling")</f>
        <v/>
      </c>
      <c r="F76" s="44">
        <f>COUNTIFS('WIR Register'!$B$5:$B$2000,$A76,'WIR Register'!$C$5:$C$2000,"MEP")</f>
        <v/>
      </c>
      <c r="G76" s="44">
        <f>COUNTIFS('WIR Register'!$B$5:$B$2000,$A76,'WIR Register'!$C$5:$C$2000,"Survey")</f>
        <v/>
      </c>
      <c r="H76" s="50">
        <f>SUM(C76:G76)</f>
        <v/>
      </c>
    </row>
    <row r="77">
      <c r="A77" s="47" t="n">
        <v>46225</v>
      </c>
      <c r="B77" s="41">
        <f>TEXT(A77,"ddd")</f>
        <v/>
      </c>
      <c r="C77" s="41">
        <f>COUNTIFS('WIR Register'!$B$5:$B$2000,$A77,'WIR Register'!$C$5:$C$2000,"Geotechnical")</f>
        <v/>
      </c>
      <c r="D77" s="41">
        <f>COUNTIFS('WIR Register'!$B$5:$B$2000,$A77,'WIR Register'!$C$5:$C$2000,"Civil")</f>
        <v/>
      </c>
      <c r="E77" s="41">
        <f>COUNTIFS('WIR Register'!$B$5:$B$2000,$A77,'WIR Register'!$C$5:$C$2000,"Tunnelling")</f>
        <v/>
      </c>
      <c r="F77" s="41">
        <f>COUNTIFS('WIR Register'!$B$5:$B$2000,$A77,'WIR Register'!$C$5:$C$2000,"MEP")</f>
        <v/>
      </c>
      <c r="G77" s="41">
        <f>COUNTIFS('WIR Register'!$B$5:$B$2000,$A77,'WIR Register'!$C$5:$C$2000,"Survey")</f>
        <v/>
      </c>
      <c r="H77" s="48">
        <f>SUM(C77:G77)</f>
        <v/>
      </c>
    </row>
    <row r="78">
      <c r="A78" s="49" t="n">
        <v>46224</v>
      </c>
      <c r="B78" s="44">
        <f>TEXT(A78,"ddd")</f>
        <v/>
      </c>
      <c r="C78" s="44">
        <f>COUNTIFS('WIR Register'!$B$5:$B$2000,$A78,'WIR Register'!$C$5:$C$2000,"Geotechnical")</f>
        <v/>
      </c>
      <c r="D78" s="44">
        <f>COUNTIFS('WIR Register'!$B$5:$B$2000,$A78,'WIR Register'!$C$5:$C$2000,"Civil")</f>
        <v/>
      </c>
      <c r="E78" s="44">
        <f>COUNTIFS('WIR Register'!$B$5:$B$2000,$A78,'WIR Register'!$C$5:$C$2000,"Tunnelling")</f>
        <v/>
      </c>
      <c r="F78" s="44">
        <f>COUNTIFS('WIR Register'!$B$5:$B$2000,$A78,'WIR Register'!$C$5:$C$2000,"MEP")</f>
        <v/>
      </c>
      <c r="G78" s="44">
        <f>COUNTIFS('WIR Register'!$B$5:$B$2000,$A78,'WIR Register'!$C$5:$C$2000,"Survey")</f>
        <v/>
      </c>
      <c r="H78" s="50">
        <f>SUM(C78:G78)</f>
        <v/>
      </c>
    </row>
    <row r="79">
      <c r="A79" s="47" t="n">
        <v>46223</v>
      </c>
      <c r="B79" s="41">
        <f>TEXT(A79,"ddd")</f>
        <v/>
      </c>
      <c r="C79" s="41">
        <f>COUNTIFS('WIR Register'!$B$5:$B$2000,$A79,'WIR Register'!$C$5:$C$2000,"Geotechnical")</f>
        <v/>
      </c>
      <c r="D79" s="41">
        <f>COUNTIFS('WIR Register'!$B$5:$B$2000,$A79,'WIR Register'!$C$5:$C$2000,"Civil")</f>
        <v/>
      </c>
      <c r="E79" s="41">
        <f>COUNTIFS('WIR Register'!$B$5:$B$2000,$A79,'WIR Register'!$C$5:$C$2000,"Tunnelling")</f>
        <v/>
      </c>
      <c r="F79" s="41">
        <f>COUNTIFS('WIR Register'!$B$5:$B$2000,$A79,'WIR Register'!$C$5:$C$2000,"MEP")</f>
        <v/>
      </c>
      <c r="G79" s="41">
        <f>COUNTIFS('WIR Register'!$B$5:$B$2000,$A79,'WIR Register'!$C$5:$C$2000,"Survey")</f>
        <v/>
      </c>
      <c r="H79" s="48">
        <f>SUM(C79:G79)</f>
        <v/>
      </c>
    </row>
    <row r="80">
      <c r="A80" s="49" t="n">
        <v>46222</v>
      </c>
      <c r="B80" s="44">
        <f>TEXT(A80,"ddd")</f>
        <v/>
      </c>
      <c r="C80" s="44">
        <f>COUNTIFS('WIR Register'!$B$5:$B$2000,$A80,'WIR Register'!$C$5:$C$2000,"Geotechnical")</f>
        <v/>
      </c>
      <c r="D80" s="44">
        <f>COUNTIFS('WIR Register'!$B$5:$B$2000,$A80,'WIR Register'!$C$5:$C$2000,"Civil")</f>
        <v/>
      </c>
      <c r="E80" s="44">
        <f>COUNTIFS('WIR Register'!$B$5:$B$2000,$A80,'WIR Register'!$C$5:$C$2000,"Tunnelling")</f>
        <v/>
      </c>
      <c r="F80" s="44">
        <f>COUNTIFS('WIR Register'!$B$5:$B$2000,$A80,'WIR Register'!$C$5:$C$2000,"MEP")</f>
        <v/>
      </c>
      <c r="G80" s="44">
        <f>COUNTIFS('WIR Register'!$B$5:$B$2000,$A80,'WIR Register'!$C$5:$C$2000,"Survey")</f>
        <v/>
      </c>
      <c r="H80" s="50">
        <f>SUM(C80:G80)</f>
        <v/>
      </c>
    </row>
    <row r="81">
      <c r="A81" s="47" t="n">
        <v>46221</v>
      </c>
      <c r="B81" s="41">
        <f>TEXT(A81,"ddd")</f>
        <v/>
      </c>
      <c r="C81" s="41">
        <f>COUNTIFS('WIR Register'!$B$5:$B$2000,$A81,'WIR Register'!$C$5:$C$2000,"Geotechnical")</f>
        <v/>
      </c>
      <c r="D81" s="41">
        <f>COUNTIFS('WIR Register'!$B$5:$B$2000,$A81,'WIR Register'!$C$5:$C$2000,"Civil")</f>
        <v/>
      </c>
      <c r="E81" s="41">
        <f>COUNTIFS('WIR Register'!$B$5:$B$2000,$A81,'WIR Register'!$C$5:$C$2000,"Tunnelling")</f>
        <v/>
      </c>
      <c r="F81" s="41">
        <f>COUNTIFS('WIR Register'!$B$5:$B$2000,$A81,'WIR Register'!$C$5:$C$2000,"MEP")</f>
        <v/>
      </c>
      <c r="G81" s="41">
        <f>COUNTIFS('WIR Register'!$B$5:$B$2000,$A81,'WIR Register'!$C$5:$C$2000,"Survey")</f>
        <v/>
      </c>
      <c r="H81" s="48">
        <f>SUM(C81:G81)</f>
        <v/>
      </c>
    </row>
    <row r="82">
      <c r="A82" s="49" t="n">
        <v>46219</v>
      </c>
      <c r="B82" s="44">
        <f>TEXT(A82,"ddd")</f>
        <v/>
      </c>
      <c r="C82" s="44">
        <f>COUNTIFS('WIR Register'!$B$5:$B$2000,$A82,'WIR Register'!$C$5:$C$2000,"Geotechnical")</f>
        <v/>
      </c>
      <c r="D82" s="44">
        <f>COUNTIFS('WIR Register'!$B$5:$B$2000,$A82,'WIR Register'!$C$5:$C$2000,"Civil")</f>
        <v/>
      </c>
      <c r="E82" s="44">
        <f>COUNTIFS('WIR Register'!$B$5:$B$2000,$A82,'WIR Register'!$C$5:$C$2000,"Tunnelling")</f>
        <v/>
      </c>
      <c r="F82" s="44">
        <f>COUNTIFS('WIR Register'!$B$5:$B$2000,$A82,'WIR Register'!$C$5:$C$2000,"MEP")</f>
        <v/>
      </c>
      <c r="G82" s="44">
        <f>COUNTIFS('WIR Register'!$B$5:$B$2000,$A82,'WIR Register'!$C$5:$C$2000,"Survey")</f>
        <v/>
      </c>
      <c r="H82" s="50">
        <f>SUM(C82:G82)</f>
        <v/>
      </c>
    </row>
    <row r="83">
      <c r="A83" s="47" t="n">
        <v>46218</v>
      </c>
      <c r="B83" s="41">
        <f>TEXT(A83,"ddd")</f>
        <v/>
      </c>
      <c r="C83" s="41">
        <f>COUNTIFS('WIR Register'!$B$5:$B$2000,$A83,'WIR Register'!$C$5:$C$2000,"Geotechnical")</f>
        <v/>
      </c>
      <c r="D83" s="41">
        <f>COUNTIFS('WIR Register'!$B$5:$B$2000,$A83,'WIR Register'!$C$5:$C$2000,"Civil")</f>
        <v/>
      </c>
      <c r="E83" s="41">
        <f>COUNTIFS('WIR Register'!$B$5:$B$2000,$A83,'WIR Register'!$C$5:$C$2000,"Tunnelling")</f>
        <v/>
      </c>
      <c r="F83" s="41">
        <f>COUNTIFS('WIR Register'!$B$5:$B$2000,$A83,'WIR Register'!$C$5:$C$2000,"MEP")</f>
        <v/>
      </c>
      <c r="G83" s="41">
        <f>COUNTIFS('WIR Register'!$B$5:$B$2000,$A83,'WIR Register'!$C$5:$C$2000,"Survey")</f>
        <v/>
      </c>
      <c r="H83" s="48">
        <f>SUM(C83:G83)</f>
        <v/>
      </c>
    </row>
    <row r="84">
      <c r="A84" s="49" t="n">
        <v>46217</v>
      </c>
      <c r="B84" s="44">
        <f>TEXT(A84,"ddd")</f>
        <v/>
      </c>
      <c r="C84" s="44">
        <f>COUNTIFS('WIR Register'!$B$5:$B$2000,$A84,'WIR Register'!$C$5:$C$2000,"Geotechnical")</f>
        <v/>
      </c>
      <c r="D84" s="44">
        <f>COUNTIFS('WIR Register'!$B$5:$B$2000,$A84,'WIR Register'!$C$5:$C$2000,"Civil")</f>
        <v/>
      </c>
      <c r="E84" s="44">
        <f>COUNTIFS('WIR Register'!$B$5:$B$2000,$A84,'WIR Register'!$C$5:$C$2000,"Tunnelling")</f>
        <v/>
      </c>
      <c r="F84" s="44">
        <f>COUNTIFS('WIR Register'!$B$5:$B$2000,$A84,'WIR Register'!$C$5:$C$2000,"MEP")</f>
        <v/>
      </c>
      <c r="G84" s="44">
        <f>COUNTIFS('WIR Register'!$B$5:$B$2000,$A84,'WIR Register'!$C$5:$C$2000,"Survey")</f>
        <v/>
      </c>
      <c r="H84" s="50">
        <f>SUM(C84:G84)</f>
        <v/>
      </c>
    </row>
    <row r="85">
      <c r="A85" s="47" t="n">
        <v>46216</v>
      </c>
      <c r="B85" s="41">
        <f>TEXT(A85,"ddd")</f>
        <v/>
      </c>
      <c r="C85" s="41">
        <f>COUNTIFS('WIR Register'!$B$5:$B$2000,$A85,'WIR Register'!$C$5:$C$2000,"Geotechnical")</f>
        <v/>
      </c>
      <c r="D85" s="41">
        <f>COUNTIFS('WIR Register'!$B$5:$B$2000,$A85,'WIR Register'!$C$5:$C$2000,"Civil")</f>
        <v/>
      </c>
      <c r="E85" s="41">
        <f>COUNTIFS('WIR Register'!$B$5:$B$2000,$A85,'WIR Register'!$C$5:$C$2000,"Tunnelling")</f>
        <v/>
      </c>
      <c r="F85" s="41">
        <f>COUNTIFS('WIR Register'!$B$5:$B$2000,$A85,'WIR Register'!$C$5:$C$2000,"MEP")</f>
        <v/>
      </c>
      <c r="G85" s="41">
        <f>COUNTIFS('WIR Register'!$B$5:$B$2000,$A85,'WIR Register'!$C$5:$C$2000,"Survey")</f>
        <v/>
      </c>
      <c r="H85" s="48">
        <f>SUM(C85:G85)</f>
        <v/>
      </c>
    </row>
    <row r="86">
      <c r="A86" s="49" t="n">
        <v>46215</v>
      </c>
      <c r="B86" s="44">
        <f>TEXT(A86,"ddd")</f>
        <v/>
      </c>
      <c r="C86" s="44">
        <f>COUNTIFS('WIR Register'!$B$5:$B$2000,$A86,'WIR Register'!$C$5:$C$2000,"Geotechnical")</f>
        <v/>
      </c>
      <c r="D86" s="44">
        <f>COUNTIFS('WIR Register'!$B$5:$B$2000,$A86,'WIR Register'!$C$5:$C$2000,"Civil")</f>
        <v/>
      </c>
      <c r="E86" s="44">
        <f>COUNTIFS('WIR Register'!$B$5:$B$2000,$A86,'WIR Register'!$C$5:$C$2000,"Tunnelling")</f>
        <v/>
      </c>
      <c r="F86" s="44">
        <f>COUNTIFS('WIR Register'!$B$5:$B$2000,$A86,'WIR Register'!$C$5:$C$2000,"MEP")</f>
        <v/>
      </c>
      <c r="G86" s="44">
        <f>COUNTIFS('WIR Register'!$B$5:$B$2000,$A86,'WIR Register'!$C$5:$C$2000,"Survey")</f>
        <v/>
      </c>
      <c r="H86" s="50">
        <f>SUM(C86:G86)</f>
        <v/>
      </c>
    </row>
    <row r="87">
      <c r="A87" s="47" t="n">
        <v>46214</v>
      </c>
      <c r="B87" s="41">
        <f>TEXT(A87,"ddd")</f>
        <v/>
      </c>
      <c r="C87" s="41">
        <f>COUNTIFS('WIR Register'!$B$5:$B$2000,$A87,'WIR Register'!$C$5:$C$2000,"Geotechnical")</f>
        <v/>
      </c>
      <c r="D87" s="41">
        <f>COUNTIFS('WIR Register'!$B$5:$B$2000,$A87,'WIR Register'!$C$5:$C$2000,"Civil")</f>
        <v/>
      </c>
      <c r="E87" s="41">
        <f>COUNTIFS('WIR Register'!$B$5:$B$2000,$A87,'WIR Register'!$C$5:$C$2000,"Tunnelling")</f>
        <v/>
      </c>
      <c r="F87" s="41">
        <f>COUNTIFS('WIR Register'!$B$5:$B$2000,$A87,'WIR Register'!$C$5:$C$2000,"MEP")</f>
        <v/>
      </c>
      <c r="G87" s="41">
        <f>COUNTIFS('WIR Register'!$B$5:$B$2000,$A87,'WIR Register'!$C$5:$C$2000,"Survey")</f>
        <v/>
      </c>
      <c r="H87" s="48">
        <f>SUM(C87:G87)</f>
        <v/>
      </c>
    </row>
    <row r="88">
      <c r="A88" s="49" t="n">
        <v>46212</v>
      </c>
      <c r="B88" s="44">
        <f>TEXT(A88,"ddd")</f>
        <v/>
      </c>
      <c r="C88" s="44">
        <f>COUNTIFS('WIR Register'!$B$5:$B$2000,$A88,'WIR Register'!$C$5:$C$2000,"Geotechnical")</f>
        <v/>
      </c>
      <c r="D88" s="44">
        <f>COUNTIFS('WIR Register'!$B$5:$B$2000,$A88,'WIR Register'!$C$5:$C$2000,"Civil")</f>
        <v/>
      </c>
      <c r="E88" s="44">
        <f>COUNTIFS('WIR Register'!$B$5:$B$2000,$A88,'WIR Register'!$C$5:$C$2000,"Tunnelling")</f>
        <v/>
      </c>
      <c r="F88" s="44">
        <f>COUNTIFS('WIR Register'!$B$5:$B$2000,$A88,'WIR Register'!$C$5:$C$2000,"MEP")</f>
        <v/>
      </c>
      <c r="G88" s="44">
        <f>COUNTIFS('WIR Register'!$B$5:$B$2000,$A88,'WIR Register'!$C$5:$C$2000,"Survey")</f>
        <v/>
      </c>
      <c r="H88" s="50">
        <f>SUM(C88:G88)</f>
        <v/>
      </c>
    </row>
    <row r="89">
      <c r="A89" s="47" t="n">
        <v>46211</v>
      </c>
      <c r="B89" s="41">
        <f>TEXT(A89,"ddd")</f>
        <v/>
      </c>
      <c r="C89" s="41">
        <f>COUNTIFS('WIR Register'!$B$5:$B$2000,$A89,'WIR Register'!$C$5:$C$2000,"Geotechnical")</f>
        <v/>
      </c>
      <c r="D89" s="41">
        <f>COUNTIFS('WIR Register'!$B$5:$B$2000,$A89,'WIR Register'!$C$5:$C$2000,"Civil")</f>
        <v/>
      </c>
      <c r="E89" s="41">
        <f>COUNTIFS('WIR Register'!$B$5:$B$2000,$A89,'WIR Register'!$C$5:$C$2000,"Tunnelling")</f>
        <v/>
      </c>
      <c r="F89" s="41">
        <f>COUNTIFS('WIR Register'!$B$5:$B$2000,$A89,'WIR Register'!$C$5:$C$2000,"MEP")</f>
        <v/>
      </c>
      <c r="G89" s="41">
        <f>COUNTIFS('WIR Register'!$B$5:$B$2000,$A89,'WIR Register'!$C$5:$C$2000,"Survey")</f>
        <v/>
      </c>
      <c r="H89" s="48">
        <f>SUM(C89:G89)</f>
        <v/>
      </c>
    </row>
    <row r="90">
      <c r="A90" s="49" t="n">
        <v>46210</v>
      </c>
      <c r="B90" s="44">
        <f>TEXT(A90,"ddd")</f>
        <v/>
      </c>
      <c r="C90" s="44">
        <f>COUNTIFS('WIR Register'!$B$5:$B$2000,$A90,'WIR Register'!$C$5:$C$2000,"Geotechnical")</f>
        <v/>
      </c>
      <c r="D90" s="44">
        <f>COUNTIFS('WIR Register'!$B$5:$B$2000,$A90,'WIR Register'!$C$5:$C$2000,"Civil")</f>
        <v/>
      </c>
      <c r="E90" s="44">
        <f>COUNTIFS('WIR Register'!$B$5:$B$2000,$A90,'WIR Register'!$C$5:$C$2000,"Tunnelling")</f>
        <v/>
      </c>
      <c r="F90" s="44">
        <f>COUNTIFS('WIR Register'!$B$5:$B$2000,$A90,'WIR Register'!$C$5:$C$2000,"MEP")</f>
        <v/>
      </c>
      <c r="G90" s="44">
        <f>COUNTIFS('WIR Register'!$B$5:$B$2000,$A90,'WIR Register'!$C$5:$C$2000,"Survey")</f>
        <v/>
      </c>
      <c r="H90" s="50">
        <f>SUM(C90:G90)</f>
        <v/>
      </c>
    </row>
    <row r="91">
      <c r="A91" s="47" t="n">
        <v>46209</v>
      </c>
      <c r="B91" s="41">
        <f>TEXT(A91,"ddd")</f>
        <v/>
      </c>
      <c r="C91" s="41">
        <f>COUNTIFS('WIR Register'!$B$5:$B$2000,$A91,'WIR Register'!$C$5:$C$2000,"Geotechnical")</f>
        <v/>
      </c>
      <c r="D91" s="41">
        <f>COUNTIFS('WIR Register'!$B$5:$B$2000,$A91,'WIR Register'!$C$5:$C$2000,"Civil")</f>
        <v/>
      </c>
      <c r="E91" s="41">
        <f>COUNTIFS('WIR Register'!$B$5:$B$2000,$A91,'WIR Register'!$C$5:$C$2000,"Tunnelling")</f>
        <v/>
      </c>
      <c r="F91" s="41">
        <f>COUNTIFS('WIR Register'!$B$5:$B$2000,$A91,'WIR Register'!$C$5:$C$2000,"MEP")</f>
        <v/>
      </c>
      <c r="G91" s="41">
        <f>COUNTIFS('WIR Register'!$B$5:$B$2000,$A91,'WIR Register'!$C$5:$C$2000,"Survey")</f>
        <v/>
      </c>
      <c r="H91" s="48">
        <f>SUM(C91:G91)</f>
        <v/>
      </c>
    </row>
    <row r="92">
      <c r="A92" s="49" t="n">
        <v>46208</v>
      </c>
      <c r="B92" s="44">
        <f>TEXT(A92,"ddd")</f>
        <v/>
      </c>
      <c r="C92" s="44">
        <f>COUNTIFS('WIR Register'!$B$5:$B$2000,$A92,'WIR Register'!$C$5:$C$2000,"Geotechnical")</f>
        <v/>
      </c>
      <c r="D92" s="44">
        <f>COUNTIFS('WIR Register'!$B$5:$B$2000,$A92,'WIR Register'!$C$5:$C$2000,"Civil")</f>
        <v/>
      </c>
      <c r="E92" s="44">
        <f>COUNTIFS('WIR Register'!$B$5:$B$2000,$A92,'WIR Register'!$C$5:$C$2000,"Tunnelling")</f>
        <v/>
      </c>
      <c r="F92" s="44">
        <f>COUNTIFS('WIR Register'!$B$5:$B$2000,$A92,'WIR Register'!$C$5:$C$2000,"MEP")</f>
        <v/>
      </c>
      <c r="G92" s="44">
        <f>COUNTIFS('WIR Register'!$B$5:$B$2000,$A92,'WIR Register'!$C$5:$C$2000,"Survey")</f>
        <v/>
      </c>
      <c r="H92" s="50">
        <f>SUM(C92:G92)</f>
        <v/>
      </c>
    </row>
    <row r="93">
      <c r="A93" s="47" t="n">
        <v>46207</v>
      </c>
      <c r="B93" s="41">
        <f>TEXT(A93,"ddd")</f>
        <v/>
      </c>
      <c r="C93" s="41">
        <f>COUNTIFS('WIR Register'!$B$5:$B$2000,$A93,'WIR Register'!$C$5:$C$2000,"Geotechnical")</f>
        <v/>
      </c>
      <c r="D93" s="41">
        <f>COUNTIFS('WIR Register'!$B$5:$B$2000,$A93,'WIR Register'!$C$5:$C$2000,"Civil")</f>
        <v/>
      </c>
      <c r="E93" s="41">
        <f>COUNTIFS('WIR Register'!$B$5:$B$2000,$A93,'WIR Register'!$C$5:$C$2000,"Tunnelling")</f>
        <v/>
      </c>
      <c r="F93" s="41">
        <f>COUNTIFS('WIR Register'!$B$5:$B$2000,$A93,'WIR Register'!$C$5:$C$2000,"MEP")</f>
        <v/>
      </c>
      <c r="G93" s="41">
        <f>COUNTIFS('WIR Register'!$B$5:$B$2000,$A93,'WIR Register'!$C$5:$C$2000,"Survey")</f>
        <v/>
      </c>
      <c r="H93" s="48">
        <f>SUM(C93:G93)</f>
        <v/>
      </c>
    </row>
    <row r="94">
      <c r="A94" s="49" t="n">
        <v>46205</v>
      </c>
      <c r="B94" s="44">
        <f>TEXT(A94,"ddd")</f>
        <v/>
      </c>
      <c r="C94" s="44">
        <f>COUNTIFS('WIR Register'!$B$5:$B$2000,$A94,'WIR Register'!$C$5:$C$2000,"Geotechnical")</f>
        <v/>
      </c>
      <c r="D94" s="44">
        <f>COUNTIFS('WIR Register'!$B$5:$B$2000,$A94,'WIR Register'!$C$5:$C$2000,"Civil")</f>
        <v/>
      </c>
      <c r="E94" s="44">
        <f>COUNTIFS('WIR Register'!$B$5:$B$2000,$A94,'WIR Register'!$C$5:$C$2000,"Tunnelling")</f>
        <v/>
      </c>
      <c r="F94" s="44">
        <f>COUNTIFS('WIR Register'!$B$5:$B$2000,$A94,'WIR Register'!$C$5:$C$2000,"MEP")</f>
        <v/>
      </c>
      <c r="G94" s="44">
        <f>COUNTIFS('WIR Register'!$B$5:$B$2000,$A94,'WIR Register'!$C$5:$C$2000,"Survey")</f>
        <v/>
      </c>
      <c r="H94" s="50">
        <f>SUM(C94:G94)</f>
        <v/>
      </c>
    </row>
    <row r="95">
      <c r="A95" s="47" t="n">
        <v>46204</v>
      </c>
      <c r="B95" s="41">
        <f>TEXT(A95,"ddd")</f>
        <v/>
      </c>
      <c r="C95" s="41">
        <f>COUNTIFS('WIR Register'!$B$5:$B$2000,$A95,'WIR Register'!$C$5:$C$2000,"Geotechnical")</f>
        <v/>
      </c>
      <c r="D95" s="41">
        <f>COUNTIFS('WIR Register'!$B$5:$B$2000,$A95,'WIR Register'!$C$5:$C$2000,"Civil")</f>
        <v/>
      </c>
      <c r="E95" s="41">
        <f>COUNTIFS('WIR Register'!$B$5:$B$2000,$A95,'WIR Register'!$C$5:$C$2000,"Tunnelling")</f>
        <v/>
      </c>
      <c r="F95" s="41">
        <f>COUNTIFS('WIR Register'!$B$5:$B$2000,$A95,'WIR Register'!$C$5:$C$2000,"MEP")</f>
        <v/>
      </c>
      <c r="G95" s="41">
        <f>COUNTIFS('WIR Register'!$B$5:$B$2000,$A95,'WIR Register'!$C$5:$C$2000,"Survey")</f>
        <v/>
      </c>
      <c r="H95" s="48">
        <f>SUM(C95:G95)</f>
        <v/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2026-10-14T07:31:49Z</dcterms:created>
  <dcterms:modified xmlns:dcterms="http://purl.org/dc/terms/" xmlns:xsi="http://www.w3.org/2001/XMLSchema-instance" xsi:type="dcterms:W3CDTF">2026-10-14T07:31:49Z</dcterms:modified>
</cp:coreProperties>
</file>