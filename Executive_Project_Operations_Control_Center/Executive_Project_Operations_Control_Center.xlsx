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5a341a163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9e628b42d1204d12"/>
    <x:sheet xmlns:r="http://schemas.openxmlformats.org/officeDocument/2006/relationships" name="Action Tracker" sheetId="2" r:id="R5ce237211f254165"/>
    <x:sheet xmlns:r="http://schemas.openxmlformats.org/officeDocument/2006/relationships" name="Workforce &amp; Attendance" sheetId="3" r:id="R9f8ad76b3c7447e4"/>
    <x:sheet xmlns:r="http://schemas.openxmlformats.org/officeDocument/2006/relationships" name="Procurement &amp; Payment" sheetId="4" r:id="R2f8e4f61716c40af"/>
    <x:sheet xmlns:r="http://schemas.openxmlformats.org/officeDocument/2006/relationships" name="KPI Scorecard" sheetId="5" r:id="Rbb86e2d560964206"/>
    <x:sheet xmlns:r="http://schemas.openxmlformats.org/officeDocument/2006/relationships" name="Lists" sheetId="6" r:id="Rc6bf096e3be5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-mmm-yyyy"/>
    <x:numFmt numFmtId="201" formatCode="0%"/>
    <x:numFmt numFmtId="202" formatCode="0"/>
    <x:numFmt numFmtId="203" formatCode="0.0%"/>
    <x:numFmt numFmtId="204" formatCode="#,##0.00 &quot;SAR&quot;"/>
    <x:numFmt numFmtId="205" formatCode="#,##0,&quot; SAR&quot;"/>
    <x:numFmt numFmtId="206" formatCode="0.00 &quot;M SAR&quot;"/>
    <x:numFmt numFmtId="207" formatCode="0.0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21"/>
      <x:color rgb="FFFFFFFF"/>
      <x:name val="Carlito"/>
    </x:font>
    <x:font>
      <x:b/>
      <x:sz val="11"/>
      <x:color rgb="FF1F2937"/>
      <x:name val="Carlito"/>
    </x:font>
    <x:font>
      <x:b/>
      <x:sz val="11"/>
      <x:color rgb="FF17365D"/>
      <x:name val="Carlito"/>
    </x:font>
    <x:font>
      <x:b/>
      <x:sz val="20"/>
      <x:color rgb="FF17365D"/>
      <x:name val="Carlito"/>
    </x:font>
    <x:font>
      <x:b/>
      <x:sz val="9"/>
      <x:color rgb="FF64748B"/>
      <x:name val="Carlito"/>
    </x:font>
    <x:font>
      <x:b/>
      <x:sz val="11"/>
      <x:color rgb="FF7A5A00"/>
      <x:name val="Carlito"/>
    </x:font>
    <x:font>
      <x:b/>
      <x:sz val="9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C9A227"/>
      </x:patternFill>
    </x:fill>
    <x:fill>
      <x:patternFill patternType="solid">
        <x:fgColor rgb="FF1F4E78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  <x:fill>
      <x:patternFill patternType="solid">
        <x:fgColor rgb="FFEEF3F8"/>
      </x:patternFill>
    </x:fill>
    <x:fill>
      <x:patternFill patternType="solid">
        <x:fgColor rgb="FFFFF8E1"/>
      </x:patternFill>
    </x:fill>
  </x:fills>
  <x:borders count="20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C9A227"/>
      </x:bottom>
    </x:border>
    <x:border>
      <x:bottom style="thin">
        <x:color rgb="FFC9A227"/>
      </x:bottom>
    </x:border>
  </x:borders>
  <x:cellStyleXfs count="1">
    <x:xf numFmtId="0" fontId="0" fillId="0" borderId="0"/>
  </x:cellStyleXfs>
  <x:cellXfs count="2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0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2" xfId="0" applyNumberFormat="1" applyFont="1" applyFill="1" applyBorder="1" applyAlignment="1">
      <x:alignment horizontal="center"/>
    </x:xf>
    <x:xf numFmtId="0" fontId="7" fillId="6" borderId="1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14" xfId="0" applyNumberFormat="1" applyFont="1" applyFill="1" applyBorder="1" applyAlignment="1">
      <x:alignment horizontal="center"/>
    </x:xf>
    <x:xf numFmtId="0" fontId="7" fillId="6" borderId="15" xfId="0" applyNumberFormat="1" applyFont="1" applyFill="1" applyBorder="1" applyAlignment="1">
      <x:alignment horizontal="center"/>
    </x:xf>
    <x:xf numFmtId="0" fontId="7" fillId="6" borderId="16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0" fontId="7" fillId="6" borderId="12" xfId="0" applyNumberFormat="1" applyFont="1" applyFill="1" applyBorder="1" applyAlignment="1">
      <x:alignment horizontal="center" vertical="center"/>
    </x:xf>
    <x:xf numFmtId="0" fontId="7" fillId="6" borderId="13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14" xfId="0" applyNumberFormat="1" applyFont="1" applyFill="1" applyBorder="1" applyAlignment="1">
      <x:alignment horizontal="center" vertical="center"/>
    </x:xf>
    <x:xf numFmtId="0" fontId="7" fillId="6" borderId="15" xfId="0" applyNumberFormat="1" applyFont="1" applyFill="1" applyBorder="1" applyAlignment="1">
      <x:alignment horizontal="center" vertical="center"/>
    </x:xf>
    <x:xf numFmtId="0" fontId="7" fillId="6" borderId="16" xfId="0" applyNumberFormat="1" applyFont="1" applyFill="1" applyBorder="1" applyAlignment="1">
      <x:alignment horizontal="center" vertical="center"/>
    </x:xf>
    <x:xf numFmtId="0" fontId="7" fillId="6" borderId="17" xfId="0" applyNumberFormat="1" applyFont="1" applyFill="1" applyBorder="1" applyAlignment="1">
      <x:alignment horizontal="center" vertical="center"/>
    </x:xf>
    <x:xf numFmtId="203" fontId="7" fillId="6" borderId="2" xfId="0" applyNumberFormat="1" applyFont="1" applyFill="1" applyBorder="1" applyAlignment="1">
      <x:alignment horizontal="center" vertical="center"/>
    </x:xf>
    <x:xf numFmtId="203" fontId="7" fillId="6" borderId="3" xfId="0" applyNumberFormat="1" applyFont="1" applyFill="1" applyBorder="1" applyAlignment="1">
      <x:alignment horizontal="center" vertical="center"/>
    </x:xf>
    <x:xf numFmtId="203" fontId="7" fillId="6" borderId="4" xfId="0" applyNumberFormat="1" applyFont="1" applyFill="1" applyBorder="1" applyAlignment="1">
      <x:alignment horizontal="center" vertical="center"/>
    </x:xf>
    <x:xf numFmtId="203" fontId="7" fillId="6" borderId="5" xfId="0" applyNumberFormat="1" applyFont="1" applyFill="1" applyBorder="1" applyAlignment="1">
      <x:alignment horizontal="center" vertical="center"/>
    </x:xf>
    <x:xf numFmtId="203" fontId="7" fillId="6" borderId="0" xfId="0" applyNumberFormat="1" applyFont="1" applyFill="1" applyBorder="1" applyAlignment="1">
      <x:alignment horizontal="center" vertical="center"/>
    </x:xf>
    <x:xf numFmtId="203" fontId="7" fillId="6" borderId="6" xfId="0" applyNumberFormat="1" applyFont="1" applyFill="1" applyBorder="1" applyAlignment="1">
      <x:alignment horizontal="center" vertical="center"/>
    </x:xf>
    <x:xf numFmtId="203" fontId="7" fillId="6" borderId="7" xfId="0" applyNumberFormat="1" applyFont="1" applyFill="1" applyBorder="1" applyAlignment="1">
      <x:alignment horizontal="center" vertical="center"/>
    </x:xf>
    <x:xf numFmtId="203" fontId="7" fillId="6" borderId="8" xfId="0" applyNumberFormat="1" applyFont="1" applyFill="1" applyBorder="1" applyAlignment="1">
      <x:alignment horizontal="center" vertical="center"/>
    </x:xf>
    <x:xf numFmtId="203" fontId="7" fillId="6" borderId="9" xfId="0" applyNumberFormat="1" applyFont="1" applyFill="1" applyBorder="1" applyAlignment="1">
      <x:alignment horizontal="center" vertical="center"/>
    </x:xf>
    <x:xf numFmtId="203" fontId="7" fillId="6" borderId="10" xfId="0" applyNumberFormat="1" applyFont="1" applyFill="1" applyBorder="1" applyAlignment="1">
      <x:alignment horizontal="center" vertical="center"/>
    </x:xf>
    <x:xf numFmtId="203" fontId="7" fillId="6" borderId="11" xfId="0" applyNumberFormat="1" applyFont="1" applyFill="1" applyBorder="1" applyAlignment="1">
      <x:alignment horizontal="center" vertical="center"/>
    </x:xf>
    <x:xf numFmtId="203" fontId="7" fillId="6" borderId="12" xfId="0" applyNumberFormat="1" applyFont="1" applyFill="1" applyBorder="1" applyAlignment="1">
      <x:alignment horizontal="center" vertical="center"/>
    </x:xf>
    <x:xf numFmtId="203" fontId="7" fillId="6" borderId="13" xfId="0" applyNumberFormat="1" applyFont="1" applyFill="1" applyBorder="1" applyAlignment="1">
      <x:alignment horizontal="center" vertical="center"/>
    </x:xf>
    <x:xf numFmtId="203" fontId="7" fillId="6" borderId="1" xfId="0" applyNumberFormat="1" applyFont="1" applyFill="1" applyBorder="1" applyAlignment="1">
      <x:alignment horizontal="center" vertical="center"/>
    </x:xf>
    <x:xf numFmtId="203" fontId="7" fillId="6" borderId="14" xfId="0" applyNumberFormat="1" applyFont="1" applyFill="1" applyBorder="1" applyAlignment="1">
      <x:alignment horizontal="center" vertical="center"/>
    </x:xf>
    <x:xf numFmtId="203" fontId="7" fillId="6" borderId="15" xfId="0" applyNumberFormat="1" applyFont="1" applyFill="1" applyBorder="1" applyAlignment="1">
      <x:alignment horizontal="center" vertical="center"/>
    </x:xf>
    <x:xf numFmtId="203" fontId="7" fillId="6" borderId="16" xfId="0" applyNumberFormat="1" applyFont="1" applyFill="1" applyBorder="1" applyAlignment="1">
      <x:alignment horizontal="center" vertical="center"/>
    </x:xf>
    <x:xf numFmtId="203" fontId="7" fillId="6" borderId="17" xfId="0" applyNumberFormat="1" applyFont="1" applyFill="1" applyBorder="1" applyAlignment="1">
      <x:alignment horizontal="center" vertical="center"/>
    </x:xf>
    <x:xf numFmtId="205" fontId="7" fillId="6" borderId="2" xfId="0" applyNumberFormat="1" applyFont="1" applyFill="1" applyBorder="1" applyAlignment="1">
      <x:alignment horizontal="center" vertical="center"/>
    </x:xf>
    <x:xf numFmtId="205" fontId="7" fillId="6" borderId="3" xfId="0" applyNumberFormat="1" applyFont="1" applyFill="1" applyBorder="1" applyAlignment="1">
      <x:alignment horizontal="center" vertical="center"/>
    </x:xf>
    <x:xf numFmtId="205" fontId="7" fillId="6" borderId="4" xfId="0" applyNumberFormat="1" applyFont="1" applyFill="1" applyBorder="1" applyAlignment="1">
      <x:alignment horizontal="center" vertical="center"/>
    </x:xf>
    <x:xf numFmtId="205" fontId="7" fillId="6" borderId="5" xfId="0" applyNumberFormat="1" applyFont="1" applyFill="1" applyBorder="1" applyAlignment="1">
      <x:alignment horizontal="center" vertical="center"/>
    </x:xf>
    <x:xf numFmtId="205" fontId="7" fillId="6" borderId="0" xfId="0" applyNumberFormat="1" applyFont="1" applyFill="1" applyBorder="1" applyAlignment="1">
      <x:alignment horizontal="center" vertical="center"/>
    </x:xf>
    <x:xf numFmtId="205" fontId="7" fillId="6" borderId="6" xfId="0" applyNumberFormat="1" applyFont="1" applyFill="1" applyBorder="1" applyAlignment="1">
      <x:alignment horizontal="center" vertical="center"/>
    </x:xf>
    <x:xf numFmtId="205" fontId="7" fillId="6" borderId="7" xfId="0" applyNumberFormat="1" applyFont="1" applyFill="1" applyBorder="1" applyAlignment="1">
      <x:alignment horizontal="center" vertical="center"/>
    </x:xf>
    <x:xf numFmtId="205" fontId="7" fillId="6" borderId="8" xfId="0" applyNumberFormat="1" applyFont="1" applyFill="1" applyBorder="1" applyAlignment="1">
      <x:alignment horizontal="center" vertical="center"/>
    </x:xf>
    <x:xf numFmtId="205" fontId="7" fillId="6" borderId="9" xfId="0" applyNumberFormat="1" applyFont="1" applyFill="1" applyBorder="1" applyAlignment="1">
      <x:alignment horizontal="center" vertical="center"/>
    </x:xf>
    <x:xf numFmtId="205" fontId="7" fillId="6" borderId="10" xfId="0" applyNumberFormat="1" applyFont="1" applyFill="1" applyBorder="1" applyAlignment="1">
      <x:alignment horizontal="center" vertical="center"/>
    </x:xf>
    <x:xf numFmtId="205" fontId="7" fillId="6" borderId="11" xfId="0" applyNumberFormat="1" applyFont="1" applyFill="1" applyBorder="1" applyAlignment="1">
      <x:alignment horizontal="center" vertical="center"/>
    </x:xf>
    <x:xf numFmtId="205" fontId="7" fillId="6" borderId="12" xfId="0" applyNumberFormat="1" applyFont="1" applyFill="1" applyBorder="1" applyAlignment="1">
      <x:alignment horizontal="center" vertical="center"/>
    </x:xf>
    <x:xf numFmtId="205" fontId="7" fillId="6" borderId="13" xfId="0" applyNumberFormat="1" applyFont="1" applyFill="1" applyBorder="1" applyAlignment="1">
      <x:alignment horizontal="center" vertical="center"/>
    </x:xf>
    <x:xf numFmtId="205" fontId="7" fillId="6" borderId="1" xfId="0" applyNumberFormat="1" applyFont="1" applyFill="1" applyBorder="1" applyAlignment="1">
      <x:alignment horizontal="center" vertical="center"/>
    </x:xf>
    <x:xf numFmtId="205" fontId="7" fillId="6" borderId="14" xfId="0" applyNumberFormat="1" applyFont="1" applyFill="1" applyBorder="1" applyAlignment="1">
      <x:alignment horizontal="center" vertical="center"/>
    </x:xf>
    <x:xf numFmtId="205" fontId="7" fillId="6" borderId="15" xfId="0" applyNumberFormat="1" applyFont="1" applyFill="1" applyBorder="1" applyAlignment="1">
      <x:alignment horizontal="center" vertical="center"/>
    </x:xf>
    <x:xf numFmtId="205" fontId="7" fillId="6" borderId="16" xfId="0" applyNumberFormat="1" applyFont="1" applyFill="1" applyBorder="1" applyAlignment="1">
      <x:alignment horizontal="center" vertical="center"/>
    </x:xf>
    <x:xf numFmtId="205" fontId="7" fillId="6" borderId="1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5" fontId="0" fillId="5" borderId="0" xfId="0" applyNumberFormat="1" applyFont="1" applyFill="1" applyBorder="1"/>
    <x:xf numFmtId="205" fontId="0" fillId="5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18" xfId="0" applyNumberFormat="1" applyFont="1" applyFill="1" applyBorder="1" applyAlignment="1">
      <x:alignment horizontal="center"/>
    </x:xf>
    <x:xf numFmtId="0" fontId="10" fillId="7" borderId="18" xfId="0" applyNumberFormat="1" applyFont="1" applyFill="1" applyBorder="1" applyAlignment="1">
      <x:alignment horizontal="center" vertical="center"/>
    </x:xf>
    <x:xf numFmtId="0" fontId="10" fillId="7" borderId="1" xfId="0" applyNumberFormat="1" applyFont="1" applyFill="1" applyBorder="1" applyAlignment="1">
      <x:alignment horizontal="center"/>
    </x:xf>
    <x:xf numFmtId="0" fontId="10" fillId="7" borderId="19" xfId="0" applyNumberFormat="1" applyFont="1" applyFill="1" applyBorder="1" applyAlignment="1">
      <x:alignment horizontal="center"/>
    </x:xf>
    <x:xf numFmtId="0" fontId="10" fillId="7" borderId="19" xfId="0" applyNumberFormat="1" applyFont="1" applyFill="1" applyBorder="1" applyAlignment="1">
      <x:alignment horizontal="center" vertical="center"/>
    </x:xf>
    <x:xf numFmtId="206" fontId="7" fillId="6" borderId="2" xfId="0" applyNumberFormat="1" applyFont="1" applyFill="1" applyBorder="1" applyAlignment="1">
      <x:alignment horizontal="center" vertical="center"/>
    </x:xf>
    <x:xf numFmtId="206" fontId="7" fillId="6" borderId="3" xfId="0" applyNumberFormat="1" applyFont="1" applyFill="1" applyBorder="1" applyAlignment="1">
      <x:alignment horizontal="center" vertical="center"/>
    </x:xf>
    <x:xf numFmtId="206" fontId="7" fillId="6" borderId="4" xfId="0" applyNumberFormat="1" applyFont="1" applyFill="1" applyBorder="1" applyAlignment="1">
      <x:alignment horizontal="center" vertical="center"/>
    </x:xf>
    <x:xf numFmtId="206" fontId="7" fillId="6" borderId="5" xfId="0" applyNumberFormat="1" applyFont="1" applyFill="1" applyBorder="1" applyAlignment="1">
      <x:alignment horizontal="center" vertical="center"/>
    </x:xf>
    <x:xf numFmtId="206" fontId="7" fillId="6" borderId="0" xfId="0" applyNumberFormat="1" applyFont="1" applyFill="1" applyBorder="1" applyAlignment="1">
      <x:alignment horizontal="center" vertical="center"/>
    </x:xf>
    <x:xf numFmtId="206" fontId="7" fillId="6" borderId="6" xfId="0" applyNumberFormat="1" applyFont="1" applyFill="1" applyBorder="1" applyAlignment="1">
      <x:alignment horizontal="center" vertical="center"/>
    </x:xf>
    <x:xf numFmtId="206" fontId="7" fillId="6" borderId="7" xfId="0" applyNumberFormat="1" applyFont="1" applyFill="1" applyBorder="1" applyAlignment="1">
      <x:alignment horizontal="center" vertical="center"/>
    </x:xf>
    <x:xf numFmtId="206" fontId="7" fillId="6" borderId="8" xfId="0" applyNumberFormat="1" applyFont="1" applyFill="1" applyBorder="1" applyAlignment="1">
      <x:alignment horizontal="center" vertical="center"/>
    </x:xf>
    <x:xf numFmtId="206" fontId="7" fillId="6" borderId="9" xfId="0" applyNumberFormat="1" applyFont="1" applyFill="1" applyBorder="1" applyAlignment="1">
      <x:alignment horizontal="center" vertical="center"/>
    </x:xf>
    <x:xf numFmtId="206" fontId="7" fillId="6" borderId="10" xfId="0" applyNumberFormat="1" applyFont="1" applyFill="1" applyBorder="1" applyAlignment="1">
      <x:alignment horizontal="center" vertical="center"/>
    </x:xf>
    <x:xf numFmtId="206" fontId="7" fillId="6" borderId="11" xfId="0" applyNumberFormat="1" applyFont="1" applyFill="1" applyBorder="1" applyAlignment="1">
      <x:alignment horizontal="center" vertical="center"/>
    </x:xf>
    <x:xf numFmtId="206" fontId="7" fillId="6" borderId="12" xfId="0" applyNumberFormat="1" applyFont="1" applyFill="1" applyBorder="1" applyAlignment="1">
      <x:alignment horizontal="center" vertical="center"/>
    </x:xf>
    <x:xf numFmtId="206" fontId="7" fillId="6" borderId="13" xfId="0" applyNumberFormat="1" applyFont="1" applyFill="1" applyBorder="1" applyAlignment="1">
      <x:alignment horizontal="center" vertical="center"/>
    </x:xf>
    <x:xf numFmtId="206" fontId="7" fillId="6" borderId="1" xfId="0" applyNumberFormat="1" applyFont="1" applyFill="1" applyBorder="1" applyAlignment="1">
      <x:alignment horizontal="center" vertical="center"/>
    </x:xf>
    <x:xf numFmtId="206" fontId="7" fillId="6" borderId="14" xfId="0" applyNumberFormat="1" applyFont="1" applyFill="1" applyBorder="1" applyAlignment="1">
      <x:alignment horizontal="center" vertical="center"/>
    </x:xf>
    <x:xf numFmtId="206" fontId="7" fillId="6" borderId="15" xfId="0" applyNumberFormat="1" applyFont="1" applyFill="1" applyBorder="1" applyAlignment="1">
      <x:alignment horizontal="center" vertical="center"/>
    </x:xf>
    <x:xf numFmtId="206" fontId="7" fillId="6" borderId="16" xfId="0" applyNumberFormat="1" applyFont="1" applyFill="1" applyBorder="1" applyAlignment="1">
      <x:alignment horizontal="center" vertical="center"/>
    </x:xf>
    <x:xf numFmtId="206" fontId="7" fillId="6" borderId="17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FFC62828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62828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62828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1dcdcbe324aaa" /><Relationship Type="http://schemas.openxmlformats.org/officeDocument/2006/relationships/theme" Target="/xl/theme/theme1.xml" Id="Rbfc193d6d3884e6e" /><Relationship Type="http://schemas.openxmlformats.org/officeDocument/2006/relationships/sharedStrings" Target="/xl/sharedStrings.xml" Id="R29e896023d4045d4" /><Relationship Type="http://schemas.openxmlformats.org/officeDocument/2006/relationships/worksheet" Target="/xl/worksheets/sheet1.xml" Id="R9e628b42d1204d12" /><Relationship Type="http://schemas.openxmlformats.org/officeDocument/2006/relationships/worksheet" Target="/xl/worksheets/sheet2.xml" Id="R5ce237211f254165" /><Relationship Type="http://schemas.openxmlformats.org/officeDocument/2006/relationships/worksheet" Target="/xl/worksheets/sheet3.xml" Id="R9f8ad76b3c7447e4" /><Relationship Type="http://schemas.openxmlformats.org/officeDocument/2006/relationships/worksheet" Target="/xl/worksheets/sheet4.xml" Id="R2f8e4f61716c40af" /><Relationship Type="http://schemas.openxmlformats.org/officeDocument/2006/relationships/worksheet" Target="/xl/worksheets/sheet5.xml" Id="Rbb86e2d560964206" /><Relationship Type="http://schemas.openxmlformats.org/officeDocument/2006/relationships/worksheet" Target="/xl/worksheets/sheet6.xml" Id="Rc6bf096e3be540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b644a13fc04f4b" /><Relationship Type="http://schemas.openxmlformats.org/officeDocument/2006/relationships/chart" Target="/xl/drawings/charts/chart2.xml" Id="Rc82afec494904c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Load &amp; Overdue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Open Actions</c:v>
          </c:tx>
          <c:cat>
            <c:strRef>
              <c:f>'Executive Dashboard'!$A$19:$A$28</c:f>
              <c:strCache>
                <c:ptCount val="0"/>
              </c:strCache>
            </c:strRef>
          </c:cat>
          <c:val>
            <c:numRef>
              <c:f>'Executive Dashboard'!$B$19:$B$28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Overdue</c:v>
          </c:tx>
          <c:cat>
            <c:strRef>
              <c:f>'Executive Dashboard'!$A$19:$A$28</c:f>
              <c:strCache>
                <c:ptCount val="0"/>
              </c:strCache>
            </c:strRef>
          </c:cat>
          <c:val>
            <c:numRef>
              <c:f>'Executive Dashboard'!$C$19:$C$28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Outstanding Commitments by Department (M SAR)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Outstanding M SAR</c:v>
          </c:tx>
          <c:cat>
            <c:strRef>
              <c:f>'Executive Dashboard'!$O$19:$O$28</c:f>
              <c:strCache>
                <c:ptCount val="0"/>
              </c:strCache>
            </c:strRef>
          </c:cat>
          <c:val>
            <c:numRef>
              <c:f>'Executive Dashboard'!$P$19:$P$28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b644a13fc04f4b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2afec494904c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onRegister" displayName="ActionRegister" ref="A5:L125" headerRowCount="1">
  <x:tableColumns count="12">
    <x:tableColumn id="1" name="Action ID"/>
    <x:tableColumn id="2" name="Action / Deliverable"/>
    <x:tableColumn id="3" name="Department"/>
    <x:tableColumn id="4" name="Owner"/>
    <x:tableColumn id="5" name="Priority"/>
    <x:tableColumn id="6" name="Status"/>
    <x:tableColumn id="7" name="Created Date"/>
    <x:tableColumn id="8" name="Due Date"/>
    <x:tableColumn id="9" name="Completed Date"/>
    <x:tableColumn id="10" name="Progress %"/>
    <x:tableColumn id="11" name="Category"/>
    <x:tableColumn id="12" name="Days Overdue"/>
  </x:tableColumns>
  <x:tableStyleInfo name="TableStyleMedium2" showRowStripes="1"/>
</x:table>
</file>

<file path=xl/tables/table2.xml><?xml version="1.0" encoding="utf-8"?>
<x:table xmlns:x="http://schemas.openxmlformats.org/spreadsheetml/2006/main" id="2" name="WorkforceTable" displayName="WorkforceTable" ref="A5:K155" headerRowCount="1">
  <x:tableColumns count="11">
    <x:tableColumn id="1" name="Employee ID"/>
    <x:tableColumn id="2" name="Employee Name"/>
    <x:tableColumn id="3" name="Department"/>
    <x:tableColumn id="4" name="Site"/>
    <x:tableColumn id="5" name="Employment Status"/>
    <x:tableColumn id="6" name="Scheduled Hrs"/>
    <x:tableColumn id="7" name="Worked Hrs"/>
    <x:tableColumn id="8" name="Absent Days"/>
    <x:tableColumn id="9" name="Late Incidents"/>
    <x:tableColumn id="10" name="OT Hours"/>
    <x:tableColumn id="11" name="Attendance %"/>
  </x:tableColumns>
  <x:tableStyleInfo name="TableStyleMedium2" showRowStripes="1"/>
</x:table>
</file>

<file path=xl/tables/table3.xml><?xml version="1.0" encoding="utf-8"?>
<x:table xmlns:x="http://schemas.openxmlformats.org/spreadsheetml/2006/main" id="3" name="ProcurementRegister" displayName="ProcurementRegister" ref="A5:M95" headerRowCount="1">
  <x:tableColumns count="13">
    <x:tableColumn id="1" name="PR No."/>
    <x:tableColumn id="2" name="PO No."/>
    <x:tableColumn id="3" name="Department"/>
    <x:tableColumn id="4" name="Vendor"/>
    <x:tableColumn id="5" name="Description"/>
    <x:tableColumn id="6" name="Commitment SAR"/>
    <x:tableColumn id="7" name="Status"/>
    <x:tableColumn id="8" name="PR Date"/>
    <x:tableColumn id="9" name="PO Date"/>
    <x:tableColumn id="10" name="Invoice Date"/>
    <x:tableColumn id="11" name="Paid Date"/>
    <x:tableColumn id="12" name="Paid SAR"/>
    <x:tableColumn id="13" name="Outstanding S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f6bdae67454b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fdcf723969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315ecbbdd642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6b4171b1ee473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3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30" hidden="0" customWidth="1"/>
    <x:col min="14" max="14" width="3" hidden="0" customWidth="1"/>
  </x:cols>
  <x:sheetData>
    <x:row r="1">
      <x:c r="A1" s="48" t="str">
        <x:v>EXECUTIVE PROJECT OPERATIONS CONTROL CENTER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3">
      <x:c r="A3" s="16" t="str">
        <x:v>Management Overview | Actions • Workforce • Attendance • Procurement • KPI Performance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>
      <x:c r="A4" s="56" t="str">
        <x:v>Report Date</x:v>
      </x:c>
      <x:c r="B4" s="57" t="n">
        <x:v>46230</x:v>
      </x:c>
      <x:c r="C4" s="44"/>
      <x:c r="D4" s="180" t="str">
        <x:v>ACTION TRACKER</x:v>
      </x:c>
      <x:c r="E4" s="44"/>
      <x:c r="F4" s="180" t="str">
        <x:v>WORKFORCE REPORT</x:v>
      </x:c>
      <x:c r="G4" s="44"/>
      <x:c r="H4" s="180" t="str">
        <x:v>PROCUREMENT</x:v>
      </x:c>
      <x:c r="I4" s="44"/>
      <x:c r="J4" s="180" t="str">
        <x:v>KPI SCORECARD</x:v>
      </x:c>
      <x:c r="K4" s="44"/>
      <x:c r="L4" s="44"/>
      <x:c r="M4" s="44"/>
      <x:c r="N4" s="44"/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</x:row>
    <x:row r="6">
      <x:c r="A6" s="86" t="n">
        <x:f>COUNTIF('Action Tracker'!F6:F125,"Open")+COUNTIF('Action Tracker'!F6:F125,"In Progress")</x:f>
        <x:v>68</x:v>
      </x:c>
      <x:c r="B6" s="87"/>
      <x:c r="C6" s="88"/>
      <x:c r="D6" s="86" t="n">
        <x:f>COUNTIF('Action Tracker'!L6:L125,"&gt;0")</x:f>
        <x:v>61</x:v>
      </x:c>
      <x:c r="E6" s="87"/>
      <x:c r="F6" s="88"/>
      <x:c r="G6" s="86" t="n">
        <x:f>COUNTIF('Workforce &amp; Attendance'!E6:E155,"Active")</x:f>
        <x:v>126</x:v>
      </x:c>
      <x:c r="H6" s="87"/>
      <x:c r="I6" s="88"/>
      <x:c r="J6" s="122" t="n">
        <x:f>AVERAGE('Workforce &amp; Attendance'!K6:K155)</x:f>
        <x:v>0.9128395860781732</x:v>
      </x:c>
      <x:c r="K6" s="123"/>
      <x:c r="L6" s="124"/>
      <x:c r="M6" s="86" t="n">
        <x:f>COUNTIF('Action Tracker'!E6:E125,"Critical")+COUNTIF('Action Tracker'!E6:E125,"High")</x:f>
        <x:v>46</x:v>
      </x:c>
      <x:c r="N6" s="88"/>
    </x:row>
    <x:row r="7">
      <x:c r="A7" s="89"/>
      <x:c r="B7" s="90"/>
      <x:c r="C7" s="91"/>
      <x:c r="D7" s="89"/>
      <x:c r="E7" s="90"/>
      <x:c r="F7" s="91"/>
      <x:c r="G7" s="89"/>
      <x:c r="H7" s="90"/>
      <x:c r="I7" s="91"/>
      <x:c r="J7" s="125"/>
      <x:c r="K7" s="126"/>
      <x:c r="L7" s="127"/>
      <x:c r="M7" s="89"/>
      <x:c r="N7" s="91"/>
    </x:row>
    <x:row r="8">
      <x:c r="A8" s="92"/>
      <x:c r="B8" s="93"/>
      <x:c r="C8" s="94"/>
      <x:c r="D8" s="92"/>
      <x:c r="E8" s="93"/>
      <x:c r="F8" s="94"/>
      <x:c r="G8" s="92"/>
      <x:c r="H8" s="93"/>
      <x:c r="I8" s="94"/>
      <x:c r="J8" s="128"/>
      <x:c r="K8" s="129"/>
      <x:c r="L8" s="130"/>
      <x:c r="M8" s="92"/>
      <x:c r="N8" s="94"/>
    </x:row>
    <x:row r="9">
      <x:c r="A9" s="160" t="str">
        <x:v>Open / In Progress</x:v>
      </x:c>
      <x:c r="B9" s="160"/>
      <x:c r="C9" s="160"/>
      <x:c r="D9" s="160" t="str">
        <x:v>Past Due</x:v>
      </x:c>
      <x:c r="E9" s="160"/>
      <x:c r="F9" s="160"/>
      <x:c r="G9" s="160" t="str">
        <x:v>Active Employees</x:v>
      </x:c>
      <x:c r="H9" s="160"/>
      <x:c r="I9" s="160"/>
      <x:c r="J9" s="160" t="str">
        <x:v>Average Attendance</x:v>
      </x:c>
      <x:c r="K9" s="160"/>
      <x:c r="L9" s="160"/>
      <x:c r="M9" s="160" t="str">
        <x:v>Priority Actions</x:v>
      </x:c>
      <x:c r="N9" s="160"/>
    </x:row>
    <x:row r="10">
      <x:c r="A10" s="184" t="n">
        <x:f>SUM('Procurement &amp; Payment'!M6:M95)/1000000</x:f>
        <x:v>21.18681726999999</x:v>
      </x:c>
      <x:c r="B10" s="185"/>
      <x:c r="C10" s="186"/>
      <x:c r="D10" s="184" t="n">
        <x:f>SUM('Procurement &amp; Payment'!L6:L95)/1000000</x:f>
        <x:v>9.678691229999998</x:v>
      </x:c>
      <x:c r="E10" s="185"/>
      <x:c r="F10" s="186"/>
      <x:c r="G10" s="86" t="n">
        <x:f>COUNTIF('KPI Scorecard'!G6:G11,"On Track")</x:f>
        <x:v>1</x:v>
      </x:c>
      <x:c r="H10" s="87"/>
      <x:c r="I10" s="88"/>
      <x:c r="J10" s="86" t="n">
        <x:f>COUNTIF('Workforce &amp; Attendance'!J6:J155,"&gt;51")</x:f>
        <x:v>10</x:v>
      </x:c>
      <x:c r="K10" s="87"/>
      <x:c r="L10" s="88"/>
      <x:c r="M10" s="86" t="n">
        <x:f>COUNTA('Workforce &amp; Attendance'!A6:A155)</x:f>
        <x:v>150</x:v>
      </x:c>
      <x:c r="N10" s="88"/>
    </x:row>
    <x:row r="11">
      <x:c r="A11" s="187"/>
      <x:c r="B11" s="188"/>
      <x:c r="C11" s="189"/>
      <x:c r="D11" s="187"/>
      <x:c r="E11" s="188"/>
      <x:c r="F11" s="189"/>
      <x:c r="G11" s="89"/>
      <x:c r="H11" s="90"/>
      <x:c r="I11" s="91"/>
      <x:c r="J11" s="89"/>
      <x:c r="K11" s="90"/>
      <x:c r="L11" s="91"/>
      <x:c r="M11" s="89"/>
      <x:c r="N11" s="91"/>
    </x:row>
    <x:row r="12">
      <x:c r="A12" s="190"/>
      <x:c r="B12" s="191"/>
      <x:c r="C12" s="192"/>
      <x:c r="D12" s="190"/>
      <x:c r="E12" s="191"/>
      <x:c r="F12" s="192"/>
      <x:c r="G12" s="92"/>
      <x:c r="H12" s="93"/>
      <x:c r="I12" s="94"/>
      <x:c r="J12" s="92"/>
      <x:c r="K12" s="93"/>
      <x:c r="L12" s="94"/>
      <x:c r="M12" s="92"/>
      <x:c r="N12" s="94"/>
    </x:row>
    <x:row r="13">
      <x:c r="A13" s="160" t="str">
        <x:v>Outstanding Commitments</x:v>
      </x:c>
      <x:c r="B13" s="160" t="str">
        <x:v>Outstanding Commitments</x:v>
      </x:c>
      <x:c r="C13" s="160" t="str">
        <x:v>Outstanding Commitments</x:v>
      </x:c>
      <x:c r="D13" s="160" t="str">
        <x:v>Paid Value</x:v>
      </x:c>
      <x:c r="E13" s="160" t="str">
        <x:v>Paid Value</x:v>
      </x:c>
      <x:c r="F13" s="160" t="str">
        <x:v>Paid Value</x:v>
      </x:c>
      <x:c r="G13" s="160" t="str">
        <x:v>KPIs On Track</x:v>
      </x:c>
      <x:c r="H13" s="160"/>
      <x:c r="I13" s="160"/>
      <x:c r="J13" s="160" t="str">
        <x:v>OT Exceptions</x:v>
      </x:c>
      <x:c r="K13" s="160"/>
      <x:c r="L13" s="160"/>
      <x:c r="M13" s="160" t="str">
        <x:v>Employees</x:v>
      </x:c>
      <x:c r="N13" s="160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>
      <x:c r="A15" s="167" t="str">
        <x:f>"Executive Insight: "&amp;TEXT(D6,"0")&amp;" actions are overdue; "&amp;TEXT(J6,"0.0%")&amp;" average attendance; "&amp;TEXT(SUM('Procurement &amp; Payment'!M6:M95),"#,##0")&amp;" SAR outstanding commitments. Review critical actions and procurement exposure."</x:f>
        <x:v>Executive Insight: 61 actions are overdue; 91.3% average attendance; 21,186,817 SAR outstanding commitments. Review critical actions and procurement exposure.</x:v>
      </x:c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>
      <x:c r="A18" s="23" t="str">
        <x:v>Department</x:v>
      </x:c>
      <x:c r="B18" s="23" t="str">
        <x:v>Open Actions</x:v>
      </x:c>
      <x:c r="C18" s="23" t="str">
        <x:v>Overdue</x:v>
      </x:c>
      <x:c r="D18" s="23" t="str">
        <x:v>Active Workforce</x:v>
      </x:c>
      <x:c r="E18" s="23" t="str">
        <x:v>Avg Attendance</x:v>
      </x:c>
      <x:c r="F18" s="23" t="str">
        <x:v>Outstanding SAR</x:v>
      </x:c>
      <x:c r="G18" s="44"/>
      <x:c r="H18" s="176" t="str">
        <x:v>KPI</x:v>
      </x:c>
      <x:c r="I18" s="176" t="str">
        <x:v>Target</x:v>
      </x:c>
      <x:c r="J18" s="176" t="str">
        <x:v>Actual</x:v>
      </x:c>
      <x:c r="K18" s="176" t="str">
        <x:v>Achievement</x:v>
      </x:c>
      <x:c r="L18" s="176" t="str">
        <x:v>Status</x:v>
      </x:c>
      <x:c r="M18" s="176" t="str">
        <x:v>Comment</x:v>
      </x:c>
      <x:c r="N18" s="176" t="str"/>
      <x:c r="O18" t="str">
        <x:v>Department</x:v>
      </x:c>
      <x:c r="P18" t="str">
        <x:v>Outstanding M SAR</x:v>
      </x:c>
    </x:row>
    <x:row r="19">
      <x:c r="A19" s="44" t="str">
        <x:v>Construction</x:v>
      </x:c>
      <x:c r="B19" s="44" t="n">
        <x:f>COUNTIFS('Action Tracker'!$C$6:$C$125,A19,'Action Tracker'!$F$6:$F$125,"&lt;&gt;Completed")</x:f>
        <x:v>7</x:v>
      </x:c>
      <x:c r="C19" s="44" t="n">
        <x:f>COUNTIFS('Action Tracker'!$C$6:$C$125,A19,'Action Tracker'!$L$6:$L$125,"&gt;0")</x:f>
        <x:v>5</x:v>
      </x:c>
      <x:c r="D19" s="44" t="n">
        <x:f>COUNTIFS('Workforce &amp; Attendance'!$C$6:$C$155,A19,'Workforce &amp; Attendance'!$E$6:$E$155,"Active")</x:f>
        <x:v>27</x:v>
      </x:c>
      <x:c r="E19" s="172" t="n">
        <x:f>IFERROR(AVERAGEIF('Workforce &amp; Attendance'!$C$6:$C$155,A19,'Workforce &amp; Attendance'!$K$6:$K$155),0)</x:f>
        <x:v>0.9187075471191083</x:v>
      </x:c>
      <x:c r="F19" s="174" t="n">
        <x:f>SUMIF('Procurement &amp; Payment'!$C$6:$C$95,A19,'Procurement &amp; Payment'!$M$6:$M$95)</x:f>
        <x:v>1425213.3499999999</x:v>
      </x:c>
      <x:c r="G19" s="44"/>
      <x:c r="H19" s="44" t="str">
        <x:f>'KPI Scorecard'!A6</x:f>
        <x:v>Attendance Rate</x:v>
      </x:c>
      <x:c r="I19" s="172" t="n">
        <x:f>'KPI Scorecard'!B6</x:f>
        <x:v>0.96</x:v>
      </x:c>
      <x:c r="J19" s="172" t="n">
        <x:f>'KPI Scorecard'!C6</x:f>
        <x:v>0.9128395860781732</x:v>
      </x:c>
      <x:c r="K19" s="172" t="n">
        <x:f>'KPI Scorecard'!E6</x:f>
        <x:v>0.9508745688314304</x:v>
      </x:c>
      <x:c r="L19" s="44" t="str">
        <x:f>'KPI Scorecard'!G6</x:f>
        <x:v>Watch</x:v>
      </x:c>
      <x:c r="M19" s="44" t="str">
        <x:f>'KPI Scorecard'!H6</x:f>
        <x:v>Monitor closely</x:v>
      </x:c>
      <x:c r="N19" s="44"/>
      <x:c r="O19" t="str">
        <x:f>A19</x:f>
        <x:v>Construction</x:v>
      </x:c>
      <x:c r="P19" s="202" t="n">
        <x:f>F19/1000000</x:f>
        <x:v>1.42521335</x:v>
      </x:c>
    </x:row>
    <x:row r="20">
      <x:c r="A20" s="44" t="str">
        <x:v>Logistics</x:v>
      </x:c>
      <x:c r="B20" s="44" t="n">
        <x:f>COUNTIFS('Action Tracker'!$C$6:$C$125,A20,'Action Tracker'!$F$6:$F$125,"&lt;&gt;Completed")</x:f>
        <x:v>6</x:v>
      </x:c>
      <x:c r="C20" s="44" t="n">
        <x:f>COUNTIFS('Action Tracker'!$C$6:$C$125,A20,'Action Tracker'!$L$6:$L$125,"&gt;0")</x:f>
        <x:v>4</x:v>
      </x:c>
      <x:c r="D20" s="44" t="n">
        <x:f>COUNTIFS('Workforce &amp; Attendance'!$C$6:$C$155,A20,'Workforce &amp; Attendance'!$E$6:$E$155,"Active")</x:f>
        <x:v>19</x:v>
      </x:c>
      <x:c r="E20" s="172" t="n">
        <x:f>IFERROR(AVERAGEIF('Workforce &amp; Attendance'!$C$6:$C$155,A20,'Workforce &amp; Attendance'!$K$6:$K$155),0)</x:f>
        <x:v>0.894575988775717</x:v>
      </x:c>
      <x:c r="F20" s="174" t="n">
        <x:f>SUMIF('Procurement &amp; Payment'!$C$6:$C$95,A20,'Procurement &amp; Payment'!$M$6:$M$95)</x:f>
        <x:v>2716925.12</x:v>
      </x:c>
      <x:c r="G20" s="44"/>
      <x:c r="H20" s="44" t="str">
        <x:f>'KPI Scorecard'!A7</x:f>
        <x:v>Active Workforce %</x:v>
      </x:c>
      <x:c r="I20" s="172" t="n">
        <x:f>'KPI Scorecard'!B7</x:f>
        <x:v>0.9</x:v>
      </x:c>
      <x:c r="J20" s="172" t="n">
        <x:f>'KPI Scorecard'!C7</x:f>
        <x:v>0.84</x:v>
      </x:c>
      <x:c r="K20" s="172" t="n">
        <x:f>'KPI Scorecard'!E7</x:f>
        <x:v>0.9333333333333332</x:v>
      </x:c>
      <x:c r="L20" s="44" t="str">
        <x:f>'KPI Scorecard'!G7</x:f>
        <x:v>Watch</x:v>
      </x:c>
      <x:c r="M20" s="44" t="str">
        <x:f>'KPI Scorecard'!H7</x:f>
        <x:v>Monitor closely</x:v>
      </x:c>
      <x:c r="N20" s="44"/>
      <x:c r="O20" t="str">
        <x:f>A20</x:f>
        <x:v>Logistics</x:v>
      </x:c>
      <x:c r="P20" s="202" t="n">
        <x:f>F20/1000000</x:f>
        <x:v>2.71692512</x:v>
      </x:c>
    </x:row>
    <x:row r="21">
      <x:c r="A21" s="44" t="str">
        <x:v>Fleet &amp; Transportation</x:v>
      </x:c>
      <x:c r="B21" s="44" t="n">
        <x:f>COUNTIFS('Action Tracker'!$C$6:$C$125,A21,'Action Tracker'!$F$6:$F$125,"&lt;&gt;Completed")</x:f>
        <x:v>9</x:v>
      </x:c>
      <x:c r="C21" s="44" t="n">
        <x:f>COUNTIFS('Action Tracker'!$C$6:$C$125,A21,'Action Tracker'!$L$6:$L$125,"&gt;0")</x:f>
        <x:v>8</x:v>
      </x:c>
      <x:c r="D21" s="44" t="n">
        <x:f>COUNTIFS('Workforce &amp; Attendance'!$C$6:$C$155,A21,'Workforce &amp; Attendance'!$E$6:$E$155,"Active")</x:f>
        <x:v>16</x:v>
      </x:c>
      <x:c r="E21" s="172" t="n">
        <x:f>IFERROR(AVERAGEIF('Workforce &amp; Attendance'!$C$6:$C$155,A21,'Workforce &amp; Attendance'!$K$6:$K$155),0)</x:f>
        <x:v>0.9097485037845452</x:v>
      </x:c>
      <x:c r="F21" s="174" t="n">
        <x:f>SUMIF('Procurement &amp; Payment'!$C$6:$C$95,A21,'Procurement &amp; Payment'!$M$6:$M$95)</x:f>
        <x:v>1907607.26</x:v>
      </x:c>
      <x:c r="G21" s="44"/>
      <x:c r="H21" s="44" t="str">
        <x:f>'KPI Scorecard'!A8</x:f>
        <x:v>Open Action Closure %</x:v>
      </x:c>
      <x:c r="I21" s="172" t="n">
        <x:f>'KPI Scorecard'!B8</x:f>
        <x:v>0.8</x:v>
      </x:c>
      <x:c r="J21" s="172" t="n">
        <x:f>'KPI Scorecard'!C8</x:f>
        <x:v>0.38333333333333336</x:v>
      </x:c>
      <x:c r="K21" s="172" t="n">
        <x:f>'KPI Scorecard'!E8</x:f>
        <x:v>0.4791666666666667</x:v>
      </x:c>
      <x:c r="L21" s="44" t="str">
        <x:f>'KPI Scorecard'!G8</x:f>
        <x:v>Critical</x:v>
      </x:c>
      <x:c r="M21" s="44" t="str">
        <x:f>'KPI Scorecard'!H8</x:f>
        <x:v>Management action required</x:v>
      </x:c>
      <x:c r="N21" s="44"/>
      <x:c r="O21" t="str">
        <x:f>A21</x:f>
        <x:v>Fleet &amp; Transportation</x:v>
      </x:c>
      <x:c r="P21" s="202" t="n">
        <x:f>F21/1000000</x:f>
        <x:v>1.90760726</x:v>
      </x:c>
    </x:row>
    <x:row r="22">
      <x:c r="A22" s="44" t="str">
        <x:v>Project Administration</x:v>
      </x:c>
      <x:c r="B22" s="44" t="n">
        <x:f>COUNTIFS('Action Tracker'!$C$6:$C$125,A22,'Action Tracker'!$F$6:$F$125,"&lt;&gt;Completed")</x:f>
        <x:v>4</x:v>
      </x:c>
      <x:c r="C22" s="44" t="n">
        <x:f>COUNTIFS('Action Tracker'!$C$6:$C$125,A22,'Action Tracker'!$L$6:$L$125,"&gt;0")</x:f>
        <x:v>3</x:v>
      </x:c>
      <x:c r="D22" s="44" t="n">
        <x:f>COUNTIFS('Workforce &amp; Attendance'!$C$6:$C$155,A22,'Workforce &amp; Attendance'!$E$6:$E$155,"Active")</x:f>
        <x:v>19</x:v>
      </x:c>
      <x:c r="E22" s="172" t="n">
        <x:f>IFERROR(AVERAGEIF('Workforce &amp; Attendance'!$C$6:$C$155,A22,'Workforce &amp; Attendance'!$K$6:$K$155),0)</x:f>
        <x:v>0.921946145641798</x:v>
      </x:c>
      <x:c r="F22" s="174" t="n">
        <x:f>SUMIF('Procurement &amp; Payment'!$C$6:$C$95,A22,'Procurement &amp; Payment'!$M$6:$M$95)</x:f>
        <x:v>2694405.14</x:v>
      </x:c>
      <x:c r="G22" s="44"/>
      <x:c r="H22" s="44" t="str">
        <x:f>'KPI Scorecard'!A9</x:f>
        <x:v>Overdue Action Rate</x:v>
      </x:c>
      <x:c r="I22" s="172" t="n">
        <x:f>'KPI Scorecard'!B9</x:f>
        <x:v>0.1</x:v>
      </x:c>
      <x:c r="J22" s="172" t="n">
        <x:f>'KPI Scorecard'!C9</x:f>
        <x:v>0.5083333333333333</x:v>
      </x:c>
      <x:c r="K22" s="172" t="n">
        <x:f>'KPI Scorecard'!E9</x:f>
        <x:v>0.19672131147540986</x:v>
      </x:c>
      <x:c r="L22" s="44" t="str">
        <x:f>'KPI Scorecard'!G9</x:f>
        <x:v>Critical</x:v>
      </x:c>
      <x:c r="M22" s="44" t="str">
        <x:f>'KPI Scorecard'!H9</x:f>
        <x:v>Management action required</x:v>
      </x:c>
      <x:c r="N22" s="44"/>
      <x:c r="O22" t="str">
        <x:f>A22</x:f>
        <x:v>Project Administration</x:v>
      </x:c>
      <x:c r="P22" s="202" t="n">
        <x:f>F22/1000000</x:f>
        <x:v>2.69440514</x:v>
      </x:c>
    </x:row>
    <x:row r="23">
      <x:c r="A23" s="44" t="str">
        <x:v>Warehouse</x:v>
      </x:c>
      <x:c r="B23" s="44" t="n">
        <x:f>COUNTIFS('Action Tracker'!$C$6:$C$125,A23,'Action Tracker'!$F$6:$F$125,"&lt;&gt;Completed")</x:f>
        <x:v>7</x:v>
      </x:c>
      <x:c r="C23" s="44" t="n">
        <x:f>COUNTIFS('Action Tracker'!$C$6:$C$125,A23,'Action Tracker'!$L$6:$L$125,"&gt;0")</x:f>
        <x:v>5</x:v>
      </x:c>
      <x:c r="D23" s="44" t="n">
        <x:f>COUNTIFS('Workforce &amp; Attendance'!$C$6:$C$155,A23,'Workforce &amp; Attendance'!$E$6:$E$155,"Active")</x:f>
        <x:v>11</x:v>
      </x:c>
      <x:c r="E23" s="172" t="n">
        <x:f>IFERROR(AVERAGEIF('Workforce &amp; Attendance'!$C$6:$C$155,A23,'Workforce &amp; Attendance'!$K$6:$K$155),0)</x:f>
        <x:v>0.9290265953852912</x:v>
      </x:c>
      <x:c r="F23" s="174" t="n">
        <x:f>SUMIF('Procurement &amp; Payment'!$C$6:$C$95,A23,'Procurement &amp; Payment'!$M$6:$M$95)</x:f>
        <x:v>2124066.0100000002</x:v>
      </x:c>
      <x:c r="G23" s="44"/>
      <x:c r="H23" s="44" t="str">
        <x:f>'KPI Scorecard'!A10</x:f>
        <x:v>Procurement Paid %</x:v>
      </x:c>
      <x:c r="I23" s="172" t="n">
        <x:f>'KPI Scorecard'!B10</x:f>
        <x:v>0.75</x:v>
      </x:c>
      <x:c r="J23" s="172" t="n">
        <x:f>'KPI Scorecard'!C10</x:f>
        <x:v>0.31357627657422205</x:v>
      </x:c>
      <x:c r="K23" s="172" t="n">
        <x:f>'KPI Scorecard'!E10</x:f>
        <x:v>0.41810170209896275</x:v>
      </x:c>
      <x:c r="L23" s="44" t="str">
        <x:f>'KPI Scorecard'!G10</x:f>
        <x:v>Critical</x:v>
      </x:c>
      <x:c r="M23" s="44" t="str">
        <x:f>'KPI Scorecard'!H10</x:f>
        <x:v>Management action required</x:v>
      </x:c>
      <x:c r="N23" s="44"/>
      <x:c r="O23" t="str">
        <x:f>A23</x:f>
        <x:v>Warehouse</x:v>
      </x:c>
      <x:c r="P23" s="202" t="n">
        <x:f>F23/1000000</x:f>
        <x:v>2.1240660100000004</x:v>
      </x:c>
    </x:row>
    <x:row r="24">
      <x:c r="A24" s="44" t="str">
        <x:v>Procurement</x:v>
      </x:c>
      <x:c r="B24" s="44" t="n">
        <x:f>COUNTIFS('Action Tracker'!$C$6:$C$125,A24,'Action Tracker'!$F$6:$F$125,"&lt;&gt;Completed")</x:f>
        <x:v>9</x:v>
      </x:c>
      <x:c r="C24" s="44" t="n">
        <x:f>COUNTIFS('Action Tracker'!$C$6:$C$125,A24,'Action Tracker'!$L$6:$L$125,"&gt;0")</x:f>
        <x:v>9</x:v>
      </x:c>
      <x:c r="D24" s="44" t="n">
        <x:f>COUNTIFS('Workforce &amp; Attendance'!$C$6:$C$155,A24,'Workforce &amp; Attendance'!$E$6:$E$155,"Active")</x:f>
        <x:v>5</x:v>
      </x:c>
      <x:c r="E24" s="172" t="n">
        <x:f>IFERROR(AVERAGEIF('Workforce &amp; Attendance'!$C$6:$C$155,A24,'Workforce &amp; Attendance'!$K$6:$K$155),0)</x:f>
        <x:v>0.9157679480845242</x:v>
      </x:c>
      <x:c r="F24" s="174" t="n">
        <x:f>SUMIF('Procurement &amp; Payment'!$C$6:$C$95,A24,'Procurement &amp; Payment'!$M$6:$M$95)</x:f>
        <x:v>1122956.66</x:v>
      </x:c>
      <x:c r="G24" s="44"/>
      <x:c r="H24" s="44" t="str">
        <x:f>'KPI Scorecard'!A11</x:f>
        <x:v>OT Exception Rate</x:v>
      </x:c>
      <x:c r="I24" s="172" t="n">
        <x:f>'KPI Scorecard'!B11</x:f>
        <x:v>0.15</x:v>
      </x:c>
      <x:c r="J24" s="172" t="n">
        <x:f>'KPI Scorecard'!C11</x:f>
        <x:v>0.06666666666666667</x:v>
      </x:c>
      <x:c r="K24" s="172" t="n">
        <x:f>'KPI Scorecard'!E11</x:f>
        <x:v>2.25</x:v>
      </x:c>
      <x:c r="L24" s="44" t="str">
        <x:f>'KPI Scorecard'!G11</x:f>
        <x:v>On Track</x:v>
      </x:c>
      <x:c r="M24" s="44" t="str">
        <x:f>'KPI Scorecard'!H11</x:f>
        <x:v>Within target</x:v>
      </x:c>
      <x:c r="N24" s="44"/>
      <x:c r="O24" t="str">
        <x:f>A24</x:f>
        <x:v>Procurement</x:v>
      </x:c>
      <x:c r="P24" s="202" t="n">
        <x:f>F24/1000000</x:f>
        <x:v>1.1229566599999998</x:v>
      </x:c>
    </x:row>
    <x:row r="25">
      <x:c r="A25" s="44" t="str">
        <x:v>Document Control</x:v>
      </x:c>
      <x:c r="B25" s="44" t="n">
        <x:f>COUNTIFS('Action Tracker'!$C$6:$C$125,A25,'Action Tracker'!$F$6:$F$125,"&lt;&gt;Completed")</x:f>
        <x:v>10</x:v>
      </x:c>
      <x:c r="C25" s="44" t="n">
        <x:f>COUNTIFS('Action Tracker'!$C$6:$C$125,A25,'Action Tracker'!$L$6:$L$125,"&gt;0")</x:f>
        <x:v>8</x:v>
      </x:c>
      <x:c r="D25" s="44" t="n">
        <x:f>COUNTIFS('Workforce &amp; Attendance'!$C$6:$C$155,A25,'Workforce &amp; Attendance'!$E$6:$E$155,"Active")</x:f>
        <x:v>9</x:v>
      </x:c>
      <x:c r="E25" s="172" t="n">
        <x:f>IFERROR(AVERAGEIF('Workforce &amp; Attendance'!$C$6:$C$155,A25,'Workforce &amp; Attendance'!$K$6:$K$155),0)</x:f>
        <x:v>0.9195032051282052</x:v>
      </x:c>
      <x:c r="F25" s="174" t="n">
        <x:f>SUMIF('Procurement &amp; Payment'!$C$6:$C$95,A25,'Procurement &amp; Payment'!$M$6:$M$95)</x:f>
        <x:v>1213026.69</x:v>
      </x:c>
      <x:c r="G25" s="44"/>
      <x:c r="H25" s="44"/>
      <x:c r="I25" s="44"/>
      <x:c r="J25" s="44"/>
      <x:c r="K25" s="44"/>
      <x:c r="L25" s="44"/>
      <x:c r="M25" s="44"/>
      <x:c r="N25" s="44"/>
      <x:c r="O25" t="str">
        <x:f>A25</x:f>
        <x:v>Document Control</x:v>
      </x:c>
      <x:c r="P25" s="202" t="n">
        <x:f>F25/1000000</x:f>
        <x:v>1.21302669</x:v>
      </x:c>
    </x:row>
    <x:row r="26">
      <x:c r="A26" s="44" t="str">
        <x:v>Finance</x:v>
      </x:c>
      <x:c r="B26" s="44" t="n">
        <x:f>COUNTIFS('Action Tracker'!$C$6:$C$125,A26,'Action Tracker'!$F$6:$F$125,"&lt;&gt;Completed")</x:f>
        <x:v>3</x:v>
      </x:c>
      <x:c r="C26" s="44" t="n">
        <x:f>COUNTIFS('Action Tracker'!$C$6:$C$125,A26,'Action Tracker'!$L$6:$L$125,"&gt;0")</x:f>
        <x:v>3</x:v>
      </x:c>
      <x:c r="D26" s="44" t="n">
        <x:f>COUNTIFS('Workforce &amp; Attendance'!$C$6:$C$155,A26,'Workforce &amp; Attendance'!$E$6:$E$155,"Active")</x:f>
        <x:v>8</x:v>
      </x:c>
      <x:c r="E26" s="172" t="n">
        <x:f>IFERROR(AVERAGEIF('Workforce &amp; Attendance'!$C$6:$C$155,A26,'Workforce &amp; Attendance'!$K$6:$K$155),0)</x:f>
        <x:v>0.8936274766899766</x:v>
      </x:c>
      <x:c r="F26" s="174" t="n">
        <x:f>SUMIF('Procurement &amp; Payment'!$C$6:$C$95,A26,'Procurement &amp; Payment'!$M$6:$M$95)</x:f>
        <x:v>3260233.31</x:v>
      </x:c>
      <x:c r="G26" s="44"/>
      <x:c r="H26" s="44"/>
      <x:c r="I26" s="44"/>
      <x:c r="J26" s="44"/>
      <x:c r="K26" s="44"/>
      <x:c r="L26" s="44"/>
      <x:c r="M26" s="44"/>
      <x:c r="N26" s="44"/>
      <x:c r="O26" t="str">
        <x:f>A26</x:f>
        <x:v>Finance</x:v>
      </x:c>
      <x:c r="P26" s="202" t="n">
        <x:f>F26/1000000</x:f>
        <x:v>3.2602333100000003</x:v>
      </x:c>
    </x:row>
    <x:row r="27">
      <x:c r="A27" s="44" t="str">
        <x:v>Human Resources</x:v>
      </x:c>
      <x:c r="B27" s="44" t="n">
        <x:f>COUNTIFS('Action Tracker'!$C$6:$C$125,A27,'Action Tracker'!$F$6:$F$125,"&lt;&gt;Completed")</x:f>
        <x:v>9</x:v>
      </x:c>
      <x:c r="C27" s="44" t="n">
        <x:f>COUNTIFS('Action Tracker'!$C$6:$C$125,A27,'Action Tracker'!$L$6:$L$125,"&gt;0")</x:f>
        <x:v>7</x:v>
      </x:c>
      <x:c r="D27" s="44" t="n">
        <x:f>COUNTIFS('Workforce &amp; Attendance'!$C$6:$C$155,A27,'Workforce &amp; Attendance'!$E$6:$E$155,"Active")</x:f>
        <x:v>9</x:v>
      </x:c>
      <x:c r="E27" s="172" t="n">
        <x:f>IFERROR(AVERAGEIF('Workforce &amp; Attendance'!$C$6:$C$155,A27,'Workforce &amp; Attendance'!$K$6:$K$155),0)</x:f>
        <x:v>0.9132595657663592</x:v>
      </x:c>
      <x:c r="F27" s="174" t="n">
        <x:f>SUMIF('Procurement &amp; Payment'!$C$6:$C$95,A27,'Procurement &amp; Payment'!$M$6:$M$95)</x:f>
        <x:v>2098604.7199999997</x:v>
      </x:c>
      <x:c r="G27" s="44"/>
      <x:c r="H27" s="44"/>
      <x:c r="I27" s="44"/>
      <x:c r="J27" s="44"/>
      <x:c r="K27" s="44"/>
      <x:c r="L27" s="44"/>
      <x:c r="M27" s="44"/>
      <x:c r="N27" s="44"/>
      <x:c r="O27" t="str">
        <x:f>A27</x:f>
        <x:v>Human Resources</x:v>
      </x:c>
      <x:c r="P27" s="202" t="n">
        <x:f>F27/1000000</x:f>
        <x:v>2.0986047199999995</x:v>
      </x:c>
    </x:row>
    <x:row r="28">
      <x:c r="A28" s="44" t="str">
        <x:v>Executive Office</x:v>
      </x:c>
      <x:c r="B28" s="44" t="n">
        <x:f>COUNTIFS('Action Tracker'!$C$6:$C$125,A28,'Action Tracker'!$F$6:$F$125,"&lt;&gt;Completed")</x:f>
        <x:v>10</x:v>
      </x:c>
      <x:c r="C28" s="44" t="n">
        <x:f>COUNTIFS('Action Tracker'!$C$6:$C$125,A28,'Action Tracker'!$L$6:$L$125,"&gt;0")</x:f>
        <x:v>9</x:v>
      </x:c>
      <x:c r="D28" s="44" t="n">
        <x:f>COUNTIFS('Workforce &amp; Attendance'!$C$6:$C$155,A28,'Workforce &amp; Attendance'!$E$6:$E$155,"Active")</x:f>
        <x:v>3</x:v>
      </x:c>
      <x:c r="E28" s="172" t="n">
        <x:f>IFERROR(AVERAGEIF('Workforce &amp; Attendance'!$C$6:$C$155,A28,'Workforce &amp; Attendance'!$K$6:$K$155),0)</x:f>
        <x:v>0.8966477272727273</x:v>
      </x:c>
      <x:c r="F28" s="174" t="n">
        <x:f>SUMIF('Procurement &amp; Payment'!$C$6:$C$95,A28,'Procurement &amp; Payment'!$M$6:$M$95)</x:f>
        <x:v>2623779.0100000002</x:v>
      </x:c>
      <x:c r="G28" s="44"/>
      <x:c r="H28" s="44"/>
      <x:c r="I28" s="44"/>
      <x:c r="J28" s="44"/>
      <x:c r="K28" s="44"/>
      <x:c r="L28" s="44"/>
      <x:c r="M28" s="44"/>
      <x:c r="N28" s="44"/>
      <x:c r="O28" t="str">
        <x:f>A28</x:f>
        <x:v>Executive Office</x:v>
      </x:c>
      <x:c r="P28" s="202" t="n">
        <x:f>F28/1000000</x:f>
        <x:v>2.6237790100000002</x:v>
      </x:c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N2"/>
    <x:mergeCell ref="A3:N3"/>
    <x:mergeCell ref="A6:C8"/>
    <x:mergeCell ref="D6:F8"/>
    <x:mergeCell ref="G6:I8"/>
    <x:mergeCell ref="J6:L8"/>
    <x:mergeCell ref="M6:N8"/>
    <x:mergeCell ref="A10:C12"/>
    <x:mergeCell ref="D10:F12"/>
    <x:mergeCell ref="G10:I12"/>
    <x:mergeCell ref="J10:L12"/>
    <x:mergeCell ref="M10:N12"/>
    <x:mergeCell ref="A9:C9"/>
    <x:mergeCell ref="D9:F9"/>
    <x:mergeCell ref="G9:I9"/>
    <x:mergeCell ref="J9:L9"/>
    <x:mergeCell ref="M9:N9"/>
    <x:mergeCell ref="A13:C13"/>
    <x:mergeCell ref="D13:F13"/>
    <x:mergeCell ref="G13:I13"/>
    <x:mergeCell ref="J13:L13"/>
    <x:mergeCell ref="M13:N13"/>
    <x:mergeCell ref="A15:N16"/>
  </x:mergeCells>
  <x:conditionalFormatting sqref="C19:C28">
    <x:cfRule type="dataBar" priority="1">
      <x:dataBar>
        <x:cfvo type="min"/>
        <x:cfvo type="max"/>
        <x:color rgb="FFC62828"/>
      </x:dataBar>
      <x:extLst>
        <x:ext xmlns:x14="http://schemas.microsoft.com/office/spreadsheetml/2009/9/main" uri="{B025F937-C7B1-47D3-B67F-A62EFF666E3E}">
          <x14:id>{52C91449-CBC7-ECC4-9FA2-668C83A5804F}</x14:id>
        </x:ext>
      </x:extLst>
    </x:cfRule>
  </x:conditionalFormatting>
  <x:conditionalFormatting sqref="E19:E28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F19:F28">
    <x:cfRule type="dataBar" priority="3">
      <x:dataBar>
        <x:cfvo type="min"/>
        <x:cfvo type="max"/>
        <x:color rgb="FFC9A227"/>
      </x:dataBar>
      <x:extLst>
        <x:ext xmlns:x14="http://schemas.microsoft.com/office/spreadsheetml/2009/9/main" uri="{B025F937-C7B1-47D3-B67F-A62EFF666E3E}">
          <x14:id>{33DEE8FF-E98A-620E-12BF-369A28736917}</x14:id>
        </x:ext>
      </x:extLst>
    </x:cfRule>
  </x:conditionalFormatting>
  <x:conditionalFormatting sqref="L19:L24">
    <x:cfRule type="expression" dxfId="9" priority="4">
      <x:formula>L19="On Track"</x:formula>
    </x:cfRule>
    <x:cfRule type="expression" dxfId="10" priority="5">
      <x:formula>L19="Watch"</x:formula>
    </x:cfRule>
    <x:cfRule type="expression" dxfId="11" priority="6">
      <x:formula>L19="Critical"</x:formula>
    </x:cfRule>
  </x:conditionalFormatting>
  <x:pageMargins left="0.7" right="0.7" top="0.75" bottom="0.75" header="0.3" footer="0.3"/>
  <x:drawing xmlns:r="http://schemas.openxmlformats.org/officeDocument/2006/relationships" r:id="Rfaf6bdae67454b6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C91449-CBC7-ECC4-9FA2-668C83A5804F}">
            <x14:dataBar gradient="1">
              <x14:cfvo type="min"/>
              <x14:cfvo type="max"/>
              <x14:fillColor rgb="FFC62828"/>
            </x14:dataBar>
          </x14:cfRule>
          <xm:sqref>C19:C28</xm:sqref>
        </x14:conditionalFormatting>
        <x14:conditionalFormatting>
          <x14:cfRule type="dataBar" priority="3" id="{33DEE8FF-E98A-620E-12BF-369A28736917}">
            <x14:dataBar gradient="1">
              <x14:cfvo type="min"/>
              <x14:cfvo type="max"/>
              <x14:fillColor rgb="FFC9A227"/>
            </x14:dataBar>
          </x14:cfRule>
          <xm:sqref>F19:F28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4" hidden="0" customWidth="1"/>
    <x:col min="4" max="4" width="2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22" hidden="0" customWidth="1"/>
    <x:col min="12" max="12" width="13" hidden="0" customWidth="1"/>
  </x:cols>
  <x:sheetData>
    <x:row r="1">
      <x:c r="A1" s="10" t="str">
        <x:v>MANAGEMENT ACTION &amp; FOLLOW-UP TRACKER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6" t="str">
        <x:v>Executive follow-up register | Priorities • Owners • Due dates • Progress • Overdue visibility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5" ht="30" customHeight="1">
      <x:c r="A5" s="24" t="str">
        <x:v>Action ID</x:v>
      </x:c>
      <x:c r="B5" s="24" t="str">
        <x:v>Action / Deliverable</x:v>
      </x:c>
      <x:c r="C5" s="24" t="str">
        <x:v>Department</x:v>
      </x:c>
      <x:c r="D5" s="24" t="str">
        <x:v>Owner</x:v>
      </x:c>
      <x:c r="E5" s="24" t="str">
        <x:v>Priority</x:v>
      </x:c>
      <x:c r="F5" s="24" t="str">
        <x:v>Status</x:v>
      </x:c>
      <x:c r="G5" s="24" t="str">
        <x:v>Created Date</x:v>
      </x:c>
      <x:c r="H5" s="24" t="str">
        <x:v>Due Date</x:v>
      </x:c>
      <x:c r="I5" s="24" t="str">
        <x:v>Completed Date</x:v>
      </x:c>
      <x:c r="J5" s="24" t="str">
        <x:v>Progress %</x:v>
      </x:c>
      <x:c r="K5" s="24" t="str">
        <x:v>Category</x:v>
      </x:c>
      <x:c r="L5" s="24" t="str">
        <x:v>Days Overdue</x:v>
      </x:c>
    </x:row>
    <x:row r="6">
      <x:c r="A6" t="str">
        <x:v>ACT-001</x:v>
      </x:c>
      <x:c r="B6" t="str">
        <x:v>Warehouse operational follow-up item 001</x:v>
      </x:c>
      <x:c r="C6" t="str">
        <x:v>Warehouse</x:v>
      </x:c>
      <x:c r="D6" t="str">
        <x:v>Admin Manager</x:v>
      </x:c>
      <x:c r="E6" t="str">
        <x:v>Medium</x:v>
      </x:c>
      <x:c r="F6" t="str">
        <x:v>In Progress</x:v>
      </x:c>
      <x:c r="G6" s="30" t="n">
        <x:v>46215</x:v>
      </x:c>
      <x:c r="H6" s="30" t="n">
        <x:v>46229</x:v>
      </x:c>
      <x:c r="I6" s="30"/>
      <x:c r="J6" s="32" t="n">
        <x:v>0.75</x:v>
      </x:c>
      <x:c r="K6" t="str">
        <x:v>Management review</x:v>
      </x:c>
      <x:c r="L6" s="34" t="n">
        <x:f>IF(OR(F6="Completed",H6=""),0,MAX(0,'Executive Dashboard'!$B$4-H6))</x:f>
        <x:v>1</x:v>
      </x:c>
    </x:row>
    <x:row r="7">
      <x:c r="A7" t="str">
        <x:v>ACT-002</x:v>
      </x:c>
      <x:c r="B7" t="str">
        <x:v>Finance operational follow-up item 002</x:v>
      </x:c>
      <x:c r="C7" t="str">
        <x:v>Finance</x:v>
      </x:c>
      <x:c r="D7" t="str">
        <x:v>Document Controller</x:v>
      </x:c>
      <x:c r="E7" t="str">
        <x:v>Medium</x:v>
      </x:c>
      <x:c r="F7" t="str">
        <x:v>Open</x:v>
      </x:c>
      <x:c r="G7" s="30" t="n">
        <x:v>46168</x:v>
      </x:c>
      <x:c r="H7" s="30" t="n">
        <x:v>46199</x:v>
      </x:c>
      <x:c r="I7" s="30"/>
      <x:c r="J7" s="32" t="n">
        <x:v>0.2</x:v>
      </x:c>
      <x:c r="K7" t="str">
        <x:v>Site action</x:v>
      </x:c>
      <x:c r="L7" s="34" t="n">
        <x:f>IF(OR(F7="Completed",H7=""),0,MAX(0,'Executive Dashboard'!$B$4-H7))</x:f>
        <x:v>31</x:v>
      </x:c>
    </x:row>
    <x:row r="8">
      <x:c r="A8" t="str">
        <x:v>ACT-003</x:v>
      </x:c>
      <x:c r="B8" t="str">
        <x:v>Construction operational follow-up item 003</x:v>
      </x:c>
      <x:c r="C8" t="str">
        <x:v>Construction</x:v>
      </x:c>
      <x:c r="D8" t="str">
        <x:v>Document Controller</x:v>
      </x:c>
      <x:c r="E8" t="str">
        <x:v>High</x:v>
      </x:c>
      <x:c r="F8" t="str">
        <x:v>In Progress</x:v>
      </x:c>
      <x:c r="G8" s="30" t="n">
        <x:v>46197</x:v>
      </x:c>
      <x:c r="H8" s="30" t="n">
        <x:v>46231</x:v>
      </x:c>
      <x:c r="I8" s="30"/>
      <x:c r="J8" s="32" t="n">
        <x:v>0.6</x:v>
      </x:c>
      <x:c r="K8" t="str">
        <x:v>Vendor follow-up</x:v>
      </x:c>
      <x:c r="L8" s="34" t="n">
        <x:f>IF(OR(F8="Completed",H8=""),0,MAX(0,'Executive Dashboard'!$B$4-H8))</x:f>
        <x:v>0</x:v>
      </x:c>
    </x:row>
    <x:row r="9">
      <x:c r="A9" t="str">
        <x:v>ACT-004</x:v>
      </x:c>
      <x:c r="B9" t="str">
        <x:v>Construction operational follow-up item 004</x:v>
      </x:c>
      <x:c r="C9" t="str">
        <x:v>Construction</x:v>
      </x:c>
      <x:c r="D9" t="str">
        <x:v>Procurement Lead</x:v>
      </x:c>
      <x:c r="E9" t="str">
        <x:v>Medium</x:v>
      </x:c>
      <x:c r="F9" t="str">
        <x:v>In Progress</x:v>
      </x:c>
      <x:c r="G9" s="30" t="n">
        <x:v>46168</x:v>
      </x:c>
      <x:c r="H9" s="30" t="n">
        <x:v>46176</x:v>
      </x:c>
      <x:c r="I9" s="30"/>
      <x:c r="J9" s="32" t="n">
        <x:v>0.5</x:v>
      </x:c>
      <x:c r="K9" t="str">
        <x:v>Internal coordination</x:v>
      </x:c>
      <x:c r="L9" s="34" t="n">
        <x:f>IF(OR(F9="Completed",H9=""),0,MAX(0,'Executive Dashboard'!$B$4-H9))</x:f>
        <x:v>54</x:v>
      </x:c>
    </x:row>
    <x:row r="10">
      <x:c r="A10" t="str">
        <x:v>ACT-005</x:v>
      </x:c>
      <x:c r="B10" t="str">
        <x:v>Fleet &amp; Transportation operational follow-up item 005</x:v>
      </x:c>
      <x:c r="C10" t="str">
        <x:v>Fleet &amp; Transportation</x:v>
      </x:c>
      <x:c r="D10" t="str">
        <x:v>HR Manager</x:v>
      </x:c>
      <x:c r="E10" t="str">
        <x:v>Critical</x:v>
      </x:c>
      <x:c r="F10" t="str">
        <x:v>Completed</x:v>
      </x:c>
      <x:c r="G10" s="30" t="n">
        <x:v>46177</x:v>
      </x:c>
      <x:c r="H10" s="30" t="n">
        <x:v>46197</x:v>
      </x:c>
      <x:c r="I10" s="30" t="n">
        <x:v>46197</x:v>
      </x:c>
      <x:c r="J10" s="32" t="n">
        <x:v>1</x:v>
      </x:c>
      <x:c r="K10" t="str">
        <x:v>Commercial follow-up</x:v>
      </x:c>
      <x:c r="L10" s="34" t="n">
        <x:f>IF(OR(F10="Completed",H10=""),0,MAX(0,'Executive Dashboard'!$B$4-H10))</x:f>
        <x:v>0</x:v>
      </x:c>
    </x:row>
    <x:row r="11">
      <x:c r="A11" t="str">
        <x:v>ACT-006</x:v>
      </x:c>
      <x:c r="B11" t="str">
        <x:v>Fleet &amp; Transportation operational follow-up item 006</x:v>
      </x:c>
      <x:c r="C11" t="str">
        <x:v>Fleet &amp; Transportation</x:v>
      </x:c>
      <x:c r="D11" t="str">
        <x:v>Executive Office</x:v>
      </x:c>
      <x:c r="E11" t="str">
        <x:v>Medium</x:v>
      </x:c>
      <x:c r="F11" t="str">
        <x:v>Completed</x:v>
      </x:c>
      <x:c r="G11" s="30" t="n">
        <x:v>46153</x:v>
      </x:c>
      <x:c r="H11" s="30" t="n">
        <x:v>46161</x:v>
      </x:c>
      <x:c r="I11" s="30" t="n">
        <x:v>46160</x:v>
      </x:c>
      <x:c r="J11" s="32" t="n">
        <x:v>1</x:v>
      </x:c>
      <x:c r="K11" t="str">
        <x:v>Vendor follow-up</x:v>
      </x:c>
      <x:c r="L11" s="34" t="n">
        <x:f>IF(OR(F11="Completed",H11=""),0,MAX(0,'Executive Dashboard'!$B$4-H11))</x:f>
        <x:v>0</x:v>
      </x:c>
    </x:row>
    <x:row r="12">
      <x:c r="A12" t="str">
        <x:v>ACT-007</x:v>
      </x:c>
      <x:c r="B12" t="str">
        <x:v>Human Resources operational follow-up item 007</x:v>
      </x:c>
      <x:c r="C12" t="str">
        <x:v>Human Resources</x:v>
      </x:c>
      <x:c r="D12" t="str">
        <x:v>Logistics Manager</x:v>
      </x:c>
      <x:c r="E12" t="str">
        <x:v>Medium</x:v>
      </x:c>
      <x:c r="F12" t="str">
        <x:v>In Progress</x:v>
      </x:c>
      <x:c r="G12" s="30" t="n">
        <x:v>46205</x:v>
      </x:c>
      <x:c r="H12" s="30" t="n">
        <x:v>46223</x:v>
      </x:c>
      <x:c r="I12" s="30"/>
      <x:c r="J12" s="32" t="n">
        <x:v>0.5</x:v>
      </x:c>
      <x:c r="K12" t="str">
        <x:v>Vendor follow-up</x:v>
      </x:c>
      <x:c r="L12" s="34" t="n">
        <x:f>IF(OR(F12="Completed",H12=""),0,MAX(0,'Executive Dashboard'!$B$4-H12))</x:f>
        <x:v>7</x:v>
      </x:c>
    </x:row>
    <x:row r="13">
      <x:c r="A13" t="str">
        <x:v>ACT-008</x:v>
      </x:c>
      <x:c r="B13" t="str">
        <x:v>Construction operational follow-up item 008</x:v>
      </x:c>
      <x:c r="C13" t="str">
        <x:v>Construction</x:v>
      </x:c>
      <x:c r="D13" t="str">
        <x:v>Document Controller</x:v>
      </x:c>
      <x:c r="E13" t="str">
        <x:v>High</x:v>
      </x:c>
      <x:c r="F13" t="str">
        <x:v>Completed</x:v>
      </x:c>
      <x:c r="G13" s="30" t="n">
        <x:v>46197</x:v>
      </x:c>
      <x:c r="H13" s="30" t="n">
        <x:v>46225</x:v>
      </x:c>
      <x:c r="I13" s="30" t="n">
        <x:v>46220</x:v>
      </x:c>
      <x:c r="J13" s="32" t="n">
        <x:v>1</x:v>
      </x:c>
      <x:c r="K13" t="str">
        <x:v>Internal coordination</x:v>
      </x:c>
      <x:c r="L13" s="34" t="n">
        <x:f>IF(OR(F13="Completed",H13=""),0,MAX(0,'Executive Dashboard'!$B$4-H13))</x:f>
        <x:v>0</x:v>
      </x:c>
    </x:row>
    <x:row r="14">
      <x:c r="A14" t="str">
        <x:v>ACT-009</x:v>
      </x:c>
      <x:c r="B14" t="str">
        <x:v>Document Control operational follow-up item 009</x:v>
      </x:c>
      <x:c r="C14" t="str">
        <x:v>Document Control</x:v>
      </x:c>
      <x:c r="D14" t="str">
        <x:v>Logistics Manager</x:v>
      </x:c>
      <x:c r="E14" t="str">
        <x:v>High</x:v>
      </x:c>
      <x:c r="F14" t="str">
        <x:v>Open</x:v>
      </x:c>
      <x:c r="G14" s="30" t="n">
        <x:v>46205</x:v>
      </x:c>
      <x:c r="H14" s="30" t="n">
        <x:v>46213</x:v>
      </x:c>
      <x:c r="I14" s="30"/>
      <x:c r="J14" s="32" t="n">
        <x:v>0</x:v>
      </x:c>
      <x:c r="K14" t="str">
        <x:v>Commercial follow-up</x:v>
      </x:c>
      <x:c r="L14" s="34" t="n">
        <x:f>IF(OR(F14="Completed",H14=""),0,MAX(0,'Executive Dashboard'!$B$4-H14))</x:f>
        <x:v>17</x:v>
      </x:c>
    </x:row>
    <x:row r="15">
      <x:c r="A15" t="str">
        <x:v>ACT-010</x:v>
      </x:c>
      <x:c r="B15" t="str">
        <x:v>Warehouse operational follow-up item 010</x:v>
      </x:c>
      <x:c r="C15" t="str">
        <x:v>Warehouse</x:v>
      </x:c>
      <x:c r="D15" t="str">
        <x:v>Document Controller</x:v>
      </x:c>
      <x:c r="E15" t="str">
        <x:v>Medium</x:v>
      </x:c>
      <x:c r="F15" t="str">
        <x:v>In Progress</x:v>
      </x:c>
      <x:c r="G15" s="30" t="n">
        <x:v>46195</x:v>
      </x:c>
      <x:c r="H15" s="30" t="n">
        <x:v>46203</x:v>
      </x:c>
      <x:c r="I15" s="30"/>
      <x:c r="J15" s="32" t="n">
        <x:v>0.85</x:v>
      </x:c>
      <x:c r="K15" t="str">
        <x:v>Management review</x:v>
      </x:c>
      <x:c r="L15" s="34" t="n">
        <x:f>IF(OR(F15="Completed",H15=""),0,MAX(0,'Executive Dashboard'!$B$4-H15))</x:f>
        <x:v>27</x:v>
      </x:c>
    </x:row>
    <x:row r="16">
      <x:c r="A16" t="str">
        <x:v>ACT-011</x:v>
      </x:c>
      <x:c r="B16" t="str">
        <x:v>Logistics operational follow-up item 011</x:v>
      </x:c>
      <x:c r="C16" t="str">
        <x:v>Logistics</x:v>
      </x:c>
      <x:c r="D16" t="str">
        <x:v>Procurement Lead</x:v>
      </x:c>
      <x:c r="E16" t="str">
        <x:v>Medium</x:v>
      </x:c>
      <x:c r="F16" t="str">
        <x:v>Completed</x:v>
      </x:c>
      <x:c r="G16" s="30" t="n">
        <x:v>46213</x:v>
      </x:c>
      <x:c r="H16" s="30" t="n">
        <x:v>46221</x:v>
      </x:c>
      <x:c r="I16" s="30" t="n">
        <x:v>46224</x:v>
      </x:c>
      <x:c r="J16" s="32" t="n">
        <x:v>1</x:v>
      </x:c>
      <x:c r="K16" t="str">
        <x:v>Management review</x:v>
      </x:c>
      <x:c r="L16" s="34" t="n">
        <x:f>IF(OR(F16="Completed",H16=""),0,MAX(0,'Executive Dashboard'!$B$4-H16))</x:f>
        <x:v>0</x:v>
      </x:c>
    </x:row>
    <x:row r="17">
      <x:c r="A17" t="str">
        <x:v>ACT-012</x:v>
      </x:c>
      <x:c r="B17" t="str">
        <x:v>Project Administration operational follow-up item 012</x:v>
      </x:c>
      <x:c r="C17" t="str">
        <x:v>Project Administration</x:v>
      </x:c>
      <x:c r="D17" t="str">
        <x:v>Admin Manager</x:v>
      </x:c>
      <x:c r="E17" t="str">
        <x:v>Critical</x:v>
      </x:c>
      <x:c r="F17" t="str">
        <x:v>Completed</x:v>
      </x:c>
      <x:c r="G17" s="30" t="n">
        <x:v>46180</x:v>
      </x:c>
      <x:c r="H17" s="30" t="n">
        <x:v>46195</x:v>
      </x:c>
      <x:c r="I17" s="30" t="n">
        <x:v>46192</x:v>
      </x:c>
      <x:c r="J17" s="32" t="n">
        <x:v>1</x:v>
      </x:c>
      <x:c r="K17" t="str">
        <x:v>Site action</x:v>
      </x:c>
      <x:c r="L17" s="34" t="n">
        <x:f>IF(OR(F17="Completed",H17=""),0,MAX(0,'Executive Dashboard'!$B$4-H17))</x:f>
        <x:v>0</x:v>
      </x:c>
    </x:row>
    <x:row r="18">
      <x:c r="A18" t="str">
        <x:v>ACT-013</x:v>
      </x:c>
      <x:c r="B18" t="str">
        <x:v>Construction operational follow-up item 013</x:v>
      </x:c>
      <x:c r="C18" t="str">
        <x:v>Construction</x:v>
      </x:c>
      <x:c r="D18" t="str">
        <x:v>Executive Office</x:v>
      </x:c>
      <x:c r="E18" t="str">
        <x:v>Medium</x:v>
      </x:c>
      <x:c r="F18" t="str">
        <x:v>Open</x:v>
      </x:c>
      <x:c r="G18" s="30" t="n">
        <x:v>46194</x:v>
      </x:c>
      <x:c r="H18" s="30" t="n">
        <x:v>46206</x:v>
      </x:c>
      <x:c r="I18" s="30"/>
      <x:c r="J18" s="32" t="n">
        <x:v>0.1</x:v>
      </x:c>
      <x:c r="K18" t="str">
        <x:v>Vendor follow-up</x:v>
      </x:c>
      <x:c r="L18" s="34" t="n">
        <x:f>IF(OR(F18="Completed",H18=""),0,MAX(0,'Executive Dashboard'!$B$4-H18))</x:f>
        <x:v>24</x:v>
      </x:c>
    </x:row>
    <x:row r="19">
      <x:c r="A19" t="str">
        <x:v>ACT-014</x:v>
      </x:c>
      <x:c r="B19" t="str">
        <x:v>Human Resources operational follow-up item 014</x:v>
      </x:c>
      <x:c r="C19" t="str">
        <x:v>Human Resources</x:v>
      </x:c>
      <x:c r="D19" t="str">
        <x:v>HR Manager</x:v>
      </x:c>
      <x:c r="E19" t="str">
        <x:v>Low</x:v>
      </x:c>
      <x:c r="F19" t="str">
        <x:v>Open</x:v>
      </x:c>
      <x:c r="G19" s="30" t="n">
        <x:v>46227</x:v>
      </x:c>
      <x:c r="H19" s="30" t="n">
        <x:v>46254</x:v>
      </x:c>
      <x:c r="I19" s="30"/>
      <x:c r="J19" s="32" t="n">
        <x:v>0.3</x:v>
      </x:c>
      <x:c r="K19" t="str">
        <x:v>Management review</x:v>
      </x:c>
      <x:c r="L19" s="34" t="n">
        <x:f>IF(OR(F19="Completed",H19=""),0,MAX(0,'Executive Dashboard'!$B$4-H19))</x:f>
        <x:v>0</x:v>
      </x:c>
    </x:row>
    <x:row r="20">
      <x:c r="A20" t="str">
        <x:v>ACT-015</x:v>
      </x:c>
      <x:c r="B20" t="str">
        <x:v>Logistics operational follow-up item 015</x:v>
      </x:c>
      <x:c r="C20" t="str">
        <x:v>Logistics</x:v>
      </x:c>
      <x:c r="D20" t="str">
        <x:v>Executive Office</x:v>
      </x:c>
      <x:c r="E20" t="str">
        <x:v>Medium</x:v>
      </x:c>
      <x:c r="F20" t="str">
        <x:v>Open</x:v>
      </x:c>
      <x:c r="G20" s="30" t="n">
        <x:v>46215</x:v>
      </x:c>
      <x:c r="H20" s="30" t="n">
        <x:v>46242</x:v>
      </x:c>
      <x:c r="I20" s="30"/>
      <x:c r="J20" s="32" t="n">
        <x:v>0.2</x:v>
      </x:c>
      <x:c r="K20" t="str">
        <x:v>Site action</x:v>
      </x:c>
      <x:c r="L20" s="34" t="n">
        <x:f>IF(OR(F20="Completed",H20=""),0,MAX(0,'Executive Dashboard'!$B$4-H20))</x:f>
        <x:v>0</x:v>
      </x:c>
    </x:row>
    <x:row r="21">
      <x:c r="A21" t="str">
        <x:v>ACT-016</x:v>
      </x:c>
      <x:c r="B21" t="str">
        <x:v>Procurement operational follow-up item 016</x:v>
      </x:c>
      <x:c r="C21" t="str">
        <x:v>Procurement</x:v>
      </x:c>
      <x:c r="D21" t="str">
        <x:v>Logistics Manager</x:v>
      </x:c>
      <x:c r="E21" t="str">
        <x:v>Medium</x:v>
      </x:c>
      <x:c r="F21" t="str">
        <x:v>In Progress</x:v>
      </x:c>
      <x:c r="G21" s="30" t="n">
        <x:v>46195</x:v>
      </x:c>
      <x:c r="H21" s="30" t="n">
        <x:v>46228</x:v>
      </x:c>
      <x:c r="I21" s="30"/>
      <x:c r="J21" s="32" t="n">
        <x:v>0.6</x:v>
      </x:c>
      <x:c r="K21" t="str">
        <x:v>Internal coordination</x:v>
      </x:c>
      <x:c r="L21" s="34" t="n">
        <x:f>IF(OR(F21="Completed",H21=""),0,MAX(0,'Executive Dashboard'!$B$4-H21))</x:f>
        <x:v>2</x:v>
      </x:c>
    </x:row>
    <x:row r="22">
      <x:c r="A22" t="str">
        <x:v>ACT-017</x:v>
      </x:c>
      <x:c r="B22" t="str">
        <x:v>Procurement operational follow-up item 017</x:v>
      </x:c>
      <x:c r="C22" t="str">
        <x:v>Procurement</x:v>
      </x:c>
      <x:c r="D22" t="str">
        <x:v>Site Administrator</x:v>
      </x:c>
      <x:c r="E22" t="str">
        <x:v>Medium</x:v>
      </x:c>
      <x:c r="F22" t="str">
        <x:v>In Progress</x:v>
      </x:c>
      <x:c r="G22" s="30" t="n">
        <x:v>46151</x:v>
      </x:c>
      <x:c r="H22" s="30" t="n">
        <x:v>46171</x:v>
      </x:c>
      <x:c r="I22" s="30"/>
      <x:c r="J22" s="32" t="n">
        <x:v>0.25</x:v>
      </x:c>
      <x:c r="K22" t="str">
        <x:v>Management review</x:v>
      </x:c>
      <x:c r="L22" s="34" t="n">
        <x:f>IF(OR(F22="Completed",H22=""),0,MAX(0,'Executive Dashboard'!$B$4-H22))</x:f>
        <x:v>59</x:v>
      </x:c>
    </x:row>
    <x:row r="23">
      <x:c r="A23" t="str">
        <x:v>ACT-018</x:v>
      </x:c>
      <x:c r="B23" t="str">
        <x:v>Executive Office operational follow-up item 018</x:v>
      </x:c>
      <x:c r="C23" t="str">
        <x:v>Executive Office</x:v>
      </x:c>
      <x:c r="D23" t="str">
        <x:v>Site Administrator</x:v>
      </x:c>
      <x:c r="E23" t="str">
        <x:v>Medium</x:v>
      </x:c>
      <x:c r="F23" t="str">
        <x:v>In Progress</x:v>
      </x:c>
      <x:c r="G23" s="30" t="n">
        <x:v>46223</x:v>
      </x:c>
      <x:c r="H23" s="30" t="n">
        <x:v>46249</x:v>
      </x:c>
      <x:c r="I23" s="30"/>
      <x:c r="J23" s="32" t="n">
        <x:v>0.85</x:v>
      </x:c>
      <x:c r="K23" t="str">
        <x:v>Internal coordination</x:v>
      </x:c>
      <x:c r="L23" s="34" t="n">
        <x:f>IF(OR(F23="Completed",H23=""),0,MAX(0,'Executive Dashboard'!$B$4-H23))</x:f>
        <x:v>0</x:v>
      </x:c>
    </x:row>
    <x:row r="24">
      <x:c r="A24" t="str">
        <x:v>ACT-019</x:v>
      </x:c>
      <x:c r="B24" t="str">
        <x:v>Human Resources operational follow-up item 019</x:v>
      </x:c>
      <x:c r="C24" t="str">
        <x:v>Human Resources</x:v>
      </x:c>
      <x:c r="D24" t="str">
        <x:v>Document Controller</x:v>
      </x:c>
      <x:c r="E24" t="str">
        <x:v>Medium</x:v>
      </x:c>
      <x:c r="F24" t="str">
        <x:v>Completed</x:v>
      </x:c>
      <x:c r="G24" s="30" t="n">
        <x:v>46202</x:v>
      </x:c>
      <x:c r="H24" s="30" t="n">
        <x:v>46231</x:v>
      </x:c>
      <x:c r="I24" s="30" t="n">
        <x:v>46225</x:v>
      </x:c>
      <x:c r="J24" s="32" t="n">
        <x:v>1</x:v>
      </x:c>
      <x:c r="K24" t="str">
        <x:v>Vendor follow-up</x:v>
      </x:c>
      <x:c r="L24" s="34" t="n">
        <x:f>IF(OR(F24="Completed",H24=""),0,MAX(0,'Executive Dashboard'!$B$4-H24))</x:f>
        <x:v>0</x:v>
      </x:c>
    </x:row>
    <x:row r="25">
      <x:c r="A25" t="str">
        <x:v>ACT-020</x:v>
      </x:c>
      <x:c r="B25" t="str">
        <x:v>Executive Office operational follow-up item 020</x:v>
      </x:c>
      <x:c r="C25" t="str">
        <x:v>Executive Office</x:v>
      </x:c>
      <x:c r="D25" t="str">
        <x:v>Admin Manager</x:v>
      </x:c>
      <x:c r="E25" t="str">
        <x:v>Critical</x:v>
      </x:c>
      <x:c r="F25" t="str">
        <x:v>In Progress</x:v>
      </x:c>
      <x:c r="G25" s="30" t="n">
        <x:v>46170</x:v>
      </x:c>
      <x:c r="H25" s="30" t="n">
        <x:v>46190</x:v>
      </x:c>
      <x:c r="I25" s="30"/>
      <x:c r="J25" s="32" t="n">
        <x:v>0.85</x:v>
      </x:c>
      <x:c r="K25" t="str">
        <x:v>Internal coordination</x:v>
      </x:c>
      <x:c r="L25" s="34" t="n">
        <x:f>IF(OR(F25="Completed",H25=""),0,MAX(0,'Executive Dashboard'!$B$4-H25))</x:f>
        <x:v>40</x:v>
      </x:c>
    </x:row>
    <x:row r="26">
      <x:c r="A26" t="str">
        <x:v>ACT-021</x:v>
      </x:c>
      <x:c r="B26" t="str">
        <x:v>Logistics operational follow-up item 021</x:v>
      </x:c>
      <x:c r="C26" t="str">
        <x:v>Logistics</x:v>
      </x:c>
      <x:c r="D26" t="str">
        <x:v>Project Manager</x:v>
      </x:c>
      <x:c r="E26" t="str">
        <x:v>Medium</x:v>
      </x:c>
      <x:c r="F26" t="str">
        <x:v>Completed</x:v>
      </x:c>
      <x:c r="G26" s="30" t="n">
        <x:v>46189</x:v>
      </x:c>
      <x:c r="H26" s="30" t="n">
        <x:v>46222</x:v>
      </x:c>
      <x:c r="I26" s="30" t="n">
        <x:v>46215</x:v>
      </x:c>
      <x:c r="J26" s="32" t="n">
        <x:v>1</x:v>
      </x:c>
      <x:c r="K26" t="str">
        <x:v>Management review</x:v>
      </x:c>
      <x:c r="L26" s="34" t="n">
        <x:f>IF(OR(F26="Completed",H26=""),0,MAX(0,'Executive Dashboard'!$B$4-H26))</x:f>
        <x:v>0</x:v>
      </x:c>
    </x:row>
    <x:row r="27">
      <x:c r="A27" t="str">
        <x:v>ACT-022</x:v>
      </x:c>
      <x:c r="B27" t="str">
        <x:v>Procurement operational follow-up item 022</x:v>
      </x:c>
      <x:c r="C27" t="str">
        <x:v>Procurement</x:v>
      </x:c>
      <x:c r="D27" t="str">
        <x:v>Site Administrator</x:v>
      </x:c>
      <x:c r="E27" t="str">
        <x:v>Medium</x:v>
      </x:c>
      <x:c r="F27" t="str">
        <x:v>Completed</x:v>
      </x:c>
      <x:c r="G27" s="30" t="n">
        <x:v>46167</x:v>
      </x:c>
      <x:c r="H27" s="30" t="n">
        <x:v>46198</x:v>
      </x:c>
      <x:c r="I27" s="30" t="n">
        <x:v>46203</x:v>
      </x:c>
      <x:c r="J27" s="32" t="n">
        <x:v>1</x:v>
      </x:c>
      <x:c r="K27" t="str">
        <x:v>Vendor follow-up</x:v>
      </x:c>
      <x:c r="L27" s="34" t="n">
        <x:f>IF(OR(F27="Completed",H27=""),0,MAX(0,'Executive Dashboard'!$B$4-H27))</x:f>
        <x:v>0</x:v>
      </x:c>
    </x:row>
    <x:row r="28">
      <x:c r="A28" t="str">
        <x:v>ACT-023</x:v>
      </x:c>
      <x:c r="B28" t="str">
        <x:v>Fleet &amp; Transportation operational follow-up item 023</x:v>
      </x:c>
      <x:c r="C28" t="str">
        <x:v>Fleet &amp; Transportation</x:v>
      </x:c>
      <x:c r="D28" t="str">
        <x:v>Executive Office</x:v>
      </x:c>
      <x:c r="E28" t="str">
        <x:v>Critical</x:v>
      </x:c>
      <x:c r="F28" t="str">
        <x:v>Completed</x:v>
      </x:c>
      <x:c r="G28" s="30" t="n">
        <x:v>46143</x:v>
      </x:c>
      <x:c r="H28" s="30" t="n">
        <x:v>46169</x:v>
      </x:c>
      <x:c r="I28" s="30" t="n">
        <x:v>46179</x:v>
      </x:c>
      <x:c r="J28" s="32" t="n">
        <x:v>1</x:v>
      </x:c>
      <x:c r="K28" t="str">
        <x:v>Site action</x:v>
      </x:c>
      <x:c r="L28" s="34" t="n">
        <x:f>IF(OR(F28="Completed",H28=""),0,MAX(0,'Executive Dashboard'!$B$4-H28))</x:f>
        <x:v>0</x:v>
      </x:c>
    </x:row>
    <x:row r="29">
      <x:c r="A29" t="str">
        <x:v>ACT-024</x:v>
      </x:c>
      <x:c r="B29" t="str">
        <x:v>Project Administration operational follow-up item 024</x:v>
      </x:c>
      <x:c r="C29" t="str">
        <x:v>Project Administration</x:v>
      </x:c>
      <x:c r="D29" t="str">
        <x:v>Admin Manager</x:v>
      </x:c>
      <x:c r="E29" t="str">
        <x:v>Medium</x:v>
      </x:c>
      <x:c r="F29" t="str">
        <x:v>Completed</x:v>
      </x:c>
      <x:c r="G29" s="30" t="n">
        <x:v>46154</x:v>
      </x:c>
      <x:c r="H29" s="30" t="n">
        <x:v>46188</x:v>
      </x:c>
      <x:c r="I29" s="30" t="n">
        <x:v>46196</x:v>
      </x:c>
      <x:c r="J29" s="32" t="n">
        <x:v>1</x:v>
      </x:c>
      <x:c r="K29" t="str">
        <x:v>Vendor follow-up</x:v>
      </x:c>
      <x:c r="L29" s="34" t="n">
        <x:f>IF(OR(F29="Completed",H29=""),0,MAX(0,'Executive Dashboard'!$B$4-H29))</x:f>
        <x:v>0</x:v>
      </x:c>
    </x:row>
    <x:row r="30">
      <x:c r="A30" t="str">
        <x:v>ACT-025</x:v>
      </x:c>
      <x:c r="B30" t="str">
        <x:v>Fleet &amp; Transportation operational follow-up item 025</x:v>
      </x:c>
      <x:c r="C30" t="str">
        <x:v>Fleet &amp; Transportation</x:v>
      </x:c>
      <x:c r="D30" t="str">
        <x:v>Finance Lead</x:v>
      </x:c>
      <x:c r="E30" t="str">
        <x:v>High</x:v>
      </x:c>
      <x:c r="F30" t="str">
        <x:v>Open</x:v>
      </x:c>
      <x:c r="G30" s="30" t="n">
        <x:v>46175</x:v>
      </x:c>
      <x:c r="H30" s="30" t="n">
        <x:v>46191</x:v>
      </x:c>
      <x:c r="I30" s="30"/>
      <x:c r="J30" s="32" t="n">
        <x:v>0</x:v>
      </x:c>
      <x:c r="K30" t="str">
        <x:v>Commercial follow-up</x:v>
      </x:c>
      <x:c r="L30" s="34" t="n">
        <x:f>IF(OR(F30="Completed",H30=""),0,MAX(0,'Executive Dashboard'!$B$4-H30))</x:f>
        <x:v>39</x:v>
      </x:c>
    </x:row>
    <x:row r="31">
      <x:c r="A31" t="str">
        <x:v>ACT-026</x:v>
      </x:c>
      <x:c r="B31" t="str">
        <x:v>Document Control operational follow-up item 026</x:v>
      </x:c>
      <x:c r="C31" t="str">
        <x:v>Document Control</x:v>
      </x:c>
      <x:c r="D31" t="str">
        <x:v>HR Manager</x:v>
      </x:c>
      <x:c r="E31" t="str">
        <x:v>Medium</x:v>
      </x:c>
      <x:c r="F31" t="str">
        <x:v>Completed</x:v>
      </x:c>
      <x:c r="G31" s="30" t="n">
        <x:v>46193</x:v>
      </x:c>
      <x:c r="H31" s="30" t="n">
        <x:v>46209</x:v>
      </x:c>
      <x:c r="I31" s="30" t="n">
        <x:v>46217</x:v>
      </x:c>
      <x:c r="J31" s="32" t="n">
        <x:v>1</x:v>
      </x:c>
      <x:c r="K31" t="str">
        <x:v>Site action</x:v>
      </x:c>
      <x:c r="L31" s="34" t="n">
        <x:f>IF(OR(F31="Completed",H31=""),0,MAX(0,'Executive Dashboard'!$B$4-H31))</x:f>
        <x:v>0</x:v>
      </x:c>
    </x:row>
    <x:row r="32">
      <x:c r="A32" t="str">
        <x:v>ACT-027</x:v>
      </x:c>
      <x:c r="B32" t="str">
        <x:v>Warehouse operational follow-up item 027</x:v>
      </x:c>
      <x:c r="C32" t="str">
        <x:v>Warehouse</x:v>
      </x:c>
      <x:c r="D32" t="str">
        <x:v>HR Manager</x:v>
      </x:c>
      <x:c r="E32" t="str">
        <x:v>Medium</x:v>
      </x:c>
      <x:c r="F32" t="str">
        <x:v>Open</x:v>
      </x:c>
      <x:c r="G32" s="30" t="n">
        <x:v>46145</x:v>
      </x:c>
      <x:c r="H32" s="30" t="n">
        <x:v>46155</x:v>
      </x:c>
      <x:c r="I32" s="30"/>
      <x:c r="J32" s="32" t="n">
        <x:v>0.1</x:v>
      </x:c>
      <x:c r="K32" t="str">
        <x:v>Management review</x:v>
      </x:c>
      <x:c r="L32" s="34" t="n">
        <x:f>IF(OR(F32="Completed",H32=""),0,MAX(0,'Executive Dashboard'!$B$4-H32))</x:f>
        <x:v>75</x:v>
      </x:c>
    </x:row>
    <x:row r="33">
      <x:c r="A33" t="str">
        <x:v>ACT-028</x:v>
      </x:c>
      <x:c r="B33" t="str">
        <x:v>Procurement operational follow-up item 028</x:v>
      </x:c>
      <x:c r="C33" t="str">
        <x:v>Procurement</x:v>
      </x:c>
      <x:c r="D33" t="str">
        <x:v>HR Manager</x:v>
      </x:c>
      <x:c r="E33" t="str">
        <x:v>Medium</x:v>
      </x:c>
      <x:c r="F33" t="str">
        <x:v>Completed</x:v>
      </x:c>
      <x:c r="G33" s="30" t="n">
        <x:v>46151</x:v>
      </x:c>
      <x:c r="H33" s="30" t="n">
        <x:v>46172</x:v>
      </x:c>
      <x:c r="I33" s="30" t="n">
        <x:v>46170</x:v>
      </x:c>
      <x:c r="J33" s="32" t="n">
        <x:v>1</x:v>
      </x:c>
      <x:c r="K33" t="str">
        <x:v>Vendor follow-up</x:v>
      </x:c>
      <x:c r="L33" s="34" t="n">
        <x:f>IF(OR(F33="Completed",H33=""),0,MAX(0,'Executive Dashboard'!$B$4-H33))</x:f>
        <x:v>0</x:v>
      </x:c>
    </x:row>
    <x:row r="34">
      <x:c r="A34" t="str">
        <x:v>ACT-029</x:v>
      </x:c>
      <x:c r="B34" t="str">
        <x:v>Executive Office operational follow-up item 029</x:v>
      </x:c>
      <x:c r="C34" t="str">
        <x:v>Executive Office</x:v>
      </x:c>
      <x:c r="D34" t="str">
        <x:v>Site Administrator</x:v>
      </x:c>
      <x:c r="E34" t="str">
        <x:v>Medium</x:v>
      </x:c>
      <x:c r="F34" t="str">
        <x:v>In Progress</x:v>
      </x:c>
      <x:c r="G34" s="30" t="n">
        <x:v>46156</x:v>
      </x:c>
      <x:c r="H34" s="30" t="n">
        <x:v>46186</x:v>
      </x:c>
      <x:c r="I34" s="30"/>
      <x:c r="J34" s="32" t="n">
        <x:v>0.85</x:v>
      </x:c>
      <x:c r="K34" t="str">
        <x:v>Site action</x:v>
      </x:c>
      <x:c r="L34" s="34" t="n">
        <x:f>IF(OR(F34="Completed",H34=""),0,MAX(0,'Executive Dashboard'!$B$4-H34))</x:f>
        <x:v>44</x:v>
      </x:c>
    </x:row>
    <x:row r="35">
      <x:c r="A35" t="str">
        <x:v>ACT-030</x:v>
      </x:c>
      <x:c r="B35" t="str">
        <x:v>Procurement operational follow-up item 030</x:v>
      </x:c>
      <x:c r="C35" t="str">
        <x:v>Procurement</x:v>
      </x:c>
      <x:c r="D35" t="str">
        <x:v>Procurement Lead</x:v>
      </x:c>
      <x:c r="E35" t="str">
        <x:v>Medium</x:v>
      </x:c>
      <x:c r="F35" t="str">
        <x:v>In Progress</x:v>
      </x:c>
      <x:c r="G35" s="30" t="n">
        <x:v>46164</x:v>
      </x:c>
      <x:c r="H35" s="30" t="n">
        <x:v>46182</x:v>
      </x:c>
      <x:c r="I35" s="30"/>
      <x:c r="J35" s="32" t="n">
        <x:v>0.25</x:v>
      </x:c>
      <x:c r="K35" t="str">
        <x:v>Vendor follow-up</x:v>
      </x:c>
      <x:c r="L35" s="34" t="n">
        <x:f>IF(OR(F35="Completed",H35=""),0,MAX(0,'Executive Dashboard'!$B$4-H35))</x:f>
        <x:v>48</x:v>
      </x:c>
    </x:row>
    <x:row r="36">
      <x:c r="A36" t="str">
        <x:v>ACT-031</x:v>
      </x:c>
      <x:c r="B36" t="str">
        <x:v>Document Control operational follow-up item 031</x:v>
      </x:c>
      <x:c r="C36" t="str">
        <x:v>Document Control</x:v>
      </x:c>
      <x:c r="D36" t="str">
        <x:v>Fleet Supervisor</x:v>
      </x:c>
      <x:c r="E36" t="str">
        <x:v>Medium</x:v>
      </x:c>
      <x:c r="F36" t="str">
        <x:v>In Progress</x:v>
      </x:c>
      <x:c r="G36" s="30" t="n">
        <x:v>46220</x:v>
      </x:c>
      <x:c r="H36" s="30" t="n">
        <x:v>46250</x:v>
      </x:c>
      <x:c r="I36" s="30"/>
      <x:c r="J36" s="32" t="n">
        <x:v>0.25</x:v>
      </x:c>
      <x:c r="K36" t="str">
        <x:v>Management review</x:v>
      </x:c>
      <x:c r="L36" s="34" t="n">
        <x:f>IF(OR(F36="Completed",H36=""),0,MAX(0,'Executive Dashboard'!$B$4-H36))</x:f>
        <x:v>0</x:v>
      </x:c>
    </x:row>
    <x:row r="37">
      <x:c r="A37" t="str">
        <x:v>ACT-032</x:v>
      </x:c>
      <x:c r="B37" t="str">
        <x:v>Human Resources operational follow-up item 032</x:v>
      </x:c>
      <x:c r="C37" t="str">
        <x:v>Human Resources</x:v>
      </x:c>
      <x:c r="D37" t="str">
        <x:v>HR Manager</x:v>
      </x:c>
      <x:c r="E37" t="str">
        <x:v>Low</x:v>
      </x:c>
      <x:c r="F37" t="str">
        <x:v>Open</x:v>
      </x:c>
      <x:c r="G37" s="30" t="n">
        <x:v>46146</x:v>
      </x:c>
      <x:c r="H37" s="30" t="n">
        <x:v>46155</x:v>
      </x:c>
      <x:c r="I37" s="30"/>
      <x:c r="J37" s="32" t="n">
        <x:v>0.1</x:v>
      </x:c>
      <x:c r="K37" t="str">
        <x:v>Internal coordination</x:v>
      </x:c>
      <x:c r="L37" s="34" t="n">
        <x:f>IF(OR(F37="Completed",H37=""),0,MAX(0,'Executive Dashboard'!$B$4-H37))</x:f>
        <x:v>75</x:v>
      </x:c>
    </x:row>
    <x:row r="38">
      <x:c r="A38" t="str">
        <x:v>ACT-033</x:v>
      </x:c>
      <x:c r="B38" t="str">
        <x:v>Warehouse operational follow-up item 033</x:v>
      </x:c>
      <x:c r="C38" t="str">
        <x:v>Warehouse</x:v>
      </x:c>
      <x:c r="D38" t="str">
        <x:v>Project Manager</x:v>
      </x:c>
      <x:c r="E38" t="str">
        <x:v>Medium</x:v>
      </x:c>
      <x:c r="F38" t="str">
        <x:v>In Progress</x:v>
      </x:c>
      <x:c r="G38" s="30" t="n">
        <x:v>46215</x:v>
      </x:c>
      <x:c r="H38" s="30" t="n">
        <x:v>46239</x:v>
      </x:c>
      <x:c r="I38" s="30"/>
      <x:c r="J38" s="32" t="n">
        <x:v>0.25</x:v>
      </x:c>
      <x:c r="K38" t="str">
        <x:v>Site action</x:v>
      </x:c>
      <x:c r="L38" s="34" t="n">
        <x:f>IF(OR(F38="Completed",H38=""),0,MAX(0,'Executive Dashboard'!$B$4-H38))</x:f>
        <x:v>0</x:v>
      </x:c>
    </x:row>
    <x:row r="39">
      <x:c r="A39" t="str">
        <x:v>ACT-034</x:v>
      </x:c>
      <x:c r="B39" t="str">
        <x:v>Warehouse operational follow-up item 034</x:v>
      </x:c>
      <x:c r="C39" t="str">
        <x:v>Warehouse</x:v>
      </x:c>
      <x:c r="D39" t="str">
        <x:v>Finance Lead</x:v>
      </x:c>
      <x:c r="E39" t="str">
        <x:v>Medium</x:v>
      </x:c>
      <x:c r="F39" t="str">
        <x:v>Completed</x:v>
      </x:c>
      <x:c r="G39" s="30" t="n">
        <x:v>46180</x:v>
      </x:c>
      <x:c r="H39" s="30" t="n">
        <x:v>46203</x:v>
      </x:c>
      <x:c r="I39" s="30" t="n">
        <x:v>46196</x:v>
      </x:c>
      <x:c r="J39" s="32" t="n">
        <x:v>1</x:v>
      </x:c>
      <x:c r="K39" t="str">
        <x:v>Commercial follow-up</x:v>
      </x:c>
      <x:c r="L39" s="34" t="n">
        <x:f>IF(OR(F39="Completed",H39=""),0,MAX(0,'Executive Dashboard'!$B$4-H39))</x:f>
        <x:v>0</x:v>
      </x:c>
    </x:row>
    <x:row r="40">
      <x:c r="A40" t="str">
        <x:v>ACT-035</x:v>
      </x:c>
      <x:c r="B40" t="str">
        <x:v>Procurement operational follow-up item 035</x:v>
      </x:c>
      <x:c r="C40" t="str">
        <x:v>Procurement</x:v>
      </x:c>
      <x:c r="D40" t="str">
        <x:v>Admin Manager</x:v>
      </x:c>
      <x:c r="E40" t="str">
        <x:v>High</x:v>
      </x:c>
      <x:c r="F40" t="str">
        <x:v>Completed</x:v>
      </x:c>
      <x:c r="G40" s="30" t="n">
        <x:v>46179</x:v>
      </x:c>
      <x:c r="H40" s="30" t="n">
        <x:v>46191</x:v>
      </x:c>
      <x:c r="I40" s="30" t="n">
        <x:v>46189</x:v>
      </x:c>
      <x:c r="J40" s="32" t="n">
        <x:v>1</x:v>
      </x:c>
      <x:c r="K40" t="str">
        <x:v>Site action</x:v>
      </x:c>
      <x:c r="L40" s="34" t="n">
        <x:f>IF(OR(F40="Completed",H40=""),0,MAX(0,'Executive Dashboard'!$B$4-H40))</x:f>
        <x:v>0</x:v>
      </x:c>
    </x:row>
    <x:row r="41">
      <x:c r="A41" t="str">
        <x:v>ACT-036</x:v>
      </x:c>
      <x:c r="B41" t="str">
        <x:v>Document Control operational follow-up item 036</x:v>
      </x:c>
      <x:c r="C41" t="str">
        <x:v>Document Control</x:v>
      </x:c>
      <x:c r="D41" t="str">
        <x:v>Project Manager</x:v>
      </x:c>
      <x:c r="E41" t="str">
        <x:v>Medium</x:v>
      </x:c>
      <x:c r="F41" t="str">
        <x:v>On Hold</x:v>
      </x:c>
      <x:c r="G41" s="30" t="n">
        <x:v>46175</x:v>
      </x:c>
      <x:c r="H41" s="30" t="n">
        <x:v>46210</x:v>
      </x:c>
      <x:c r="I41" s="30"/>
      <x:c r="J41" s="32" t="n">
        <x:v>0.3</x:v>
      </x:c>
      <x:c r="K41" t="str">
        <x:v>Internal coordination</x:v>
      </x:c>
      <x:c r="L41" s="34" t="n">
        <x:f>IF(OR(F41="Completed",H41=""),0,MAX(0,'Executive Dashboard'!$B$4-H41))</x:f>
        <x:v>20</x:v>
      </x:c>
    </x:row>
    <x:row r="42">
      <x:c r="A42" t="str">
        <x:v>ACT-037</x:v>
      </x:c>
      <x:c r="B42" t="str">
        <x:v>Construction operational follow-up item 037</x:v>
      </x:c>
      <x:c r="C42" t="str">
        <x:v>Construction</x:v>
      </x:c>
      <x:c r="D42" t="str">
        <x:v>Logistics Manager</x:v>
      </x:c>
      <x:c r="E42" t="str">
        <x:v>High</x:v>
      </x:c>
      <x:c r="F42" t="str">
        <x:v>Open</x:v>
      </x:c>
      <x:c r="G42" s="30" t="n">
        <x:v>46223</x:v>
      </x:c>
      <x:c r="H42" s="30" t="n">
        <x:v>46249</x:v>
      </x:c>
      <x:c r="I42" s="30"/>
      <x:c r="J42" s="32" t="n">
        <x:v>0.3</x:v>
      </x:c>
      <x:c r="K42" t="str">
        <x:v>Site action</x:v>
      </x:c>
      <x:c r="L42" s="34" t="n">
        <x:f>IF(OR(F42="Completed",H42=""),0,MAX(0,'Executive Dashboard'!$B$4-H42))</x:f>
        <x:v>0</x:v>
      </x:c>
    </x:row>
    <x:row r="43">
      <x:c r="A43" t="str">
        <x:v>ACT-038</x:v>
      </x:c>
      <x:c r="B43" t="str">
        <x:v>Fleet &amp; Transportation operational follow-up item 038</x:v>
      </x:c>
      <x:c r="C43" t="str">
        <x:v>Fleet &amp; Transportation</x:v>
      </x:c>
      <x:c r="D43" t="str">
        <x:v>Project Manager</x:v>
      </x:c>
      <x:c r="E43" t="str">
        <x:v>Critical</x:v>
      </x:c>
      <x:c r="F43" t="str">
        <x:v>Completed</x:v>
      </x:c>
      <x:c r="G43" s="30" t="n">
        <x:v>46177</x:v>
      </x:c>
      <x:c r="H43" s="30" t="n">
        <x:v>46212</x:v>
      </x:c>
      <x:c r="I43" s="30" t="n">
        <x:v>46217</x:v>
      </x:c>
      <x:c r="J43" s="32" t="n">
        <x:v>1</x:v>
      </x:c>
      <x:c r="K43" t="str">
        <x:v>Internal coordination</x:v>
      </x:c>
      <x:c r="L43" s="34" t="n">
        <x:f>IF(OR(F43="Completed",H43=""),0,MAX(0,'Executive Dashboard'!$B$4-H43))</x:f>
        <x:v>0</x:v>
      </x:c>
    </x:row>
    <x:row r="44">
      <x:c r="A44" t="str">
        <x:v>ACT-039</x:v>
      </x:c>
      <x:c r="B44" t="str">
        <x:v>Human Resources operational follow-up item 039</x:v>
      </x:c>
      <x:c r="C44" t="str">
        <x:v>Human Resources</x:v>
      </x:c>
      <x:c r="D44" t="str">
        <x:v>Executive Office</x:v>
      </x:c>
      <x:c r="E44" t="str">
        <x:v>Low</x:v>
      </x:c>
      <x:c r="F44" t="str">
        <x:v>Completed</x:v>
      </x:c>
      <x:c r="G44" s="30" t="n">
        <x:v>46208</x:v>
      </x:c>
      <x:c r="H44" s="30" t="n">
        <x:v>46230</x:v>
      </x:c>
      <x:c r="I44" s="30" t="n">
        <x:v>46230</x:v>
      </x:c>
      <x:c r="J44" s="32" t="n">
        <x:v>1</x:v>
      </x:c>
      <x:c r="K44" t="str">
        <x:v>Site action</x:v>
      </x:c>
      <x:c r="L44" s="34" t="n">
        <x:f>IF(OR(F44="Completed",H44=""),0,MAX(0,'Executive Dashboard'!$B$4-H44))</x:f>
        <x:v>0</x:v>
      </x:c>
    </x:row>
    <x:row r="45">
      <x:c r="A45" t="str">
        <x:v>ACT-040</x:v>
      </x:c>
      <x:c r="B45" t="str">
        <x:v>Document Control operational follow-up item 040</x:v>
      </x:c>
      <x:c r="C45" t="str">
        <x:v>Document Control</x:v>
      </x:c>
      <x:c r="D45" t="str">
        <x:v>Logistics Manager</x:v>
      </x:c>
      <x:c r="E45" t="str">
        <x:v>Critical</x:v>
      </x:c>
      <x:c r="F45" t="str">
        <x:v>Open</x:v>
      </x:c>
      <x:c r="G45" s="30" t="n">
        <x:v>46156</x:v>
      </x:c>
      <x:c r="H45" s="30" t="n">
        <x:v>46177</x:v>
      </x:c>
      <x:c r="I45" s="30"/>
      <x:c r="J45" s="32" t="n">
        <x:v>0.3</x:v>
      </x:c>
      <x:c r="K45" t="str">
        <x:v>Management review</x:v>
      </x:c>
      <x:c r="L45" s="34" t="n">
        <x:f>IF(OR(F45="Completed",H45=""),0,MAX(0,'Executive Dashboard'!$B$4-H45))</x:f>
        <x:v>53</x:v>
      </x:c>
    </x:row>
    <x:row r="46">
      <x:c r="A46" t="str">
        <x:v>ACT-041</x:v>
      </x:c>
      <x:c r="B46" t="str">
        <x:v>Fleet &amp; Transportation operational follow-up item 041</x:v>
      </x:c>
      <x:c r="C46" t="str">
        <x:v>Fleet &amp; Transportation</x:v>
      </x:c>
      <x:c r="D46" t="str">
        <x:v>Document Controller</x:v>
      </x:c>
      <x:c r="E46" t="str">
        <x:v>Medium</x:v>
      </x:c>
      <x:c r="F46" t="str">
        <x:v>Open</x:v>
      </x:c>
      <x:c r="G46" s="30" t="n">
        <x:v>46171</x:v>
      </x:c>
      <x:c r="H46" s="30" t="n">
        <x:v>46193</x:v>
      </x:c>
      <x:c r="I46" s="30"/>
      <x:c r="J46" s="32" t="n">
        <x:v>0.1</x:v>
      </x:c>
      <x:c r="K46" t="str">
        <x:v>Internal coordination</x:v>
      </x:c>
      <x:c r="L46" s="34" t="n">
        <x:f>IF(OR(F46="Completed",H46=""),0,MAX(0,'Executive Dashboard'!$B$4-H46))</x:f>
        <x:v>37</x:v>
      </x:c>
    </x:row>
    <x:row r="47">
      <x:c r="A47" t="str">
        <x:v>ACT-042</x:v>
      </x:c>
      <x:c r="B47" t="str">
        <x:v>Human Resources operational follow-up item 042</x:v>
      </x:c>
      <x:c r="C47" t="str">
        <x:v>Human Resources</x:v>
      </x:c>
      <x:c r="D47" t="str">
        <x:v>Finance Lead</x:v>
      </x:c>
      <x:c r="E47" t="str">
        <x:v>Medium</x:v>
      </x:c>
      <x:c r="F47" t="str">
        <x:v>In Progress</x:v>
      </x:c>
      <x:c r="G47" s="30" t="n">
        <x:v>46181</x:v>
      </x:c>
      <x:c r="H47" s="30" t="n">
        <x:v>46192</x:v>
      </x:c>
      <x:c r="I47" s="30"/>
      <x:c r="J47" s="32" t="n">
        <x:v>0.85</x:v>
      </x:c>
      <x:c r="K47" t="str">
        <x:v>Internal coordination</x:v>
      </x:c>
      <x:c r="L47" s="34" t="n">
        <x:f>IF(OR(F47="Completed",H47=""),0,MAX(0,'Executive Dashboard'!$B$4-H47))</x:f>
        <x:v>38</x:v>
      </x:c>
    </x:row>
    <x:row r="48">
      <x:c r="A48" t="str">
        <x:v>ACT-043</x:v>
      </x:c>
      <x:c r="B48" t="str">
        <x:v>Document Control operational follow-up item 043</x:v>
      </x:c>
      <x:c r="C48" t="str">
        <x:v>Document Control</x:v>
      </x:c>
      <x:c r="D48" t="str">
        <x:v>HR Manager</x:v>
      </x:c>
      <x:c r="E48" t="str">
        <x:v>High</x:v>
      </x:c>
      <x:c r="F48" t="str">
        <x:v>In Progress</x:v>
      </x:c>
      <x:c r="G48" s="30" t="n">
        <x:v>46183</x:v>
      </x:c>
      <x:c r="H48" s="30" t="n">
        <x:v>46188</x:v>
      </x:c>
      <x:c r="I48" s="30"/>
      <x:c r="J48" s="32" t="n">
        <x:v>0.85</x:v>
      </x:c>
      <x:c r="K48" t="str">
        <x:v>Site action</x:v>
      </x:c>
      <x:c r="L48" s="34" t="n">
        <x:f>IF(OR(F48="Completed",H48=""),0,MAX(0,'Executive Dashboard'!$B$4-H48))</x:f>
        <x:v>42</x:v>
      </x:c>
    </x:row>
    <x:row r="49">
      <x:c r="A49" t="str">
        <x:v>ACT-044</x:v>
      </x:c>
      <x:c r="B49" t="str">
        <x:v>Executive Office operational follow-up item 044</x:v>
      </x:c>
      <x:c r="C49" t="str">
        <x:v>Executive Office</x:v>
      </x:c>
      <x:c r="D49" t="str">
        <x:v>Finance Lead</x:v>
      </x:c>
      <x:c r="E49" t="str">
        <x:v>Medium</x:v>
      </x:c>
      <x:c r="F49" t="str">
        <x:v>Completed</x:v>
      </x:c>
      <x:c r="G49" s="30" t="n">
        <x:v>46182</x:v>
      </x:c>
      <x:c r="H49" s="30" t="n">
        <x:v>46198</x:v>
      </x:c>
      <x:c r="I49" s="30" t="n">
        <x:v>46206</x:v>
      </x:c>
      <x:c r="J49" s="32" t="n">
        <x:v>1</x:v>
      </x:c>
      <x:c r="K49" t="str">
        <x:v>Commercial follow-up</x:v>
      </x:c>
      <x:c r="L49" s="34" t="n">
        <x:f>IF(OR(F49="Completed",H49=""),0,MAX(0,'Executive Dashboard'!$B$4-H49))</x:f>
        <x:v>0</x:v>
      </x:c>
    </x:row>
    <x:row r="50">
      <x:c r="A50" t="str">
        <x:v>ACT-045</x:v>
      </x:c>
      <x:c r="B50" t="str">
        <x:v>Executive Office operational follow-up item 045</x:v>
      </x:c>
      <x:c r="C50" t="str">
        <x:v>Executive Office</x:v>
      </x:c>
      <x:c r="D50" t="str">
        <x:v>Finance Lead</x:v>
      </x:c>
      <x:c r="E50" t="str">
        <x:v>High</x:v>
      </x:c>
      <x:c r="F50" t="str">
        <x:v>Open</x:v>
      </x:c>
      <x:c r="G50" s="30" t="n">
        <x:v>46175</x:v>
      </x:c>
      <x:c r="H50" s="30" t="n">
        <x:v>46179</x:v>
      </x:c>
      <x:c r="I50" s="30"/>
      <x:c r="J50" s="32" t="n">
        <x:v>0.2</x:v>
      </x:c>
      <x:c r="K50" t="str">
        <x:v>Vendor follow-up</x:v>
      </x:c>
      <x:c r="L50" s="34" t="n">
        <x:f>IF(OR(F50="Completed",H50=""),0,MAX(0,'Executive Dashboard'!$B$4-H50))</x:f>
        <x:v>51</x:v>
      </x:c>
    </x:row>
    <x:row r="51">
      <x:c r="A51" t="str">
        <x:v>ACT-046</x:v>
      </x:c>
      <x:c r="B51" t="str">
        <x:v>Fleet &amp; Transportation operational follow-up item 046</x:v>
      </x:c>
      <x:c r="C51" t="str">
        <x:v>Fleet &amp; Transportation</x:v>
      </x:c>
      <x:c r="D51" t="str">
        <x:v>Site Administrator</x:v>
      </x:c>
      <x:c r="E51" t="str">
        <x:v>High</x:v>
      </x:c>
      <x:c r="F51" t="str">
        <x:v>Completed</x:v>
      </x:c>
      <x:c r="G51" s="30" t="n">
        <x:v>46172</x:v>
      </x:c>
      <x:c r="H51" s="30" t="n">
        <x:v>46196</x:v>
      </x:c>
      <x:c r="I51" s="30" t="n">
        <x:v>46203</x:v>
      </x:c>
      <x:c r="J51" s="32" t="n">
        <x:v>1</x:v>
      </x:c>
      <x:c r="K51" t="str">
        <x:v>Site action</x:v>
      </x:c>
      <x:c r="L51" s="34" t="n">
        <x:f>IF(OR(F51="Completed",H51=""),0,MAX(0,'Executive Dashboard'!$B$4-H51))</x:f>
        <x:v>0</x:v>
      </x:c>
    </x:row>
    <x:row r="52">
      <x:c r="A52" t="str">
        <x:v>ACT-047</x:v>
      </x:c>
      <x:c r="B52" t="str">
        <x:v>Human Resources operational follow-up item 047</x:v>
      </x:c>
      <x:c r="C52" t="str">
        <x:v>Human Resources</x:v>
      </x:c>
      <x:c r="D52" t="str">
        <x:v>Fleet Supervisor</x:v>
      </x:c>
      <x:c r="E52" t="str">
        <x:v>Critical</x:v>
      </x:c>
      <x:c r="F52" t="str">
        <x:v>In Progress</x:v>
      </x:c>
      <x:c r="G52" s="30" t="n">
        <x:v>46160</x:v>
      </x:c>
      <x:c r="H52" s="30" t="n">
        <x:v>46172</x:v>
      </x:c>
      <x:c r="I52" s="30"/>
      <x:c r="J52" s="32" t="n">
        <x:v>0.4</x:v>
      </x:c>
      <x:c r="K52" t="str">
        <x:v>Internal coordination</x:v>
      </x:c>
      <x:c r="L52" s="34" t="n">
        <x:f>IF(OR(F52="Completed",H52=""),0,MAX(0,'Executive Dashboard'!$B$4-H52))</x:f>
        <x:v>58</x:v>
      </x:c>
    </x:row>
    <x:row r="53">
      <x:c r="A53" t="str">
        <x:v>ACT-048</x:v>
      </x:c>
      <x:c r="B53" t="str">
        <x:v>Document Control operational follow-up item 048</x:v>
      </x:c>
      <x:c r="C53" t="str">
        <x:v>Document Control</x:v>
      </x:c>
      <x:c r="D53" t="str">
        <x:v>Fleet Supervisor</x:v>
      </x:c>
      <x:c r="E53" t="str">
        <x:v>Critical</x:v>
      </x:c>
      <x:c r="F53" t="str">
        <x:v>Open</x:v>
      </x:c>
      <x:c r="G53" s="30" t="n">
        <x:v>46209</x:v>
      </x:c>
      <x:c r="H53" s="30" t="n">
        <x:v>46229</x:v>
      </x:c>
      <x:c r="I53" s="30"/>
      <x:c r="J53" s="32" t="n">
        <x:v>0.2</x:v>
      </x:c>
      <x:c r="K53" t="str">
        <x:v>Commercial follow-up</x:v>
      </x:c>
      <x:c r="L53" s="34" t="n">
        <x:f>IF(OR(F53="Completed",H53=""),0,MAX(0,'Executive Dashboard'!$B$4-H53))</x:f>
        <x:v>1</x:v>
      </x:c>
    </x:row>
    <x:row r="54">
      <x:c r="A54" t="str">
        <x:v>ACT-049</x:v>
      </x:c>
      <x:c r="B54" t="str">
        <x:v>Fleet &amp; Transportation operational follow-up item 049</x:v>
      </x:c>
      <x:c r="C54" t="str">
        <x:v>Fleet &amp; Transportation</x:v>
      </x:c>
      <x:c r="D54" t="str">
        <x:v>Executive Office</x:v>
      </x:c>
      <x:c r="E54" t="str">
        <x:v>Medium</x:v>
      </x:c>
      <x:c r="F54" t="str">
        <x:v>In Progress</x:v>
      </x:c>
      <x:c r="G54" s="30" t="n">
        <x:v>46195</x:v>
      </x:c>
      <x:c r="H54" s="30" t="n">
        <x:v>46229</x:v>
      </x:c>
      <x:c r="I54" s="30"/>
      <x:c r="J54" s="32" t="n">
        <x:v>0.5</x:v>
      </x:c>
      <x:c r="K54" t="str">
        <x:v>Internal coordination</x:v>
      </x:c>
      <x:c r="L54" s="34" t="n">
        <x:f>IF(OR(F54="Completed",H54=""),0,MAX(0,'Executive Dashboard'!$B$4-H54))</x:f>
        <x:v>1</x:v>
      </x:c>
    </x:row>
    <x:row r="55">
      <x:c r="A55" t="str">
        <x:v>ACT-050</x:v>
      </x:c>
      <x:c r="B55" t="str">
        <x:v>Executive Office operational follow-up item 050</x:v>
      </x:c>
      <x:c r="C55" t="str">
        <x:v>Executive Office</x:v>
      </x:c>
      <x:c r="D55" t="str">
        <x:v>Admin Manager</x:v>
      </x:c>
      <x:c r="E55" t="str">
        <x:v>Medium</x:v>
      </x:c>
      <x:c r="F55" t="str">
        <x:v>In Progress</x:v>
      </x:c>
      <x:c r="G55" s="30" t="n">
        <x:v>46158</x:v>
      </x:c>
      <x:c r="H55" s="30" t="n">
        <x:v>46182</x:v>
      </x:c>
      <x:c r="I55" s="30"/>
      <x:c r="J55" s="32" t="n">
        <x:v>0.6</x:v>
      </x:c>
      <x:c r="K55" t="str">
        <x:v>Vendor follow-up</x:v>
      </x:c>
      <x:c r="L55" s="34" t="n">
        <x:f>IF(OR(F55="Completed",H55=""),0,MAX(0,'Executive Dashboard'!$B$4-H55))</x:f>
        <x:v>48</x:v>
      </x:c>
    </x:row>
    <x:row r="56">
      <x:c r="A56" t="str">
        <x:v>ACT-051</x:v>
      </x:c>
      <x:c r="B56" t="str">
        <x:v>Executive Office operational follow-up item 051</x:v>
      </x:c>
      <x:c r="C56" t="str">
        <x:v>Executive Office</x:v>
      </x:c>
      <x:c r="D56" t="str">
        <x:v>Logistics Manager</x:v>
      </x:c>
      <x:c r="E56" t="str">
        <x:v>High</x:v>
      </x:c>
      <x:c r="F56" t="str">
        <x:v>In Progress</x:v>
      </x:c>
      <x:c r="G56" s="30" t="n">
        <x:v>46210</x:v>
      </x:c>
      <x:c r="H56" s="30" t="n">
        <x:v>46224</x:v>
      </x:c>
      <x:c r="I56" s="30"/>
      <x:c r="J56" s="32" t="n">
        <x:v>0.85</x:v>
      </x:c>
      <x:c r="K56" t="str">
        <x:v>Management review</x:v>
      </x:c>
      <x:c r="L56" s="34" t="n">
        <x:f>IF(OR(F56="Completed",H56=""),0,MAX(0,'Executive Dashboard'!$B$4-H56))</x:f>
        <x:v>6</x:v>
      </x:c>
    </x:row>
    <x:row r="57">
      <x:c r="A57" t="str">
        <x:v>ACT-052</x:v>
      </x:c>
      <x:c r="B57" t="str">
        <x:v>Finance operational follow-up item 052</x:v>
      </x:c>
      <x:c r="C57" t="str">
        <x:v>Finance</x:v>
      </x:c>
      <x:c r="D57" t="str">
        <x:v>HR Manager</x:v>
      </x:c>
      <x:c r="E57" t="str">
        <x:v>Low</x:v>
      </x:c>
      <x:c r="F57" t="str">
        <x:v>Completed</x:v>
      </x:c>
      <x:c r="G57" s="30" t="n">
        <x:v>46193</x:v>
      </x:c>
      <x:c r="H57" s="30" t="n">
        <x:v>46201</x:v>
      </x:c>
      <x:c r="I57" s="30" t="n">
        <x:v>46203</x:v>
      </x:c>
      <x:c r="J57" s="32" t="n">
        <x:v>1</x:v>
      </x:c>
      <x:c r="K57" t="str">
        <x:v>Commercial follow-up</x:v>
      </x:c>
      <x:c r="L57" s="34" t="n">
        <x:f>IF(OR(F57="Completed",H57=""),0,MAX(0,'Executive Dashboard'!$B$4-H57))</x:f>
        <x:v>0</x:v>
      </x:c>
    </x:row>
    <x:row r="58">
      <x:c r="A58" t="str">
        <x:v>ACT-053</x:v>
      </x:c>
      <x:c r="B58" t="str">
        <x:v>Document Control operational follow-up item 053</x:v>
      </x:c>
      <x:c r="C58" t="str">
        <x:v>Document Control</x:v>
      </x:c>
      <x:c r="D58" t="str">
        <x:v>Fleet Supervisor</x:v>
      </x:c>
      <x:c r="E58" t="str">
        <x:v>High</x:v>
      </x:c>
      <x:c r="F58" t="str">
        <x:v>Completed</x:v>
      </x:c>
      <x:c r="G58" s="30" t="n">
        <x:v>46208</x:v>
      </x:c>
      <x:c r="H58" s="30" t="n">
        <x:v>46224</x:v>
      </x:c>
      <x:c r="I58" s="30" t="n">
        <x:v>46230</x:v>
      </x:c>
      <x:c r="J58" s="32" t="n">
        <x:v>1</x:v>
      </x:c>
      <x:c r="K58" t="str">
        <x:v>Site action</x:v>
      </x:c>
      <x:c r="L58" s="34" t="n">
        <x:f>IF(OR(F58="Completed",H58=""),0,MAX(0,'Executive Dashboard'!$B$4-H58))</x:f>
        <x:v>0</x:v>
      </x:c>
    </x:row>
    <x:row r="59">
      <x:c r="A59" t="str">
        <x:v>ACT-054</x:v>
      </x:c>
      <x:c r="B59" t="str">
        <x:v>Logistics operational follow-up item 054</x:v>
      </x:c>
      <x:c r="C59" t="str">
        <x:v>Logistics</x:v>
      </x:c>
      <x:c r="D59" t="str">
        <x:v>Site Administrator</x:v>
      </x:c>
      <x:c r="E59" t="str">
        <x:v>High</x:v>
      </x:c>
      <x:c r="F59" t="str">
        <x:v>Open</x:v>
      </x:c>
      <x:c r="G59" s="30" t="n">
        <x:v>46151</x:v>
      </x:c>
      <x:c r="H59" s="30" t="n">
        <x:v>46160</x:v>
      </x:c>
      <x:c r="I59" s="30"/>
      <x:c r="J59" s="32" t="n">
        <x:v>0.3</x:v>
      </x:c>
      <x:c r="K59" t="str">
        <x:v>Site action</x:v>
      </x:c>
      <x:c r="L59" s="34" t="n">
        <x:f>IF(OR(F59="Completed",H59=""),0,MAX(0,'Executive Dashboard'!$B$4-H59))</x:f>
        <x:v>70</x:v>
      </x:c>
    </x:row>
    <x:row r="60">
      <x:c r="A60" t="str">
        <x:v>ACT-055</x:v>
      </x:c>
      <x:c r="B60" t="str">
        <x:v>Procurement operational follow-up item 055</x:v>
      </x:c>
      <x:c r="C60" t="str">
        <x:v>Procurement</x:v>
      </x:c>
      <x:c r="D60" t="str">
        <x:v>Site Administrator</x:v>
      </x:c>
      <x:c r="E60" t="str">
        <x:v>Medium</x:v>
      </x:c>
      <x:c r="F60" t="str">
        <x:v>Completed</x:v>
      </x:c>
      <x:c r="G60" s="30" t="n">
        <x:v>46165</x:v>
      </x:c>
      <x:c r="H60" s="30" t="n">
        <x:v>46200</x:v>
      </x:c>
      <x:c r="I60" s="30" t="n">
        <x:v>46209</x:v>
      </x:c>
      <x:c r="J60" s="32" t="n">
        <x:v>1</x:v>
      </x:c>
      <x:c r="K60" t="str">
        <x:v>Vendor follow-up</x:v>
      </x:c>
      <x:c r="L60" s="34" t="n">
        <x:f>IF(OR(F60="Completed",H60=""),0,MAX(0,'Executive Dashboard'!$B$4-H60))</x:f>
        <x:v>0</x:v>
      </x:c>
    </x:row>
    <x:row r="61">
      <x:c r="A61" t="str">
        <x:v>ACT-056</x:v>
      </x:c>
      <x:c r="B61" t="str">
        <x:v>Human Resources operational follow-up item 056</x:v>
      </x:c>
      <x:c r="C61" t="str">
        <x:v>Human Resources</x:v>
      </x:c>
      <x:c r="D61" t="str">
        <x:v>Document Controller</x:v>
      </x:c>
      <x:c r="E61" t="str">
        <x:v>Medium</x:v>
      </x:c>
      <x:c r="F61" t="str">
        <x:v>Open</x:v>
      </x:c>
      <x:c r="G61" s="30" t="n">
        <x:v>46158</x:v>
      </x:c>
      <x:c r="H61" s="30" t="n">
        <x:v>46193</x:v>
      </x:c>
      <x:c r="I61" s="30"/>
      <x:c r="J61" s="32" t="n">
        <x:v>0.2</x:v>
      </x:c>
      <x:c r="K61" t="str">
        <x:v>Site action</x:v>
      </x:c>
      <x:c r="L61" s="34" t="n">
        <x:f>IF(OR(F61="Completed",H61=""),0,MAX(0,'Executive Dashboard'!$B$4-H61))</x:f>
        <x:v>37</x:v>
      </x:c>
    </x:row>
    <x:row r="62">
      <x:c r="A62" t="str">
        <x:v>ACT-057</x:v>
      </x:c>
      <x:c r="B62" t="str">
        <x:v>Fleet &amp; Transportation operational follow-up item 057</x:v>
      </x:c>
      <x:c r="C62" t="str">
        <x:v>Fleet &amp; Transportation</x:v>
      </x:c>
      <x:c r="D62" t="str">
        <x:v>Document Controller</x:v>
      </x:c>
      <x:c r="E62" t="str">
        <x:v>High</x:v>
      </x:c>
      <x:c r="F62" t="str">
        <x:v>Completed</x:v>
      </x:c>
      <x:c r="G62" s="30" t="n">
        <x:v>46154</x:v>
      </x:c>
      <x:c r="H62" s="30" t="n">
        <x:v>46188</x:v>
      </x:c>
      <x:c r="I62" s="30" t="n">
        <x:v>46193</x:v>
      </x:c>
      <x:c r="J62" s="32" t="n">
        <x:v>1</x:v>
      </x:c>
      <x:c r="K62" t="str">
        <x:v>Site action</x:v>
      </x:c>
      <x:c r="L62" s="34" t="n">
        <x:f>IF(OR(F62="Completed",H62=""),0,MAX(0,'Executive Dashboard'!$B$4-H62))</x:f>
        <x:v>0</x:v>
      </x:c>
    </x:row>
    <x:row r="63">
      <x:c r="A63" t="str">
        <x:v>ACT-058</x:v>
      </x:c>
      <x:c r="B63" t="str">
        <x:v>Document Control operational follow-up item 058</x:v>
      </x:c>
      <x:c r="C63" t="str">
        <x:v>Document Control</x:v>
      </x:c>
      <x:c r="D63" t="str">
        <x:v>Project Manager</x:v>
      </x:c>
      <x:c r="E63" t="str">
        <x:v>High</x:v>
      </x:c>
      <x:c r="F63" t="str">
        <x:v>Completed</x:v>
      </x:c>
      <x:c r="G63" s="30" t="n">
        <x:v>46143</x:v>
      </x:c>
      <x:c r="H63" s="30" t="n">
        <x:v>46177</x:v>
      </x:c>
      <x:c r="I63" s="30" t="n">
        <x:v>46182</x:v>
      </x:c>
      <x:c r="J63" s="32" t="n">
        <x:v>1</x:v>
      </x:c>
      <x:c r="K63" t="str">
        <x:v>Commercial follow-up</x:v>
      </x:c>
      <x:c r="L63" s="34" t="n">
        <x:f>IF(OR(F63="Completed",H63=""),0,MAX(0,'Executive Dashboard'!$B$4-H63))</x:f>
        <x:v>0</x:v>
      </x:c>
    </x:row>
    <x:row r="64">
      <x:c r="A64" t="str">
        <x:v>ACT-059</x:v>
      </x:c>
      <x:c r="B64" t="str">
        <x:v>Procurement operational follow-up item 059</x:v>
      </x:c>
      <x:c r="C64" t="str">
        <x:v>Procurement</x:v>
      </x:c>
      <x:c r="D64" t="str">
        <x:v>Project Manager</x:v>
      </x:c>
      <x:c r="E64" t="str">
        <x:v>Medium</x:v>
      </x:c>
      <x:c r="F64" t="str">
        <x:v>Completed</x:v>
      </x:c>
      <x:c r="G64" s="30" t="n">
        <x:v>46228</x:v>
      </x:c>
      <x:c r="H64" s="30" t="n">
        <x:v>46232</x:v>
      </x:c>
      <x:c r="I64" s="30" t="n">
        <x:v>46226</x:v>
      </x:c>
      <x:c r="J64" s="32" t="n">
        <x:v>1</x:v>
      </x:c>
      <x:c r="K64" t="str">
        <x:v>Management review</x:v>
      </x:c>
      <x:c r="L64" s="34" t="n">
        <x:f>IF(OR(F64="Completed",H64=""),0,MAX(0,'Executive Dashboard'!$B$4-H64))</x:f>
        <x:v>0</x:v>
      </x:c>
    </x:row>
    <x:row r="65">
      <x:c r="A65" t="str">
        <x:v>ACT-060</x:v>
      </x:c>
      <x:c r="B65" t="str">
        <x:v>Warehouse operational follow-up item 060</x:v>
      </x:c>
      <x:c r="C65" t="str">
        <x:v>Warehouse</x:v>
      </x:c>
      <x:c r="D65" t="str">
        <x:v>Site Administrator</x:v>
      </x:c>
      <x:c r="E65" t="str">
        <x:v>Critical</x:v>
      </x:c>
      <x:c r="F65" t="str">
        <x:v>Open</x:v>
      </x:c>
      <x:c r="G65" s="30" t="n">
        <x:v>46145</x:v>
      </x:c>
      <x:c r="H65" s="30" t="n">
        <x:v>46167</x:v>
      </x:c>
      <x:c r="I65" s="30"/>
      <x:c r="J65" s="32" t="n">
        <x:v>0.3</x:v>
      </x:c>
      <x:c r="K65" t="str">
        <x:v>Site action</x:v>
      </x:c>
      <x:c r="L65" s="34" t="n">
        <x:f>IF(OR(F65="Completed",H65=""),0,MAX(0,'Executive Dashboard'!$B$4-H65))</x:f>
        <x:v>63</x:v>
      </x:c>
    </x:row>
    <x:row r="66">
      <x:c r="A66" t="str">
        <x:v>ACT-061</x:v>
      </x:c>
      <x:c r="B66" t="str">
        <x:v>Finance operational follow-up item 061</x:v>
      </x:c>
      <x:c r="C66" t="str">
        <x:v>Finance</x:v>
      </x:c>
      <x:c r="D66" t="str">
        <x:v>HR Manager</x:v>
      </x:c>
      <x:c r="E66" t="str">
        <x:v>High</x:v>
      </x:c>
      <x:c r="F66" t="str">
        <x:v>Completed</x:v>
      </x:c>
      <x:c r="G66" s="30" t="n">
        <x:v>46174</x:v>
      </x:c>
      <x:c r="H66" s="30" t="n">
        <x:v>46182</x:v>
      </x:c>
      <x:c r="I66" s="30" t="n">
        <x:v>46178</x:v>
      </x:c>
      <x:c r="J66" s="32" t="n">
        <x:v>1</x:v>
      </x:c>
      <x:c r="K66" t="str">
        <x:v>Vendor follow-up</x:v>
      </x:c>
      <x:c r="L66" s="34" t="n">
        <x:f>IF(OR(F66="Completed",H66=""),0,MAX(0,'Executive Dashboard'!$B$4-H66))</x:f>
        <x:v>0</x:v>
      </x:c>
    </x:row>
    <x:row r="67">
      <x:c r="A67" t="str">
        <x:v>ACT-062</x:v>
      </x:c>
      <x:c r="B67" t="str">
        <x:v>Human Resources operational follow-up item 062</x:v>
      </x:c>
      <x:c r="C67" t="str">
        <x:v>Human Resources</x:v>
      </x:c>
      <x:c r="D67" t="str">
        <x:v>Document Controller</x:v>
      </x:c>
      <x:c r="E67" t="str">
        <x:v>Medium</x:v>
      </x:c>
      <x:c r="F67" t="str">
        <x:v>In Progress</x:v>
      </x:c>
      <x:c r="G67" s="30" t="n">
        <x:v>46153</x:v>
      </x:c>
      <x:c r="H67" s="30" t="n">
        <x:v>46173</x:v>
      </x:c>
      <x:c r="I67" s="30"/>
      <x:c r="J67" s="32" t="n">
        <x:v>0.4</x:v>
      </x:c>
      <x:c r="K67" t="str">
        <x:v>Management review</x:v>
      </x:c>
      <x:c r="L67" s="34" t="n">
        <x:f>IF(OR(F67="Completed",H67=""),0,MAX(0,'Executive Dashboard'!$B$4-H67))</x:f>
        <x:v>57</x:v>
      </x:c>
    </x:row>
    <x:row r="68">
      <x:c r="A68" t="str">
        <x:v>ACT-063</x:v>
      </x:c>
      <x:c r="B68" t="str">
        <x:v>Finance operational follow-up item 063</x:v>
      </x:c>
      <x:c r="C68" t="str">
        <x:v>Finance</x:v>
      </x:c>
      <x:c r="D68" t="str">
        <x:v>Site Administrator</x:v>
      </x:c>
      <x:c r="E68" t="str">
        <x:v>Low</x:v>
      </x:c>
      <x:c r="F68" t="str">
        <x:v>On Hold</x:v>
      </x:c>
      <x:c r="G68" s="30" t="n">
        <x:v>46225</x:v>
      </x:c>
      <x:c r="H68" s="30" t="n">
        <x:v>46228</x:v>
      </x:c>
      <x:c r="I68" s="30"/>
      <x:c r="J68" s="32" t="n">
        <x:v>0.2</x:v>
      </x:c>
      <x:c r="K68" t="str">
        <x:v>Vendor follow-up</x:v>
      </x:c>
      <x:c r="L68" s="34" t="n">
        <x:f>IF(OR(F68="Completed",H68=""),0,MAX(0,'Executive Dashboard'!$B$4-H68))</x:f>
        <x:v>2</x:v>
      </x:c>
    </x:row>
    <x:row r="69">
      <x:c r="A69" t="str">
        <x:v>ACT-064</x:v>
      </x:c>
      <x:c r="B69" t="str">
        <x:v>Document Control operational follow-up item 064</x:v>
      </x:c>
      <x:c r="C69" t="str">
        <x:v>Document Control</x:v>
      </x:c>
      <x:c r="D69" t="str">
        <x:v>HR Manager</x:v>
      </x:c>
      <x:c r="E69" t="str">
        <x:v>High</x:v>
      </x:c>
      <x:c r="F69" t="str">
        <x:v>Open</x:v>
      </x:c>
      <x:c r="G69" s="30" t="n">
        <x:v>46212</x:v>
      </x:c>
      <x:c r="H69" s="30" t="n">
        <x:v>46244</x:v>
      </x:c>
      <x:c r="I69" s="30"/>
      <x:c r="J69" s="32" t="n">
        <x:v>0.1</x:v>
      </x:c>
      <x:c r="K69" t="str">
        <x:v>Commercial follow-up</x:v>
      </x:c>
      <x:c r="L69" s="34" t="n">
        <x:f>IF(OR(F69="Completed",H69=""),0,MAX(0,'Executive Dashboard'!$B$4-H69))</x:f>
        <x:v>0</x:v>
      </x:c>
    </x:row>
    <x:row r="70">
      <x:c r="A70" t="str">
        <x:v>ACT-065</x:v>
      </x:c>
      <x:c r="B70" t="str">
        <x:v>Document Control operational follow-up item 065</x:v>
      </x:c>
      <x:c r="C70" t="str">
        <x:v>Document Control</x:v>
      </x:c>
      <x:c r="D70" t="str">
        <x:v>Fleet Supervisor</x:v>
      </x:c>
      <x:c r="E70" t="str">
        <x:v>Medium</x:v>
      </x:c>
      <x:c r="F70" t="str">
        <x:v>Open</x:v>
      </x:c>
      <x:c r="G70" s="30" t="n">
        <x:v>46195</x:v>
      </x:c>
      <x:c r="H70" s="30" t="n">
        <x:v>46227</x:v>
      </x:c>
      <x:c r="I70" s="30"/>
      <x:c r="J70" s="32" t="n">
        <x:v>0</x:v>
      </x:c>
      <x:c r="K70" t="str">
        <x:v>Vendor follow-up</x:v>
      </x:c>
      <x:c r="L70" s="34" t="n">
        <x:f>IF(OR(F70="Completed",H70=""),0,MAX(0,'Executive Dashboard'!$B$4-H70))</x:f>
        <x:v>3</x:v>
      </x:c>
    </x:row>
    <x:row r="71">
      <x:c r="A71" t="str">
        <x:v>ACT-066</x:v>
      </x:c>
      <x:c r="B71" t="str">
        <x:v>Procurement operational follow-up item 066</x:v>
      </x:c>
      <x:c r="C71" t="str">
        <x:v>Procurement</x:v>
      </x:c>
      <x:c r="D71" t="str">
        <x:v>Admin Manager</x:v>
      </x:c>
      <x:c r="E71" t="str">
        <x:v>Medium</x:v>
      </x:c>
      <x:c r="F71" t="str">
        <x:v>Open</x:v>
      </x:c>
      <x:c r="G71" s="30" t="n">
        <x:v>46173</x:v>
      </x:c>
      <x:c r="H71" s="30" t="n">
        <x:v>46187</x:v>
      </x:c>
      <x:c r="I71" s="30"/>
      <x:c r="J71" s="32" t="n">
        <x:v>0.3</x:v>
      </x:c>
      <x:c r="K71" t="str">
        <x:v>Internal coordination</x:v>
      </x:c>
      <x:c r="L71" s="34" t="n">
        <x:f>IF(OR(F71="Completed",H71=""),0,MAX(0,'Executive Dashboard'!$B$4-H71))</x:f>
        <x:v>43</x:v>
      </x:c>
    </x:row>
    <x:row r="72">
      <x:c r="A72" t="str">
        <x:v>ACT-067</x:v>
      </x:c>
      <x:c r="B72" t="str">
        <x:v>Finance operational follow-up item 067</x:v>
      </x:c>
      <x:c r="C72" t="str">
        <x:v>Finance</x:v>
      </x:c>
      <x:c r="D72" t="str">
        <x:v>Document Controller</x:v>
      </x:c>
      <x:c r="E72" t="str">
        <x:v>High</x:v>
      </x:c>
      <x:c r="F72" t="str">
        <x:v>In Progress</x:v>
      </x:c>
      <x:c r="G72" s="30" t="n">
        <x:v>46189</x:v>
      </x:c>
      <x:c r="H72" s="30" t="n">
        <x:v>46192</x:v>
      </x:c>
      <x:c r="I72" s="30"/>
      <x:c r="J72" s="32" t="n">
        <x:v>0.75</x:v>
      </x:c>
      <x:c r="K72" t="str">
        <x:v>Internal coordination</x:v>
      </x:c>
      <x:c r="L72" s="34" t="n">
        <x:f>IF(OR(F72="Completed",H72=""),0,MAX(0,'Executive Dashboard'!$B$4-H72))</x:f>
        <x:v>38</x:v>
      </x:c>
    </x:row>
    <x:row r="73">
      <x:c r="A73" t="str">
        <x:v>ACT-068</x:v>
      </x:c>
      <x:c r="B73" t="str">
        <x:v>Warehouse operational follow-up item 068</x:v>
      </x:c>
      <x:c r="C73" t="str">
        <x:v>Warehouse</x:v>
      </x:c>
      <x:c r="D73" t="str">
        <x:v>Procurement Lead</x:v>
      </x:c>
      <x:c r="E73" t="str">
        <x:v>Medium</x:v>
      </x:c>
      <x:c r="F73" t="str">
        <x:v>Completed</x:v>
      </x:c>
      <x:c r="G73" s="30" t="n">
        <x:v>46225</x:v>
      </x:c>
      <x:c r="H73" s="30" t="n">
        <x:v>46241</x:v>
      </x:c>
      <x:c r="I73" s="30" t="n">
        <x:v>46239</x:v>
      </x:c>
      <x:c r="J73" s="32" t="n">
        <x:v>1</x:v>
      </x:c>
      <x:c r="K73" t="str">
        <x:v>Management review</x:v>
      </x:c>
      <x:c r="L73" s="34" t="n">
        <x:f>IF(OR(F73="Completed",H73=""),0,MAX(0,'Executive Dashboard'!$B$4-H73))</x:f>
        <x:v>0</x:v>
      </x:c>
    </x:row>
    <x:row r="74">
      <x:c r="A74" t="str">
        <x:v>ACT-069</x:v>
      </x:c>
      <x:c r="B74" t="str">
        <x:v>Human Resources operational follow-up item 069</x:v>
      </x:c>
      <x:c r="C74" t="str">
        <x:v>Human Resources</x:v>
      </x:c>
      <x:c r="D74" t="str">
        <x:v>Executive Office</x:v>
      </x:c>
      <x:c r="E74" t="str">
        <x:v>Medium</x:v>
      </x:c>
      <x:c r="F74" t="str">
        <x:v>Completed</x:v>
      </x:c>
      <x:c r="G74" s="30" t="n">
        <x:v>46158</x:v>
      </x:c>
      <x:c r="H74" s="30" t="n">
        <x:v>46185</x:v>
      </x:c>
      <x:c r="I74" s="30" t="n">
        <x:v>46178</x:v>
      </x:c>
      <x:c r="J74" s="32" t="n">
        <x:v>1</x:v>
      </x:c>
      <x:c r="K74" t="str">
        <x:v>Site action</x:v>
      </x:c>
      <x:c r="L74" s="34" t="n">
        <x:f>IF(OR(F74="Completed",H74=""),0,MAX(0,'Executive Dashboard'!$B$4-H74))</x:f>
        <x:v>0</x:v>
      </x:c>
    </x:row>
    <x:row r="75">
      <x:c r="A75" t="str">
        <x:v>ACT-070</x:v>
      </x:c>
      <x:c r="B75" t="str">
        <x:v>Construction operational follow-up item 070</x:v>
      </x:c>
      <x:c r="C75" t="str">
        <x:v>Construction</x:v>
      </x:c>
      <x:c r="D75" t="str">
        <x:v>Document Controller</x:v>
      </x:c>
      <x:c r="E75" t="str">
        <x:v>High</x:v>
      </x:c>
      <x:c r="F75" t="str">
        <x:v>Completed</x:v>
      </x:c>
      <x:c r="G75" s="30" t="n">
        <x:v>46217</x:v>
      </x:c>
      <x:c r="H75" s="30" t="n">
        <x:v>46239</x:v>
      </x:c>
      <x:c r="I75" s="30" t="n">
        <x:v>46233</x:v>
      </x:c>
      <x:c r="J75" s="32" t="n">
        <x:v>1</x:v>
      </x:c>
      <x:c r="K75" t="str">
        <x:v>Commercial follow-up</x:v>
      </x:c>
      <x:c r="L75" s="34" t="n">
        <x:f>IF(OR(F75="Completed",H75=""),0,MAX(0,'Executive Dashboard'!$B$4-H75))</x:f>
        <x:v>0</x:v>
      </x:c>
    </x:row>
    <x:row r="76">
      <x:c r="A76" t="str">
        <x:v>ACT-071</x:v>
      </x:c>
      <x:c r="B76" t="str">
        <x:v>Procurement operational follow-up item 071</x:v>
      </x:c>
      <x:c r="C76" t="str">
        <x:v>Procurement</x:v>
      </x:c>
      <x:c r="D76" t="str">
        <x:v>Site Administrator</x:v>
      </x:c>
      <x:c r="E76" t="str">
        <x:v>Medium</x:v>
      </x:c>
      <x:c r="F76" t="str">
        <x:v>Completed</x:v>
      </x:c>
      <x:c r="G76" s="30" t="n">
        <x:v>46157</x:v>
      </x:c>
      <x:c r="H76" s="30" t="n">
        <x:v>46160</x:v>
      </x:c>
      <x:c r="I76" s="30" t="n">
        <x:v>46163</x:v>
      </x:c>
      <x:c r="J76" s="32" t="n">
        <x:v>1</x:v>
      </x:c>
      <x:c r="K76" t="str">
        <x:v>Vendor follow-up</x:v>
      </x:c>
      <x:c r="L76" s="34" t="n">
        <x:f>IF(OR(F76="Completed",H76=""),0,MAX(0,'Executive Dashboard'!$B$4-H76))</x:f>
        <x:v>0</x:v>
      </x:c>
    </x:row>
    <x:row r="77">
      <x:c r="A77" t="str">
        <x:v>ACT-072</x:v>
      </x:c>
      <x:c r="B77" t="str">
        <x:v>Fleet &amp; Transportation operational follow-up item 072</x:v>
      </x:c>
      <x:c r="C77" t="str">
        <x:v>Fleet &amp; Transportation</x:v>
      </x:c>
      <x:c r="D77" t="str">
        <x:v>HR Manager</x:v>
      </x:c>
      <x:c r="E77" t="str">
        <x:v>Medium</x:v>
      </x:c>
      <x:c r="F77" t="str">
        <x:v>Open</x:v>
      </x:c>
      <x:c r="G77" s="30" t="n">
        <x:v>46204</x:v>
      </x:c>
      <x:c r="H77" s="30" t="n">
        <x:v>46220</x:v>
      </x:c>
      <x:c r="I77" s="30"/>
      <x:c r="J77" s="32" t="n">
        <x:v>0.2</x:v>
      </x:c>
      <x:c r="K77" t="str">
        <x:v>Commercial follow-up</x:v>
      </x:c>
      <x:c r="L77" s="34" t="n">
        <x:f>IF(OR(F77="Completed",H77=""),0,MAX(0,'Executive Dashboard'!$B$4-H77))</x:f>
        <x:v>10</x:v>
      </x:c>
    </x:row>
    <x:row r="78">
      <x:c r="A78" t="str">
        <x:v>ACT-073</x:v>
      </x:c>
      <x:c r="B78" t="str">
        <x:v>Fleet &amp; Transportation operational follow-up item 073</x:v>
      </x:c>
      <x:c r="C78" t="str">
        <x:v>Fleet &amp; Transportation</x:v>
      </x:c>
      <x:c r="D78" t="str">
        <x:v>Project Manager</x:v>
      </x:c>
      <x:c r="E78" t="str">
        <x:v>High</x:v>
      </x:c>
      <x:c r="F78" t="str">
        <x:v>Completed</x:v>
      </x:c>
      <x:c r="G78" s="30" t="n">
        <x:v>46180</x:v>
      </x:c>
      <x:c r="H78" s="30" t="n">
        <x:v>46187</x:v>
      </x:c>
      <x:c r="I78" s="30" t="n">
        <x:v>46193</x:v>
      </x:c>
      <x:c r="J78" s="32" t="n">
        <x:v>1</x:v>
      </x:c>
      <x:c r="K78" t="str">
        <x:v>Internal coordination</x:v>
      </x:c>
      <x:c r="L78" s="34" t="n">
        <x:f>IF(OR(F78="Completed",H78=""),0,MAX(0,'Executive Dashboard'!$B$4-H78))</x:f>
        <x:v>0</x:v>
      </x:c>
    </x:row>
    <x:row r="79">
      <x:c r="A79" t="str">
        <x:v>ACT-074</x:v>
      </x:c>
      <x:c r="B79" t="str">
        <x:v>Logistics operational follow-up item 074</x:v>
      </x:c>
      <x:c r="C79" t="str">
        <x:v>Logistics</x:v>
      </x:c>
      <x:c r="D79" t="str">
        <x:v>Document Controller</x:v>
      </x:c>
      <x:c r="E79" t="str">
        <x:v>Medium</x:v>
      </x:c>
      <x:c r="F79" t="str">
        <x:v>Open</x:v>
      </x:c>
      <x:c r="G79" s="30" t="n">
        <x:v>46151</x:v>
      </x:c>
      <x:c r="H79" s="30" t="n">
        <x:v>46178</x:v>
      </x:c>
      <x:c r="I79" s="30"/>
      <x:c r="J79" s="32" t="n">
        <x:v>0.2</x:v>
      </x:c>
      <x:c r="K79" t="str">
        <x:v>Commercial follow-up</x:v>
      </x:c>
      <x:c r="L79" s="34" t="n">
        <x:f>IF(OR(F79="Completed",H79=""),0,MAX(0,'Executive Dashboard'!$B$4-H79))</x:f>
        <x:v>52</x:v>
      </x:c>
    </x:row>
    <x:row r="80">
      <x:c r="A80" t="str">
        <x:v>ACT-075</x:v>
      </x:c>
      <x:c r="B80" t="str">
        <x:v>Construction operational follow-up item 075</x:v>
      </x:c>
      <x:c r="C80" t="str">
        <x:v>Construction</x:v>
      </x:c>
      <x:c r="D80" t="str">
        <x:v>Finance Lead</x:v>
      </x:c>
      <x:c r="E80" t="str">
        <x:v>Critical</x:v>
      </x:c>
      <x:c r="F80" t="str">
        <x:v>In Progress</x:v>
      </x:c>
      <x:c r="G80" s="30" t="n">
        <x:v>46189</x:v>
      </x:c>
      <x:c r="H80" s="30" t="n">
        <x:v>46199</x:v>
      </x:c>
      <x:c r="I80" s="30"/>
      <x:c r="J80" s="32" t="n">
        <x:v>0.25</x:v>
      </x:c>
      <x:c r="K80" t="str">
        <x:v>Management review</x:v>
      </x:c>
      <x:c r="L80" s="34" t="n">
        <x:f>IF(OR(F80="Completed",H80=""),0,MAX(0,'Executive Dashboard'!$B$4-H80))</x:f>
        <x:v>31</x:v>
      </x:c>
    </x:row>
    <x:row r="81">
      <x:c r="A81" t="str">
        <x:v>ACT-076</x:v>
      </x:c>
      <x:c r="B81" t="str">
        <x:v>Fleet &amp; Transportation operational follow-up item 076</x:v>
      </x:c>
      <x:c r="C81" t="str">
        <x:v>Fleet &amp; Transportation</x:v>
      </x:c>
      <x:c r="D81" t="str">
        <x:v>HR Manager</x:v>
      </x:c>
      <x:c r="E81" t="str">
        <x:v>Medium</x:v>
      </x:c>
      <x:c r="F81" t="str">
        <x:v>Open</x:v>
      </x:c>
      <x:c r="G81" s="30" t="n">
        <x:v>46227</x:v>
      </x:c>
      <x:c r="H81" s="30" t="n">
        <x:v>46234</x:v>
      </x:c>
      <x:c r="I81" s="30"/>
      <x:c r="J81" s="32" t="n">
        <x:v>0</x:v>
      </x:c>
      <x:c r="K81" t="str">
        <x:v>Vendor follow-up</x:v>
      </x:c>
      <x:c r="L81" s="34" t="n">
        <x:f>IF(OR(F81="Completed",H81=""),0,MAX(0,'Executive Dashboard'!$B$4-H81))</x:f>
        <x:v>0</x:v>
      </x:c>
    </x:row>
    <x:row r="82">
      <x:c r="A82" t="str">
        <x:v>ACT-077</x:v>
      </x:c>
      <x:c r="B82" t="str">
        <x:v>Procurement operational follow-up item 077</x:v>
      </x:c>
      <x:c r="C82" t="str">
        <x:v>Procurement</x:v>
      </x:c>
      <x:c r="D82" t="str">
        <x:v>Fleet Supervisor</x:v>
      </x:c>
      <x:c r="E82" t="str">
        <x:v>Medium</x:v>
      </x:c>
      <x:c r="F82" t="str">
        <x:v>Completed</x:v>
      </x:c>
      <x:c r="G82" s="30" t="n">
        <x:v>46224</x:v>
      </x:c>
      <x:c r="H82" s="30" t="n">
        <x:v>46255</x:v>
      </x:c>
      <x:c r="I82" s="30" t="n">
        <x:v>46252</x:v>
      </x:c>
      <x:c r="J82" s="32" t="n">
        <x:v>1</x:v>
      </x:c>
      <x:c r="K82" t="str">
        <x:v>Commercial follow-up</x:v>
      </x:c>
      <x:c r="L82" s="34" t="n">
        <x:f>IF(OR(F82="Completed",H82=""),0,MAX(0,'Executive Dashboard'!$B$4-H82))</x:f>
        <x:v>0</x:v>
      </x:c>
    </x:row>
    <x:row r="83">
      <x:c r="A83" t="str">
        <x:v>ACT-078</x:v>
      </x:c>
      <x:c r="B83" t="str">
        <x:v>Procurement operational follow-up item 078</x:v>
      </x:c>
      <x:c r="C83" t="str">
        <x:v>Procurement</x:v>
      </x:c>
      <x:c r="D83" t="str">
        <x:v>Document Controller</x:v>
      </x:c>
      <x:c r="E83" t="str">
        <x:v>High</x:v>
      </x:c>
      <x:c r="F83" t="str">
        <x:v>In Progress</x:v>
      </x:c>
      <x:c r="G83" s="30" t="n">
        <x:v>46218</x:v>
      </x:c>
      <x:c r="H83" s="30" t="n">
        <x:v>46223</x:v>
      </x:c>
      <x:c r="I83" s="30"/>
      <x:c r="J83" s="32" t="n">
        <x:v>0.25</x:v>
      </x:c>
      <x:c r="K83" t="str">
        <x:v>Internal coordination</x:v>
      </x:c>
      <x:c r="L83" s="34" t="n">
        <x:f>IF(OR(F83="Completed",H83=""),0,MAX(0,'Executive Dashboard'!$B$4-H83))</x:f>
        <x:v>7</x:v>
      </x:c>
    </x:row>
    <x:row r="84">
      <x:c r="A84" t="str">
        <x:v>ACT-079</x:v>
      </x:c>
      <x:c r="B84" t="str">
        <x:v>Procurement operational follow-up item 079</x:v>
      </x:c>
      <x:c r="C84" t="str">
        <x:v>Procurement</x:v>
      </x:c>
      <x:c r="D84" t="str">
        <x:v>Finance Lead</x:v>
      </x:c>
      <x:c r="E84" t="str">
        <x:v>Medium</x:v>
      </x:c>
      <x:c r="F84" t="str">
        <x:v>Open</x:v>
      </x:c>
      <x:c r="G84" s="30" t="n">
        <x:v>46181</x:v>
      </x:c>
      <x:c r="H84" s="30" t="n">
        <x:v>46185</x:v>
      </x:c>
      <x:c r="I84" s="30"/>
      <x:c r="J84" s="32" t="n">
        <x:v>0</x:v>
      </x:c>
      <x:c r="K84" t="str">
        <x:v>Management review</x:v>
      </x:c>
      <x:c r="L84" s="34" t="n">
        <x:f>IF(OR(F84="Completed",H84=""),0,MAX(0,'Executive Dashboard'!$B$4-H84))</x:f>
        <x:v>45</x:v>
      </x:c>
    </x:row>
    <x:row r="85">
      <x:c r="A85" t="str">
        <x:v>ACT-080</x:v>
      </x:c>
      <x:c r="B85" t="str">
        <x:v>Human Resources operational follow-up item 080</x:v>
      </x:c>
      <x:c r="C85" t="str">
        <x:v>Human Resources</x:v>
      </x:c>
      <x:c r="D85" t="str">
        <x:v>Executive Office</x:v>
      </x:c>
      <x:c r="E85" t="str">
        <x:v>High</x:v>
      </x:c>
      <x:c r="F85" t="str">
        <x:v>In Progress</x:v>
      </x:c>
      <x:c r="G85" s="30" t="n">
        <x:v>46191</x:v>
      </x:c>
      <x:c r="H85" s="30" t="n">
        <x:v>46225</x:v>
      </x:c>
      <x:c r="I85" s="30"/>
      <x:c r="J85" s="32" t="n">
        <x:v>0.4</x:v>
      </x:c>
      <x:c r="K85" t="str">
        <x:v>Commercial follow-up</x:v>
      </x:c>
      <x:c r="L85" s="34" t="n">
        <x:f>IF(OR(F85="Completed",H85=""),0,MAX(0,'Executive Dashboard'!$B$4-H85))</x:f>
        <x:v>5</x:v>
      </x:c>
    </x:row>
    <x:row r="86">
      <x:c r="A86" t="str">
        <x:v>ACT-081</x:v>
      </x:c>
      <x:c r="B86" t="str">
        <x:v>Procurement operational follow-up item 081</x:v>
      </x:c>
      <x:c r="C86" t="str">
        <x:v>Procurement</x:v>
      </x:c>
      <x:c r="D86" t="str">
        <x:v>HR Manager</x:v>
      </x:c>
      <x:c r="E86" t="str">
        <x:v>High</x:v>
      </x:c>
      <x:c r="F86" t="str">
        <x:v>Open</x:v>
      </x:c>
      <x:c r="G86" s="30" t="n">
        <x:v>46221</x:v>
      </x:c>
      <x:c r="H86" s="30" t="n">
        <x:v>46225</x:v>
      </x:c>
      <x:c r="I86" s="30"/>
      <x:c r="J86" s="32" t="n">
        <x:v>0.3</x:v>
      </x:c>
      <x:c r="K86" t="str">
        <x:v>Commercial follow-up</x:v>
      </x:c>
      <x:c r="L86" s="34" t="n">
        <x:f>IF(OR(F86="Completed",H86=""),0,MAX(0,'Executive Dashboard'!$B$4-H86))</x:f>
        <x:v>5</x:v>
      </x:c>
    </x:row>
    <x:row r="87">
      <x:c r="A87" t="str">
        <x:v>ACT-082</x:v>
      </x:c>
      <x:c r="B87" t="str">
        <x:v>Procurement operational follow-up item 082</x:v>
      </x:c>
      <x:c r="C87" t="str">
        <x:v>Procurement</x:v>
      </x:c>
      <x:c r="D87" t="str">
        <x:v>Fleet Supervisor</x:v>
      </x:c>
      <x:c r="E87" t="str">
        <x:v>Medium</x:v>
      </x:c>
      <x:c r="F87" t="str">
        <x:v>In Progress</x:v>
      </x:c>
      <x:c r="G87" s="30" t="n">
        <x:v>46201</x:v>
      </x:c>
      <x:c r="H87" s="30" t="n">
        <x:v>46226</x:v>
      </x:c>
      <x:c r="I87" s="30"/>
      <x:c r="J87" s="32" t="n">
        <x:v>0.4</x:v>
      </x:c>
      <x:c r="K87" t="str">
        <x:v>Vendor follow-up</x:v>
      </x:c>
      <x:c r="L87" s="34" t="n">
        <x:f>IF(OR(F87="Completed",H87=""),0,MAX(0,'Executive Dashboard'!$B$4-H87))</x:f>
        <x:v>4</x:v>
      </x:c>
    </x:row>
    <x:row r="88">
      <x:c r="A88" t="str">
        <x:v>ACT-083</x:v>
      </x:c>
      <x:c r="B88" t="str">
        <x:v>Document Control operational follow-up item 083</x:v>
      </x:c>
      <x:c r="C88" t="str">
        <x:v>Document Control</x:v>
      </x:c>
      <x:c r="D88" t="str">
        <x:v>Procurement Lead</x:v>
      </x:c>
      <x:c r="E88" t="str">
        <x:v>Medium</x:v>
      </x:c>
      <x:c r="F88" t="str">
        <x:v>Completed</x:v>
      </x:c>
      <x:c r="G88" s="30" t="n">
        <x:v>46203</x:v>
      </x:c>
      <x:c r="H88" s="30" t="n">
        <x:v>46226</x:v>
      </x:c>
      <x:c r="I88" s="30" t="n">
        <x:v>46226</x:v>
      </x:c>
      <x:c r="J88" s="32" t="n">
        <x:v>1</x:v>
      </x:c>
      <x:c r="K88" t="str">
        <x:v>Management review</x:v>
      </x:c>
      <x:c r="L88" s="34" t="n">
        <x:f>IF(OR(F88="Completed",H88=""),0,MAX(0,'Executive Dashboard'!$B$4-H88))</x:f>
        <x:v>0</x:v>
      </x:c>
    </x:row>
    <x:row r="89">
      <x:c r="A89" t="str">
        <x:v>ACT-084</x:v>
      </x:c>
      <x:c r="B89" t="str">
        <x:v>Procurement operational follow-up item 084</x:v>
      </x:c>
      <x:c r="C89" t="str">
        <x:v>Procurement</x:v>
      </x:c>
      <x:c r="D89" t="str">
        <x:v>Fleet Supervisor</x:v>
      </x:c>
      <x:c r="E89" t="str">
        <x:v>Medium</x:v>
      </x:c>
      <x:c r="F89" t="str">
        <x:v>Completed</x:v>
      </x:c>
      <x:c r="G89" s="30" t="n">
        <x:v>46151</x:v>
      </x:c>
      <x:c r="H89" s="30" t="n">
        <x:v>46183</x:v>
      </x:c>
      <x:c r="I89" s="30" t="n">
        <x:v>46193</x:v>
      </x:c>
      <x:c r="J89" s="32" t="n">
        <x:v>1</x:v>
      </x:c>
      <x:c r="K89" t="str">
        <x:v>Internal coordination</x:v>
      </x:c>
      <x:c r="L89" s="34" t="n">
        <x:f>IF(OR(F89="Completed",H89=""),0,MAX(0,'Executive Dashboard'!$B$4-H89))</x:f>
        <x:v>0</x:v>
      </x:c>
    </x:row>
    <x:row r="90">
      <x:c r="A90" t="str">
        <x:v>ACT-085</x:v>
      </x:c>
      <x:c r="B90" t="str">
        <x:v>Executive Office operational follow-up item 085</x:v>
      </x:c>
      <x:c r="C90" t="str">
        <x:v>Executive Office</x:v>
      </x:c>
      <x:c r="D90" t="str">
        <x:v>Finance Lead</x:v>
      </x:c>
      <x:c r="E90" t="str">
        <x:v>Medium</x:v>
      </x:c>
      <x:c r="F90" t="str">
        <x:v>On Hold</x:v>
      </x:c>
      <x:c r="G90" s="30" t="n">
        <x:v>46143</x:v>
      </x:c>
      <x:c r="H90" s="30" t="n">
        <x:v>46154</x:v>
      </x:c>
      <x:c r="I90" s="30"/>
      <x:c r="J90" s="32" t="n">
        <x:v>0.1</x:v>
      </x:c>
      <x:c r="K90" t="str">
        <x:v>Management review</x:v>
      </x:c>
      <x:c r="L90" s="34" t="n">
        <x:f>IF(OR(F90="Completed",H90=""),0,MAX(0,'Executive Dashboard'!$B$4-H90))</x:f>
        <x:v>76</x:v>
      </x:c>
    </x:row>
    <x:row r="91">
      <x:c r="A91" t="str">
        <x:v>ACT-086</x:v>
      </x:c>
      <x:c r="B91" t="str">
        <x:v>Construction operational follow-up item 086</x:v>
      </x:c>
      <x:c r="C91" t="str">
        <x:v>Construction</x:v>
      </x:c>
      <x:c r="D91" t="str">
        <x:v>Finance Lead</x:v>
      </x:c>
      <x:c r="E91" t="str">
        <x:v>Medium</x:v>
      </x:c>
      <x:c r="F91" t="str">
        <x:v>On Hold</x:v>
      </x:c>
      <x:c r="G91" s="30" t="n">
        <x:v>46149</x:v>
      </x:c>
      <x:c r="H91" s="30" t="n">
        <x:v>46152</x:v>
      </x:c>
      <x:c r="I91" s="30"/>
      <x:c r="J91" s="32" t="n">
        <x:v>0.2</x:v>
      </x:c>
      <x:c r="K91" t="str">
        <x:v>Vendor follow-up</x:v>
      </x:c>
      <x:c r="L91" s="34" t="n">
        <x:f>IF(OR(F91="Completed",H91=""),0,MAX(0,'Executive Dashboard'!$B$4-H91))</x:f>
        <x:v>78</x:v>
      </x:c>
    </x:row>
    <x:row r="92">
      <x:c r="A92" t="str">
        <x:v>ACT-087</x:v>
      </x:c>
      <x:c r="B92" t="str">
        <x:v>Document Control operational follow-up item 087</x:v>
      </x:c>
      <x:c r="C92" t="str">
        <x:v>Document Control</x:v>
      </x:c>
      <x:c r="D92" t="str">
        <x:v>Logistics Manager</x:v>
      </x:c>
      <x:c r="E92" t="str">
        <x:v>High</x:v>
      </x:c>
      <x:c r="F92" t="str">
        <x:v>Completed</x:v>
      </x:c>
      <x:c r="G92" s="30" t="n">
        <x:v>46159</x:v>
      </x:c>
      <x:c r="H92" s="30" t="n">
        <x:v>46164</x:v>
      </x:c>
      <x:c r="I92" s="30" t="n">
        <x:v>46168</x:v>
      </x:c>
      <x:c r="J92" s="32" t="n">
        <x:v>1</x:v>
      </x:c>
      <x:c r="K92" t="str">
        <x:v>Vendor follow-up</x:v>
      </x:c>
      <x:c r="L92" s="34" t="n">
        <x:f>IF(OR(F92="Completed",H92=""),0,MAX(0,'Executive Dashboard'!$B$4-H92))</x:f>
        <x:v>0</x:v>
      </x:c>
    </x:row>
    <x:row r="93">
      <x:c r="A93" t="str">
        <x:v>ACT-088</x:v>
      </x:c>
      <x:c r="B93" t="str">
        <x:v>Human Resources operational follow-up item 088</x:v>
      </x:c>
      <x:c r="C93" t="str">
        <x:v>Human Resources</x:v>
      </x:c>
      <x:c r="D93" t="str">
        <x:v>Admin Manager</x:v>
      </x:c>
      <x:c r="E93" t="str">
        <x:v>High</x:v>
      </x:c>
      <x:c r="F93" t="str">
        <x:v>Completed</x:v>
      </x:c>
      <x:c r="G93" s="30" t="n">
        <x:v>46207</x:v>
      </x:c>
      <x:c r="H93" s="30" t="n">
        <x:v>46219</x:v>
      </x:c>
      <x:c r="I93" s="30" t="n">
        <x:v>46217</x:v>
      </x:c>
      <x:c r="J93" s="32" t="n">
        <x:v>1</x:v>
      </x:c>
      <x:c r="K93" t="str">
        <x:v>Internal coordination</x:v>
      </x:c>
      <x:c r="L93" s="34" t="n">
        <x:f>IF(OR(F93="Completed",H93=""),0,MAX(0,'Executive Dashboard'!$B$4-H93))</x:f>
        <x:v>0</x:v>
      </x:c>
    </x:row>
    <x:row r="94">
      <x:c r="A94" t="str">
        <x:v>ACT-089</x:v>
      </x:c>
      <x:c r="B94" t="str">
        <x:v>Project Administration operational follow-up item 089</x:v>
      </x:c>
      <x:c r="C94" t="str">
        <x:v>Project Administration</x:v>
      </x:c>
      <x:c r="D94" t="str">
        <x:v>HR Manager</x:v>
      </x:c>
      <x:c r="E94" t="str">
        <x:v>Medium</x:v>
      </x:c>
      <x:c r="F94" t="str">
        <x:v>In Progress</x:v>
      </x:c>
      <x:c r="G94" s="30" t="n">
        <x:v>46208</x:v>
      </x:c>
      <x:c r="H94" s="30" t="n">
        <x:v>46239</x:v>
      </x:c>
      <x:c r="I94" s="30"/>
      <x:c r="J94" s="32" t="n">
        <x:v>0.6</x:v>
      </x:c>
      <x:c r="K94" t="str">
        <x:v>Site action</x:v>
      </x:c>
      <x:c r="L94" s="34" t="n">
        <x:f>IF(OR(F94="Completed",H94=""),0,MAX(0,'Executive Dashboard'!$B$4-H94))</x:f>
        <x:v>0</x:v>
      </x:c>
    </x:row>
    <x:row r="95">
      <x:c r="A95" t="str">
        <x:v>ACT-090</x:v>
      </x:c>
      <x:c r="B95" t="str">
        <x:v>Warehouse operational follow-up item 090</x:v>
      </x:c>
      <x:c r="C95" t="str">
        <x:v>Warehouse</x:v>
      </x:c>
      <x:c r="D95" t="str">
        <x:v>Logistics Manager</x:v>
      </x:c>
      <x:c r="E95" t="str">
        <x:v>Critical</x:v>
      </x:c>
      <x:c r="F95" t="str">
        <x:v>In Progress</x:v>
      </x:c>
      <x:c r="G95" s="30" t="n">
        <x:v>46163</x:v>
      </x:c>
      <x:c r="H95" s="30" t="n">
        <x:v>46174</x:v>
      </x:c>
      <x:c r="I95" s="30"/>
      <x:c r="J95" s="32" t="n">
        <x:v>0.25</x:v>
      </x:c>
      <x:c r="K95" t="str">
        <x:v>Internal coordination</x:v>
      </x:c>
      <x:c r="L95" s="34" t="n">
        <x:f>IF(OR(F95="Completed",H95=""),0,MAX(0,'Executive Dashboard'!$B$4-H95))</x:f>
        <x:v>56</x:v>
      </x:c>
    </x:row>
    <x:row r="96">
      <x:c r="A96" t="str">
        <x:v>ACT-091</x:v>
      </x:c>
      <x:c r="B96" t="str">
        <x:v>Finance operational follow-up item 091</x:v>
      </x:c>
      <x:c r="C96" t="str">
        <x:v>Finance</x:v>
      </x:c>
      <x:c r="D96" t="str">
        <x:v>Finance Lead</x:v>
      </x:c>
      <x:c r="E96" t="str">
        <x:v>High</x:v>
      </x:c>
      <x:c r="F96" t="str">
        <x:v>Completed</x:v>
      </x:c>
      <x:c r="G96" s="30" t="n">
        <x:v>46212</x:v>
      </x:c>
      <x:c r="H96" s="30" t="n">
        <x:v>46224</x:v>
      </x:c>
      <x:c r="I96" s="30" t="n">
        <x:v>46217</x:v>
      </x:c>
      <x:c r="J96" s="32" t="n">
        <x:v>1</x:v>
      </x:c>
      <x:c r="K96" t="str">
        <x:v>Vendor follow-up</x:v>
      </x:c>
      <x:c r="L96" s="34" t="n">
        <x:f>IF(OR(F96="Completed",H96=""),0,MAX(0,'Executive Dashboard'!$B$4-H96))</x:f>
        <x:v>0</x:v>
      </x:c>
    </x:row>
    <x:row r="97">
      <x:c r="A97" t="str">
        <x:v>ACT-092</x:v>
      </x:c>
      <x:c r="B97" t="str">
        <x:v>Project Administration operational follow-up item 092</x:v>
      </x:c>
      <x:c r="C97" t="str">
        <x:v>Project Administration</x:v>
      </x:c>
      <x:c r="D97" t="str">
        <x:v>Document Controller</x:v>
      </x:c>
      <x:c r="E97" t="str">
        <x:v>Medium</x:v>
      </x:c>
      <x:c r="F97" t="str">
        <x:v>In Progress</x:v>
      </x:c>
      <x:c r="G97" s="30" t="n">
        <x:v>46196</x:v>
      </x:c>
      <x:c r="H97" s="30" t="n">
        <x:v>46216</x:v>
      </x:c>
      <x:c r="I97" s="30"/>
      <x:c r="J97" s="32" t="n">
        <x:v>0.25</x:v>
      </x:c>
      <x:c r="K97" t="str">
        <x:v>Vendor follow-up</x:v>
      </x:c>
      <x:c r="L97" s="34" t="n">
        <x:f>IF(OR(F97="Completed",H97=""),0,MAX(0,'Executive Dashboard'!$B$4-H97))</x:f>
        <x:v>14</x:v>
      </x:c>
    </x:row>
    <x:row r="98">
      <x:c r="A98" t="str">
        <x:v>ACT-093</x:v>
      </x:c>
      <x:c r="B98" t="str">
        <x:v>Logistics operational follow-up item 093</x:v>
      </x:c>
      <x:c r="C98" t="str">
        <x:v>Logistics</x:v>
      </x:c>
      <x:c r="D98" t="str">
        <x:v>Document Controller</x:v>
      </x:c>
      <x:c r="E98" t="str">
        <x:v>Medium</x:v>
      </x:c>
      <x:c r="F98" t="str">
        <x:v>Open</x:v>
      </x:c>
      <x:c r="G98" s="30" t="n">
        <x:v>46210</x:v>
      </x:c>
      <x:c r="H98" s="30" t="n">
        <x:v>46242</x:v>
      </x:c>
      <x:c r="I98" s="30"/>
      <x:c r="J98" s="32" t="n">
        <x:v>0.2</x:v>
      </x:c>
      <x:c r="K98" t="str">
        <x:v>Vendor follow-up</x:v>
      </x:c>
      <x:c r="L98" s="34" t="n">
        <x:f>IF(OR(F98="Completed",H98=""),0,MAX(0,'Executive Dashboard'!$B$4-H98))</x:f>
        <x:v>0</x:v>
      </x:c>
    </x:row>
    <x:row r="99">
      <x:c r="A99" t="str">
        <x:v>ACT-094</x:v>
      </x:c>
      <x:c r="B99" t="str">
        <x:v>Executive Office operational follow-up item 094</x:v>
      </x:c>
      <x:c r="C99" t="str">
        <x:v>Executive Office</x:v>
      </x:c>
      <x:c r="D99" t="str">
        <x:v>Project Manager</x:v>
      </x:c>
      <x:c r="E99" t="str">
        <x:v>Low</x:v>
      </x:c>
      <x:c r="F99" t="str">
        <x:v>In Progress</x:v>
      </x:c>
      <x:c r="G99" s="30" t="n">
        <x:v>46155</x:v>
      </x:c>
      <x:c r="H99" s="30" t="n">
        <x:v>46180</x:v>
      </x:c>
      <x:c r="I99" s="30"/>
      <x:c r="J99" s="32" t="n">
        <x:v>0.6</x:v>
      </x:c>
      <x:c r="K99" t="str">
        <x:v>Site action</x:v>
      </x:c>
      <x:c r="L99" s="34" t="n">
        <x:f>IF(OR(F99="Completed",H99=""),0,MAX(0,'Executive Dashboard'!$B$4-H99))</x:f>
        <x:v>50</x:v>
      </x:c>
    </x:row>
    <x:row r="100">
      <x:c r="A100" t="str">
        <x:v>ACT-095</x:v>
      </x:c>
      <x:c r="B100" t="str">
        <x:v>Logistics operational follow-up item 095</x:v>
      </x:c>
      <x:c r="C100" t="str">
        <x:v>Logistics</x:v>
      </x:c>
      <x:c r="D100" t="str">
        <x:v>Logistics Manager</x:v>
      </x:c>
      <x:c r="E100" t="str">
        <x:v>High</x:v>
      </x:c>
      <x:c r="F100" t="str">
        <x:v>Open</x:v>
      </x:c>
      <x:c r="G100" s="30" t="n">
        <x:v>46187</x:v>
      </x:c>
      <x:c r="H100" s="30" t="n">
        <x:v>46204</x:v>
      </x:c>
      <x:c r="I100" s="30"/>
      <x:c r="J100" s="32" t="n">
        <x:v>0.3</x:v>
      </x:c>
      <x:c r="K100" t="str">
        <x:v>Vendor follow-up</x:v>
      </x:c>
      <x:c r="L100" s="34" t="n">
        <x:f>IF(OR(F100="Completed",H100=""),0,MAX(0,'Executive Dashboard'!$B$4-H100))</x:f>
        <x:v>26</x:v>
      </x:c>
    </x:row>
    <x:row r="101">
      <x:c r="A101" t="str">
        <x:v>ACT-096</x:v>
      </x:c>
      <x:c r="B101" t="str">
        <x:v>Logistics operational follow-up item 096</x:v>
      </x:c>
      <x:c r="C101" t="str">
        <x:v>Logistics</x:v>
      </x:c>
      <x:c r="D101" t="str">
        <x:v>Site Administrator</x:v>
      </x:c>
      <x:c r="E101" t="str">
        <x:v>Medium</x:v>
      </x:c>
      <x:c r="F101" t="str">
        <x:v>Completed</x:v>
      </x:c>
      <x:c r="G101" s="30" t="n">
        <x:v>46176</x:v>
      </x:c>
      <x:c r="H101" s="30" t="n">
        <x:v>46203</x:v>
      </x:c>
      <x:c r="I101" s="30" t="n">
        <x:v>46204</x:v>
      </x:c>
      <x:c r="J101" s="32" t="n">
        <x:v>1</x:v>
      </x:c>
      <x:c r="K101" t="str">
        <x:v>Vendor follow-up</x:v>
      </x:c>
      <x:c r="L101" s="34" t="n">
        <x:f>IF(OR(F101="Completed",H101=""),0,MAX(0,'Executive Dashboard'!$B$4-H101))</x:f>
        <x:v>0</x:v>
      </x:c>
    </x:row>
    <x:row r="102">
      <x:c r="A102" t="str">
        <x:v>ACT-097</x:v>
      </x:c>
      <x:c r="B102" t="str">
        <x:v>Procurement operational follow-up item 097</x:v>
      </x:c>
      <x:c r="C102" t="str">
        <x:v>Procurement</x:v>
      </x:c>
      <x:c r="D102" t="str">
        <x:v>Site Administrator</x:v>
      </x:c>
      <x:c r="E102" t="str">
        <x:v>Critical</x:v>
      </x:c>
      <x:c r="F102" t="str">
        <x:v>Completed</x:v>
      </x:c>
      <x:c r="G102" s="30" t="n">
        <x:v>46176</x:v>
      </x:c>
      <x:c r="H102" s="30" t="n">
        <x:v>46199</x:v>
      </x:c>
      <x:c r="I102" s="30" t="n">
        <x:v>46201</x:v>
      </x:c>
      <x:c r="J102" s="32" t="n">
        <x:v>1</x:v>
      </x:c>
      <x:c r="K102" t="str">
        <x:v>Internal coordination</x:v>
      </x:c>
      <x:c r="L102" s="34" t="n">
        <x:f>IF(OR(F102="Completed",H102=""),0,MAX(0,'Executive Dashboard'!$B$4-H102))</x:f>
        <x:v>0</x:v>
      </x:c>
    </x:row>
    <x:row r="103">
      <x:c r="A103" t="str">
        <x:v>ACT-098</x:v>
      </x:c>
      <x:c r="B103" t="str">
        <x:v>Fleet &amp; Transportation operational follow-up item 098</x:v>
      </x:c>
      <x:c r="C103" t="str">
        <x:v>Fleet &amp; Transportation</x:v>
      </x:c>
      <x:c r="D103" t="str">
        <x:v>Fleet Supervisor</x:v>
      </x:c>
      <x:c r="E103" t="str">
        <x:v>Critical</x:v>
      </x:c>
      <x:c r="F103" t="str">
        <x:v>Completed</x:v>
      </x:c>
      <x:c r="G103" s="30" t="n">
        <x:v>46164</x:v>
      </x:c>
      <x:c r="H103" s="30" t="n">
        <x:v>46191</x:v>
      </x:c>
      <x:c r="I103" s="30" t="n">
        <x:v>46196</x:v>
      </x:c>
      <x:c r="J103" s="32" t="n">
        <x:v>1</x:v>
      </x:c>
      <x:c r="K103" t="str">
        <x:v>Internal coordination</x:v>
      </x:c>
      <x:c r="L103" s="34" t="n">
        <x:f>IF(OR(F103="Completed",H103=""),0,MAX(0,'Executive Dashboard'!$B$4-H103))</x:f>
        <x:v>0</x:v>
      </x:c>
    </x:row>
    <x:row r="104">
      <x:c r="A104" t="str">
        <x:v>ACT-099</x:v>
      </x:c>
      <x:c r="B104" t="str">
        <x:v>Document Control operational follow-up item 099</x:v>
      </x:c>
      <x:c r="C104" t="str">
        <x:v>Document Control</x:v>
      </x:c>
      <x:c r="D104" t="str">
        <x:v>Site Administrator</x:v>
      </x:c>
      <x:c r="E104" t="str">
        <x:v>High</x:v>
      </x:c>
      <x:c r="F104" t="str">
        <x:v>Completed</x:v>
      </x:c>
      <x:c r="G104" s="30" t="n">
        <x:v>46175</x:v>
      </x:c>
      <x:c r="H104" s="30" t="n">
        <x:v>46182</x:v>
      </x:c>
      <x:c r="I104" s="30" t="n">
        <x:v>46182</x:v>
      </x:c>
      <x:c r="J104" s="32" t="n">
        <x:v>1</x:v>
      </x:c>
      <x:c r="K104" t="str">
        <x:v>Commercial follow-up</x:v>
      </x:c>
      <x:c r="L104" s="34" t="n">
        <x:f>IF(OR(F104="Completed",H104=""),0,MAX(0,'Executive Dashboard'!$B$4-H104))</x:f>
        <x:v>0</x:v>
      </x:c>
    </x:row>
    <x:row r="105">
      <x:c r="A105" t="str">
        <x:v>ACT-100</x:v>
      </x:c>
      <x:c r="B105" t="str">
        <x:v>Logistics operational follow-up item 100</x:v>
      </x:c>
      <x:c r="C105" t="str">
        <x:v>Logistics</x:v>
      </x:c>
      <x:c r="D105" t="str">
        <x:v>Finance Lead</x:v>
      </x:c>
      <x:c r="E105" t="str">
        <x:v>Medium</x:v>
      </x:c>
      <x:c r="F105" t="str">
        <x:v>In Progress</x:v>
      </x:c>
      <x:c r="G105" s="30" t="n">
        <x:v>46169</x:v>
      </x:c>
      <x:c r="H105" s="30" t="n">
        <x:v>46188</x:v>
      </x:c>
      <x:c r="I105" s="30"/>
      <x:c r="J105" s="32" t="n">
        <x:v>0.25</x:v>
      </x:c>
      <x:c r="K105" t="str">
        <x:v>Commercial follow-up</x:v>
      </x:c>
      <x:c r="L105" s="34" t="n">
        <x:f>IF(OR(F105="Completed",H105=""),0,MAX(0,'Executive Dashboard'!$B$4-H105))</x:f>
        <x:v>42</x:v>
      </x:c>
    </x:row>
    <x:row r="106">
      <x:c r="A106" t="str">
        <x:v>ACT-101</x:v>
      </x:c>
      <x:c r="B106" t="str">
        <x:v>Warehouse operational follow-up item 101</x:v>
      </x:c>
      <x:c r="C106" t="str">
        <x:v>Warehouse</x:v>
      </x:c>
      <x:c r="D106" t="str">
        <x:v>Finance Lead</x:v>
      </x:c>
      <x:c r="E106" t="str">
        <x:v>Medium</x:v>
      </x:c>
      <x:c r="F106" t="str">
        <x:v>Completed</x:v>
      </x:c>
      <x:c r="G106" s="30" t="n">
        <x:v>46155</x:v>
      </x:c>
      <x:c r="H106" s="30" t="n">
        <x:v>46168</x:v>
      </x:c>
      <x:c r="I106" s="30" t="n">
        <x:v>46169</x:v>
      </x:c>
      <x:c r="J106" s="32" t="n">
        <x:v>1</x:v>
      </x:c>
      <x:c r="K106" t="str">
        <x:v>Internal coordination</x:v>
      </x:c>
      <x:c r="L106" s="34" t="n">
        <x:f>IF(OR(F106="Completed",H106=""),0,MAX(0,'Executive Dashboard'!$B$4-H106))</x:f>
        <x:v>0</x:v>
      </x:c>
    </x:row>
    <x:row r="107">
      <x:c r="A107" t="str">
        <x:v>ACT-102</x:v>
      </x:c>
      <x:c r="B107" t="str">
        <x:v>Finance operational follow-up item 102</x:v>
      </x:c>
      <x:c r="C107" t="str">
        <x:v>Finance</x:v>
      </x:c>
      <x:c r="D107" t="str">
        <x:v>Site Administrator</x:v>
      </x:c>
      <x:c r="E107" t="str">
        <x:v>Medium</x:v>
      </x:c>
      <x:c r="F107" t="str">
        <x:v>Completed</x:v>
      </x:c>
      <x:c r="G107" s="30" t="n">
        <x:v>46172</x:v>
      </x:c>
      <x:c r="H107" s="30" t="n">
        <x:v>46186</x:v>
      </x:c>
      <x:c r="I107" s="30" t="n">
        <x:v>46190</x:v>
      </x:c>
      <x:c r="J107" s="32" t="n">
        <x:v>1</x:v>
      </x:c>
      <x:c r="K107" t="str">
        <x:v>Site action</x:v>
      </x:c>
      <x:c r="L107" s="34" t="n">
        <x:f>IF(OR(F107="Completed",H107=""),0,MAX(0,'Executive Dashboard'!$B$4-H107))</x:f>
        <x:v>0</x:v>
      </x:c>
    </x:row>
    <x:row r="108">
      <x:c r="A108" t="str">
        <x:v>ACT-103</x:v>
      </x:c>
      <x:c r="B108" t="str">
        <x:v>Executive Office operational follow-up item 103</x:v>
      </x:c>
      <x:c r="C108" t="str">
        <x:v>Executive Office</x:v>
      </x:c>
      <x:c r="D108" t="str">
        <x:v>Admin Manager</x:v>
      </x:c>
      <x:c r="E108" t="str">
        <x:v>Medium</x:v>
      </x:c>
      <x:c r="F108" t="str">
        <x:v>Completed</x:v>
      </x:c>
      <x:c r="G108" s="30" t="n">
        <x:v>46211</x:v>
      </x:c>
      <x:c r="H108" s="30" t="n">
        <x:v>46224</x:v>
      </x:c>
      <x:c r="I108" s="30" t="n">
        <x:v>46229</x:v>
      </x:c>
      <x:c r="J108" s="32" t="n">
        <x:v>1</x:v>
      </x:c>
      <x:c r="K108" t="str">
        <x:v>Internal coordination</x:v>
      </x:c>
      <x:c r="L108" s="34" t="n">
        <x:f>IF(OR(F108="Completed",H108=""),0,MAX(0,'Executive Dashboard'!$B$4-H108))</x:f>
        <x:v>0</x:v>
      </x:c>
    </x:row>
    <x:row r="109">
      <x:c r="A109" t="str">
        <x:v>ACT-104</x:v>
      </x:c>
      <x:c r="B109" t="str">
        <x:v>Executive Office operational follow-up item 104</x:v>
      </x:c>
      <x:c r="C109" t="str">
        <x:v>Executive Office</x:v>
      </x:c>
      <x:c r="D109" t="str">
        <x:v>Executive Office</x:v>
      </x:c>
      <x:c r="E109" t="str">
        <x:v>Critical</x:v>
      </x:c>
      <x:c r="F109" t="str">
        <x:v>Completed</x:v>
      </x:c>
      <x:c r="G109" s="30" t="n">
        <x:v>46212</x:v>
      </x:c>
      <x:c r="H109" s="30" t="n">
        <x:v>46228</x:v>
      </x:c>
      <x:c r="I109" s="30" t="n">
        <x:v>46221</x:v>
      </x:c>
      <x:c r="J109" s="32" t="n">
        <x:v>1</x:v>
      </x:c>
      <x:c r="K109" t="str">
        <x:v>Management review</x:v>
      </x:c>
      <x:c r="L109" s="34" t="n">
        <x:f>IF(OR(F109="Completed",H109=""),0,MAX(0,'Executive Dashboard'!$B$4-H109))</x:f>
        <x:v>0</x:v>
      </x:c>
    </x:row>
    <x:row r="110">
      <x:c r="A110" t="str">
        <x:v>ACT-105</x:v>
      </x:c>
      <x:c r="B110" t="str">
        <x:v>Document Control operational follow-up item 105</x:v>
      </x:c>
      <x:c r="C110" t="str">
        <x:v>Document Control</x:v>
      </x:c>
      <x:c r="D110" t="str">
        <x:v>Finance Lead</x:v>
      </x:c>
      <x:c r="E110" t="str">
        <x:v>Medium</x:v>
      </x:c>
      <x:c r="F110" t="str">
        <x:v>In Progress</x:v>
      </x:c>
      <x:c r="G110" s="30" t="n">
        <x:v>46189</x:v>
      </x:c>
      <x:c r="H110" s="30" t="n">
        <x:v>46202</x:v>
      </x:c>
      <x:c r="I110" s="30"/>
      <x:c r="J110" s="32" t="n">
        <x:v>0.5</x:v>
      </x:c>
      <x:c r="K110" t="str">
        <x:v>Management review</x:v>
      </x:c>
      <x:c r="L110" s="34" t="n">
        <x:f>IF(OR(F110="Completed",H110=""),0,MAX(0,'Executive Dashboard'!$B$4-H110))</x:f>
        <x:v>28</x:v>
      </x:c>
    </x:row>
    <x:row r="111">
      <x:c r="A111" t="str">
        <x:v>ACT-106</x:v>
      </x:c>
      <x:c r="B111" t="str">
        <x:v>Procurement operational follow-up item 106</x:v>
      </x:c>
      <x:c r="C111" t="str">
        <x:v>Procurement</x:v>
      </x:c>
      <x:c r="D111" t="str">
        <x:v>Document Controller</x:v>
      </x:c>
      <x:c r="E111" t="str">
        <x:v>Medium</x:v>
      </x:c>
      <x:c r="F111" t="str">
        <x:v>In Progress</x:v>
      </x:c>
      <x:c r="G111" s="30" t="n">
        <x:v>46146</x:v>
      </x:c>
      <x:c r="H111" s="30" t="n">
        <x:v>46174</x:v>
      </x:c>
      <x:c r="I111" s="30"/>
      <x:c r="J111" s="32" t="n">
        <x:v>0.85</x:v>
      </x:c>
      <x:c r="K111" t="str">
        <x:v>Vendor follow-up</x:v>
      </x:c>
      <x:c r="L111" s="34" t="n">
        <x:f>IF(OR(F111="Completed",H111=""),0,MAX(0,'Executive Dashboard'!$B$4-H111))</x:f>
        <x:v>56</x:v>
      </x:c>
    </x:row>
    <x:row r="112">
      <x:c r="A112" t="str">
        <x:v>ACT-107</x:v>
      </x:c>
      <x:c r="B112" t="str">
        <x:v>Project Administration operational follow-up item 107</x:v>
      </x:c>
      <x:c r="C112" t="str">
        <x:v>Project Administration</x:v>
      </x:c>
      <x:c r="D112" t="str">
        <x:v>Site Administrator</x:v>
      </x:c>
      <x:c r="E112" t="str">
        <x:v>Medium</x:v>
      </x:c>
      <x:c r="F112" t="str">
        <x:v>In Progress</x:v>
      </x:c>
      <x:c r="G112" s="30" t="n">
        <x:v>46151</x:v>
      </x:c>
      <x:c r="H112" s="30" t="n">
        <x:v>46180</x:v>
      </x:c>
      <x:c r="I112" s="30"/>
      <x:c r="J112" s="32" t="n">
        <x:v>0.5</x:v>
      </x:c>
      <x:c r="K112" t="str">
        <x:v>Commercial follow-up</x:v>
      </x:c>
      <x:c r="L112" s="34" t="n">
        <x:f>IF(OR(F112="Completed",H112=""),0,MAX(0,'Executive Dashboard'!$B$4-H112))</x:f>
        <x:v>50</x:v>
      </x:c>
    </x:row>
    <x:row r="113">
      <x:c r="A113" t="str">
        <x:v>ACT-108</x:v>
      </x:c>
      <x:c r="B113" t="str">
        <x:v>Warehouse operational follow-up item 108</x:v>
      </x:c>
      <x:c r="C113" t="str">
        <x:v>Warehouse</x:v>
      </x:c>
      <x:c r="D113" t="str">
        <x:v>Fleet Supervisor</x:v>
      </x:c>
      <x:c r="E113" t="str">
        <x:v>Medium</x:v>
      </x:c>
      <x:c r="F113" t="str">
        <x:v>On Hold</x:v>
      </x:c>
      <x:c r="G113" s="30" t="n">
        <x:v>46222</x:v>
      </x:c>
      <x:c r="H113" s="30" t="n">
        <x:v>46240</x:v>
      </x:c>
      <x:c r="I113" s="30"/>
      <x:c r="J113" s="32" t="n">
        <x:v>0.1</x:v>
      </x:c>
      <x:c r="K113" t="str">
        <x:v>Internal coordination</x:v>
      </x:c>
      <x:c r="L113" s="34" t="n">
        <x:f>IF(OR(F113="Completed",H113=""),0,MAX(0,'Executive Dashboard'!$B$4-H113))</x:f>
        <x:v>0</x:v>
      </x:c>
    </x:row>
    <x:row r="114">
      <x:c r="A114" t="str">
        <x:v>ACT-109</x:v>
      </x:c>
      <x:c r="B114" t="str">
        <x:v>Project Administration operational follow-up item 109</x:v>
      </x:c>
      <x:c r="C114" t="str">
        <x:v>Project Administration</x:v>
      </x:c>
      <x:c r="D114" t="str">
        <x:v>Logistics Manager</x:v>
      </x:c>
      <x:c r="E114" t="str">
        <x:v>Low</x:v>
      </x:c>
      <x:c r="F114" t="str">
        <x:v>In Progress</x:v>
      </x:c>
      <x:c r="G114" s="30" t="n">
        <x:v>46153</x:v>
      </x:c>
      <x:c r="H114" s="30" t="n">
        <x:v>46179</x:v>
      </x:c>
      <x:c r="I114" s="30"/>
      <x:c r="J114" s="32" t="n">
        <x:v>0.4</x:v>
      </x:c>
      <x:c r="K114" t="str">
        <x:v>Site action</x:v>
      </x:c>
      <x:c r="L114" s="34" t="n">
        <x:f>IF(OR(F114="Completed",H114=""),0,MAX(0,'Executive Dashboard'!$B$4-H114))</x:f>
        <x:v>51</x:v>
      </x:c>
    </x:row>
    <x:row r="115">
      <x:c r="A115" t="str">
        <x:v>ACT-110</x:v>
      </x:c>
      <x:c r="B115" t="str">
        <x:v>Fleet &amp; Transportation operational follow-up item 110</x:v>
      </x:c>
      <x:c r="C115" t="str">
        <x:v>Fleet &amp; Transportation</x:v>
      </x:c>
      <x:c r="D115" t="str">
        <x:v>Site Administrator</x:v>
      </x:c>
      <x:c r="E115" t="str">
        <x:v>Medium</x:v>
      </x:c>
      <x:c r="F115" t="str">
        <x:v>Open</x:v>
      </x:c>
      <x:c r="G115" s="30" t="n">
        <x:v>46197</x:v>
      </x:c>
      <x:c r="H115" s="30" t="n">
        <x:v>46213</x:v>
      </x:c>
      <x:c r="I115" s="30"/>
      <x:c r="J115" s="32" t="n">
        <x:v>0</x:v>
      </x:c>
      <x:c r="K115" t="str">
        <x:v>Site action</x:v>
      </x:c>
      <x:c r="L115" s="34" t="n">
        <x:f>IF(OR(F115="Completed",H115=""),0,MAX(0,'Executive Dashboard'!$B$4-H115))</x:f>
        <x:v>17</x:v>
      </x:c>
    </x:row>
    <x:row r="116">
      <x:c r="A116" t="str">
        <x:v>ACT-111</x:v>
      </x:c>
      <x:c r="B116" t="str">
        <x:v>Fleet &amp; Transportation operational follow-up item 111</x:v>
      </x:c>
      <x:c r="C116" t="str">
        <x:v>Fleet &amp; Transportation</x:v>
      </x:c>
      <x:c r="D116" t="str">
        <x:v>Document Controller</x:v>
      </x:c>
      <x:c r="E116" t="str">
        <x:v>Critical</x:v>
      </x:c>
      <x:c r="F116" t="str">
        <x:v>Open</x:v>
      </x:c>
      <x:c r="G116" s="30" t="n">
        <x:v>46194</x:v>
      </x:c>
      <x:c r="H116" s="30" t="n">
        <x:v>46203</x:v>
      </x:c>
      <x:c r="I116" s="30"/>
      <x:c r="J116" s="32" t="n">
        <x:v>0.1</x:v>
      </x:c>
      <x:c r="K116" t="str">
        <x:v>Vendor follow-up</x:v>
      </x:c>
      <x:c r="L116" s="34" t="n">
        <x:f>IF(OR(F116="Completed",H116=""),0,MAX(0,'Executive Dashboard'!$B$4-H116))</x:f>
        <x:v>27</x:v>
      </x:c>
    </x:row>
    <x:row r="117">
      <x:c r="A117" t="str">
        <x:v>ACT-112</x:v>
      </x:c>
      <x:c r="B117" t="str">
        <x:v>Executive Office operational follow-up item 112</x:v>
      </x:c>
      <x:c r="C117" t="str">
        <x:v>Executive Office</x:v>
      </x:c>
      <x:c r="D117" t="str">
        <x:v>Document Controller</x:v>
      </x:c>
      <x:c r="E117" t="str">
        <x:v>Medium</x:v>
      </x:c>
      <x:c r="F117" t="str">
        <x:v>Open</x:v>
      </x:c>
      <x:c r="G117" s="30" t="n">
        <x:v>46151</x:v>
      </x:c>
      <x:c r="H117" s="30" t="n">
        <x:v>46161</x:v>
      </x:c>
      <x:c r="I117" s="30"/>
      <x:c r="J117" s="32" t="n">
        <x:v>0.1</x:v>
      </x:c>
      <x:c r="K117" t="str">
        <x:v>Commercial follow-up</x:v>
      </x:c>
      <x:c r="L117" s="34" t="n">
        <x:f>IF(OR(F117="Completed",H117=""),0,MAX(0,'Executive Dashboard'!$B$4-H117))</x:f>
        <x:v>69</x:v>
      </x:c>
    </x:row>
    <x:row r="118">
      <x:c r="A118" t="str">
        <x:v>ACT-113</x:v>
      </x:c>
      <x:c r="B118" t="str">
        <x:v>Document Control operational follow-up item 113</x:v>
      </x:c>
      <x:c r="C118" t="str">
        <x:v>Document Control</x:v>
      </x:c>
      <x:c r="D118" t="str">
        <x:v>Logistics Manager</x:v>
      </x:c>
      <x:c r="E118" t="str">
        <x:v>Medium</x:v>
      </x:c>
      <x:c r="F118" t="str">
        <x:v>Open</x:v>
      </x:c>
      <x:c r="G118" s="30" t="n">
        <x:v>46154</x:v>
      </x:c>
      <x:c r="H118" s="30" t="n">
        <x:v>46175</x:v>
      </x:c>
      <x:c r="I118" s="30"/>
      <x:c r="J118" s="32" t="n">
        <x:v>0.1</x:v>
      </x:c>
      <x:c r="K118" t="str">
        <x:v>Management review</x:v>
      </x:c>
      <x:c r="L118" s="34" t="n">
        <x:f>IF(OR(F118="Completed",H118=""),0,MAX(0,'Executive Dashboard'!$B$4-H118))</x:f>
        <x:v>55</x:v>
      </x:c>
    </x:row>
    <x:row r="119">
      <x:c r="A119" t="str">
        <x:v>ACT-114</x:v>
      </x:c>
      <x:c r="B119" t="str">
        <x:v>Fleet &amp; Transportation operational follow-up item 114</x:v>
      </x:c>
      <x:c r="C119" t="str">
        <x:v>Fleet &amp; Transportation</x:v>
      </x:c>
      <x:c r="D119" t="str">
        <x:v>HR Manager</x:v>
      </x:c>
      <x:c r="E119" t="str">
        <x:v>High</x:v>
      </x:c>
      <x:c r="F119" t="str">
        <x:v>Open</x:v>
      </x:c>
      <x:c r="G119" s="30" t="n">
        <x:v>46208</x:v>
      </x:c>
      <x:c r="H119" s="30" t="n">
        <x:v>46228</x:v>
      </x:c>
      <x:c r="I119" s="30"/>
      <x:c r="J119" s="32" t="n">
        <x:v>0</x:v>
      </x:c>
      <x:c r="K119" t="str">
        <x:v>Site action</x:v>
      </x:c>
      <x:c r="L119" s="34" t="n">
        <x:f>IF(OR(F119="Completed",H119=""),0,MAX(0,'Executive Dashboard'!$B$4-H119))</x:f>
        <x:v>2</x:v>
      </x:c>
    </x:row>
    <x:row r="120">
      <x:c r="A120" t="str">
        <x:v>ACT-115</x:v>
      </x:c>
      <x:c r="B120" t="str">
        <x:v>Fleet &amp; Transportation operational follow-up item 115</x:v>
      </x:c>
      <x:c r="C120" t="str">
        <x:v>Fleet &amp; Transportation</x:v>
      </x:c>
      <x:c r="D120" t="str">
        <x:v>Document Controller</x:v>
      </x:c>
      <x:c r="E120" t="str">
        <x:v>Medium</x:v>
      </x:c>
      <x:c r="F120" t="str">
        <x:v>In Progress</x:v>
      </x:c>
      <x:c r="G120" s="30" t="n">
        <x:v>46196</x:v>
      </x:c>
      <x:c r="H120" s="30" t="n">
        <x:v>46211</x:v>
      </x:c>
      <x:c r="I120" s="30"/>
      <x:c r="J120" s="32" t="n">
        <x:v>0.5</x:v>
      </x:c>
      <x:c r="K120" t="str">
        <x:v>Site action</x:v>
      </x:c>
      <x:c r="L120" s="34" t="n">
        <x:f>IF(OR(F120="Completed",H120=""),0,MAX(0,'Executive Dashboard'!$B$4-H120))</x:f>
        <x:v>19</x:v>
      </x:c>
    </x:row>
    <x:row r="121">
      <x:c r="A121" t="str">
        <x:v>ACT-116</x:v>
      </x:c>
      <x:c r="B121" t="str">
        <x:v>Fleet &amp; Transportation operational follow-up item 116</x:v>
      </x:c>
      <x:c r="C121" t="str">
        <x:v>Fleet &amp; Transportation</x:v>
      </x:c>
      <x:c r="D121" t="str">
        <x:v>HR Manager</x:v>
      </x:c>
      <x:c r="E121" t="str">
        <x:v>Critical</x:v>
      </x:c>
      <x:c r="F121" t="str">
        <x:v>Completed</x:v>
      </x:c>
      <x:c r="G121" s="30" t="n">
        <x:v>46220</x:v>
      </x:c>
      <x:c r="H121" s="30" t="n">
        <x:v>46223</x:v>
      </x:c>
      <x:c r="I121" s="30" t="n">
        <x:v>46232</x:v>
      </x:c>
      <x:c r="J121" s="32" t="n">
        <x:v>1</x:v>
      </x:c>
      <x:c r="K121" t="str">
        <x:v>Commercial follow-up</x:v>
      </x:c>
      <x:c r="L121" s="34" t="n">
        <x:f>IF(OR(F121="Completed",H121=""),0,MAX(0,'Executive Dashboard'!$B$4-H121))</x:f>
        <x:v>0</x:v>
      </x:c>
    </x:row>
    <x:row r="122">
      <x:c r="A122" t="str">
        <x:v>ACT-117</x:v>
      </x:c>
      <x:c r="B122" t="str">
        <x:v>Executive Office operational follow-up item 117</x:v>
      </x:c>
      <x:c r="C122" t="str">
        <x:v>Executive Office</x:v>
      </x:c>
      <x:c r="D122" t="str">
        <x:v>HR Manager</x:v>
      </x:c>
      <x:c r="E122" t="str">
        <x:v>Low</x:v>
      </x:c>
      <x:c r="F122" t="str">
        <x:v>Completed</x:v>
      </x:c>
      <x:c r="G122" s="30" t="n">
        <x:v>46195</x:v>
      </x:c>
      <x:c r="H122" s="30" t="n">
        <x:v>46203</x:v>
      </x:c>
      <x:c r="I122" s="30" t="n">
        <x:v>46211</x:v>
      </x:c>
      <x:c r="J122" s="32" t="n">
        <x:v>1</x:v>
      </x:c>
      <x:c r="K122" t="str">
        <x:v>Vendor follow-up</x:v>
      </x:c>
      <x:c r="L122" s="34" t="n">
        <x:f>IF(OR(F122="Completed",H122=""),0,MAX(0,'Executive Dashboard'!$B$4-H122))</x:f>
        <x:v>0</x:v>
      </x:c>
    </x:row>
    <x:row r="123">
      <x:c r="A123" t="str">
        <x:v>ACT-118</x:v>
      </x:c>
      <x:c r="B123" t="str">
        <x:v>Executive Office operational follow-up item 118</x:v>
      </x:c>
      <x:c r="C123" t="str">
        <x:v>Executive Office</x:v>
      </x:c>
      <x:c r="D123" t="str">
        <x:v>Executive Office</x:v>
      </x:c>
      <x:c r="E123" t="str">
        <x:v>High</x:v>
      </x:c>
      <x:c r="F123" t="str">
        <x:v>On Hold</x:v>
      </x:c>
      <x:c r="G123" s="30" t="n">
        <x:v>46167</x:v>
      </x:c>
      <x:c r="H123" s="30" t="n">
        <x:v>46192</x:v>
      </x:c>
      <x:c r="I123" s="30"/>
      <x:c r="J123" s="32" t="n">
        <x:v>0.1</x:v>
      </x:c>
      <x:c r="K123" t="str">
        <x:v>Site action</x:v>
      </x:c>
      <x:c r="L123" s="34" t="n">
        <x:f>IF(OR(F123="Completed",H123=""),0,MAX(0,'Executive Dashboard'!$B$4-H123))</x:f>
        <x:v>38</x:v>
      </x:c>
    </x:row>
    <x:row r="124">
      <x:c r="A124" t="str">
        <x:v>ACT-119</x:v>
      </x:c>
      <x:c r="B124" t="str">
        <x:v>Construction operational follow-up item 119</x:v>
      </x:c>
      <x:c r="C124" t="str">
        <x:v>Construction</x:v>
      </x:c>
      <x:c r="D124" t="str">
        <x:v>Logistics Manager</x:v>
      </x:c>
      <x:c r="E124" t="str">
        <x:v>Medium</x:v>
      </x:c>
      <x:c r="F124" t="str">
        <x:v>Open</x:v>
      </x:c>
      <x:c r="G124" s="30" t="n">
        <x:v>46210</x:v>
      </x:c>
      <x:c r="H124" s="30" t="n">
        <x:v>46221</x:v>
      </x:c>
      <x:c r="I124" s="30"/>
      <x:c r="J124" s="32" t="n">
        <x:v>0.1</x:v>
      </x:c>
      <x:c r="K124" t="str">
        <x:v>Internal coordination</x:v>
      </x:c>
      <x:c r="L124" s="34" t="n">
        <x:f>IF(OR(F124="Completed",H124=""),0,MAX(0,'Executive Dashboard'!$B$4-H124))</x:f>
        <x:v>9</x:v>
      </x:c>
    </x:row>
    <x:row r="125">
      <x:c r="A125" t="str">
        <x:v>ACT-120</x:v>
      </x:c>
      <x:c r="B125" t="str">
        <x:v>Human Resources operational follow-up item 120</x:v>
      </x:c>
      <x:c r="C125" t="str">
        <x:v>Human Resources</x:v>
      </x:c>
      <x:c r="D125" t="str">
        <x:v>Finance Lead</x:v>
      </x:c>
      <x:c r="E125" t="str">
        <x:v>High</x:v>
      </x:c>
      <x:c r="F125" t="str">
        <x:v>Open</x:v>
      </x:c>
      <x:c r="G125" s="30" t="n">
        <x:v>46222</x:v>
      </x:c>
      <x:c r="H125" s="30" t="n">
        <x:v>46252</x:v>
      </x:c>
      <x:c r="I125" s="30"/>
      <x:c r="J125" s="32" t="n">
        <x:v>0.3</x:v>
      </x:c>
      <x:c r="K125" t="str">
        <x:v>Commercial follow-up</x:v>
      </x:c>
      <x:c r="L125" s="34" t="n">
        <x:f>IF(OR(F125="Completed",H125=""),0,MAX(0,'Executive Dashboard'!$B$4-H125))</x:f>
        <x:v>0</x:v>
      </x:c>
    </x:row>
  </x:sheetData>
  <x:mergeCells>
    <x:mergeCell ref="A1:L2"/>
    <x:mergeCell ref="A3:L3"/>
  </x:mergeCells>
  <x:conditionalFormatting sqref="E6:E125">
    <x:cfRule type="expression" dxfId="0" priority="1">
      <x:formula>E6="Critical"</x:formula>
    </x:cfRule>
    <x:cfRule type="expression" dxfId="1" priority="2">
      <x:formula>E6="High"</x:formula>
    </x:cfRule>
  </x:conditionalFormatting>
  <x:conditionalFormatting sqref="F6:F125">
    <x:cfRule type="expression" dxfId="2" priority="3">
      <x:formula>F6="Completed"</x:formula>
    </x:cfRule>
  </x:conditionalFormatting>
  <x:conditionalFormatting sqref="L6:L125">
    <x:cfRule type="cellIs" dxfId="3" priority="4" operator="greaterThan">
      <x:formula>0</x:formula>
    </x:cfRule>
  </x:conditionalFormatting>
  <x:conditionalFormatting sqref="J6:J125">
    <x:cfRule type="dataBar" priority="5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{D5A24056-B1F6-B34C-4DE8-8F330CE49884}</x14:id>
        </x:ext>
      </x:extLst>
    </x:cfRule>
  </x:conditionalFormatting>
  <x:dataValidations count="4">
    <x:dataValidation type="list" sqref="C6:C125">
      <x:formula1>"Construction,Logistics,Fleet &amp; Transportation,Project Administration,Warehouse,Procurement,Document Control,Finance,Human Resources,Executive Office"</x:formula1>
    </x:dataValidation>
    <x:dataValidation type="list" sqref="D6:D125">
      <x:formula1>"Project Manager,Admin Manager,Logistics Manager,HR Manager,Procurement Lead,Finance Lead,Document Controller,Fleet Supervisor,Site Administrator,Executive Office"</x:formula1>
    </x:dataValidation>
    <x:dataValidation type="list" sqref="E6:E125">
      <x:formula1>"Critical,High,Medium,Low"</x:formula1>
    </x:dataValidation>
    <x:dataValidation type="list" sqref="F6:F125">
      <x:formula1>"Open,In Progress,Completed,On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fdcf72396941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D5A24056-B1F6-B34C-4DE8-8F330CE49884}">
            <x14:dataBar gradient="1">
              <x14:cfvo type="min"/>
              <x14:cfvo type="max"/>
              <x14:fillColor rgb="FF2F80ED"/>
            </x14:dataBar>
          </x14:cfRule>
          <xm:sqref>J6:J125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12" hidden="0" customWidth="1"/>
    <x:col min="11" max="11" width="14" hidden="0" customWidth="1"/>
  </x:cols>
  <x:sheetData>
    <x:row r="1">
      <x:c r="A1" s="10" t="str">
        <x:v>WORKFORCE &amp; ATTENDANCE MANAGEMENT REPORT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37" t="str">
        <x:v>Synthetic monthly workforce sample | Attendance • Worked hours • Absence • Late incidents • Overtime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5">
      <x:c r="A5" s="23" t="str">
        <x:v>Employee ID</x:v>
      </x:c>
      <x:c r="B5" s="23" t="str">
        <x:v>Employee Name</x:v>
      </x:c>
      <x:c r="C5" s="23" t="str">
        <x:v>Department</x:v>
      </x:c>
      <x:c r="D5" s="23" t="str">
        <x:v>Site</x:v>
      </x:c>
      <x:c r="E5" s="23" t="str">
        <x:v>Employment Status</x:v>
      </x:c>
      <x:c r="F5" s="23" t="str">
        <x:v>Scheduled Hrs</x:v>
      </x:c>
      <x:c r="G5" s="23" t="str">
        <x:v>Worked Hrs</x:v>
      </x:c>
      <x:c r="H5" s="23" t="str">
        <x:v>Absent Days</x:v>
      </x:c>
      <x:c r="I5" s="23" t="str">
        <x:v>Late Incidents</x:v>
      </x:c>
      <x:c r="J5" s="23" t="str">
        <x:v>OT Hours</x:v>
      </x:c>
      <x:c r="K5" s="23" t="str">
        <x:v>Attendance %</x:v>
      </x:c>
    </x:row>
    <x:row r="6">
      <x:c r="A6" t="str">
        <x:v>EMP0001</x:v>
      </x:c>
      <x:c r="B6" t="str">
        <x:v>Employee 001</x:v>
      </x:c>
      <x:c r="C6" t="str">
        <x:v>Construction</x:v>
      </x:c>
      <x:c r="D6" t="str">
        <x:v>Base Camp</x:v>
      </x:c>
      <x:c r="E6" t="str">
        <x:v>Active</x:v>
      </x:c>
      <x:c r="F6" t="n">
        <x:v>184</x:v>
      </x:c>
      <x:c r="G6" t="n">
        <x:v>173</x:v>
      </x:c>
      <x:c r="H6" t="n">
        <x:v>1.4</x:v>
      </x:c>
      <x:c r="I6" t="n">
        <x:v>0</x:v>
      </x:c>
      <x:c r="J6" t="n">
        <x:v>39.7</x:v>
      </x:c>
      <x:c r="K6" s="40" t="n">
        <x:v>0.9402173913043478</x:v>
      </x:c>
    </x:row>
    <x:row r="7">
      <x:c r="A7" t="str">
        <x:v>EMP0002</x:v>
      </x:c>
      <x:c r="B7" t="str">
        <x:v>Employee 002</x:v>
      </x:c>
      <x:c r="C7" t="str">
        <x:v>Finance</x:v>
      </x:c>
      <x:c r="D7" t="str">
        <x:v>Head Office</x:v>
      </x:c>
      <x:c r="E7" t="str">
        <x:v>On Leave</x:v>
      </x:c>
      <x:c r="F7" t="n">
        <x:v>192</x:v>
      </x:c>
      <x:c r="G7" t="n">
        <x:v>188</x:v>
      </x:c>
      <x:c r="H7" t="n">
        <x:v>0.5</x:v>
      </x:c>
      <x:c r="I7" t="n">
        <x:v>4</x:v>
      </x:c>
      <x:c r="J7" t="n">
        <x:v>35.1</x:v>
      </x:c>
      <x:c r="K7" s="40" t="n">
        <x:v>0.9791666666666666</x:v>
      </x:c>
    </x:row>
    <x:row r="8">
      <x:c r="A8" t="str">
        <x:v>EMP0003</x:v>
      </x:c>
      <x:c r="B8" t="str">
        <x:v>Employee 003</x:v>
      </x:c>
      <x:c r="C8" t="str">
        <x:v>Finance</x:v>
      </x:c>
      <x:c r="D8" t="str">
        <x:v>Head Office</x:v>
      </x:c>
      <x:c r="E8" t="str">
        <x:v>Active</x:v>
      </x:c>
      <x:c r="F8" t="n">
        <x:v>200</x:v>
      </x:c>
      <x:c r="G8" t="n">
        <x:v>169</x:v>
      </x:c>
      <x:c r="H8" t="n">
        <x:v>3.9</x:v>
      </x:c>
      <x:c r="I8" t="n">
        <x:v>4</x:v>
      </x:c>
      <x:c r="J8" t="n">
        <x:v>32.6</x:v>
      </x:c>
      <x:c r="K8" s="40" t="n">
        <x:v>0.845</x:v>
      </x:c>
    </x:row>
    <x:row r="9">
      <x:c r="A9" t="str">
        <x:v>EMP0004</x:v>
      </x:c>
      <x:c r="B9" t="str">
        <x:v>Employee 004</x:v>
      </x:c>
      <x:c r="C9" t="str">
        <x:v>Construction</x:v>
      </x:c>
      <x:c r="D9" t="str">
        <x:v>Head Office</x:v>
      </x:c>
      <x:c r="E9" t="str">
        <x:v>Active</x:v>
      </x:c>
      <x:c r="F9" t="n">
        <x:v>200</x:v>
      </x:c>
      <x:c r="G9" t="n">
        <x:v>186</x:v>
      </x:c>
      <x:c r="H9" t="n">
        <x:v>1.8</x:v>
      </x:c>
      <x:c r="I9" t="n">
        <x:v>1</x:v>
      </x:c>
      <x:c r="J9" t="n">
        <x:v>8.6</x:v>
      </x:c>
      <x:c r="K9" s="40" t="n">
        <x:v>0.93</x:v>
      </x:c>
    </x:row>
    <x:row r="10">
      <x:c r="A10" t="str">
        <x:v>EMP0005</x:v>
      </x:c>
      <x:c r="B10" t="str">
        <x:v>Employee 005</x:v>
      </x:c>
      <x:c r="C10" t="str">
        <x:v>Procurement</x:v>
      </x:c>
      <x:c r="D10" t="str">
        <x:v>West Site</x:v>
      </x:c>
      <x:c r="E10" t="str">
        <x:v>Active</x:v>
      </x:c>
      <x:c r="F10" t="n">
        <x:v>192</x:v>
      </x:c>
      <x:c r="G10" t="n">
        <x:v>162</x:v>
      </x:c>
      <x:c r="H10" t="n">
        <x:v>3.8</x:v>
      </x:c>
      <x:c r="I10" t="n">
        <x:v>5</x:v>
      </x:c>
      <x:c r="J10" t="n">
        <x:v>36.6</x:v>
      </x:c>
      <x:c r="K10" s="40" t="n">
        <x:v>0.84375</x:v>
      </x:c>
    </x:row>
    <x:row r="11">
      <x:c r="A11" t="str">
        <x:v>EMP0006</x:v>
      </x:c>
      <x:c r="B11" t="str">
        <x:v>Employee 006</x:v>
      </x:c>
      <x:c r="C11" t="str">
        <x:v>Fleet &amp; Transportation</x:v>
      </x:c>
      <x:c r="D11" t="str">
        <x:v>Base Camp</x:v>
      </x:c>
      <x:c r="E11" t="str">
        <x:v>Active</x:v>
      </x:c>
      <x:c r="F11" t="n">
        <x:v>192</x:v>
      </x:c>
      <x:c r="G11" t="n">
        <x:v>173</x:v>
      </x:c>
      <x:c r="H11" t="n">
        <x:v>2.4</x:v>
      </x:c>
      <x:c r="I11" t="n">
        <x:v>2</x:v>
      </x:c>
      <x:c r="J11" t="n">
        <x:v>4.9</x:v>
      </x:c>
      <x:c r="K11" s="40" t="n">
        <x:v>0.9010416666666666</x:v>
      </x:c>
    </x:row>
    <x:row r="12">
      <x:c r="A12" t="str">
        <x:v>EMP0007</x:v>
      </x:c>
      <x:c r="B12" t="str">
        <x:v>Employee 007</x:v>
      </x:c>
      <x:c r="C12" t="str">
        <x:v>Logistics</x:v>
      </x:c>
      <x:c r="D12" t="str">
        <x:v>East Site</x:v>
      </x:c>
      <x:c r="E12" t="str">
        <x:v>Active</x:v>
      </x:c>
      <x:c r="F12" t="n">
        <x:v>200</x:v>
      </x:c>
      <x:c r="G12" t="n">
        <x:v>191</x:v>
      </x:c>
      <x:c r="H12" t="n">
        <x:v>1.1</x:v>
      </x:c>
      <x:c r="I12" t="n">
        <x:v>4</x:v>
      </x:c>
      <x:c r="J12" t="n">
        <x:v>21.9</x:v>
      </x:c>
      <x:c r="K12" s="40" t="n">
        <x:v>0.955</x:v>
      </x:c>
    </x:row>
    <x:row r="13">
      <x:c r="A13" t="str">
        <x:v>EMP0008</x:v>
      </x:c>
      <x:c r="B13" t="str">
        <x:v>Employee 008</x:v>
      </x:c>
      <x:c r="C13" t="str">
        <x:v>Fleet &amp; Transportation</x:v>
      </x:c>
      <x:c r="D13" t="str">
        <x:v>Warehouse</x:v>
      </x:c>
      <x:c r="E13" t="str">
        <x:v>Active</x:v>
      </x:c>
      <x:c r="F13" t="n">
        <x:v>192</x:v>
      </x:c>
      <x:c r="G13" t="n">
        <x:v>186</x:v>
      </x:c>
      <x:c r="H13" t="n">
        <x:v>0.8</x:v>
      </x:c>
      <x:c r="I13" t="n">
        <x:v>2</x:v>
      </x:c>
      <x:c r="J13" t="n">
        <x:v>49.7</x:v>
      </x:c>
      <x:c r="K13" s="40" t="n">
        <x:v>0.96875</x:v>
      </x:c>
    </x:row>
    <x:row r="14">
      <x:c r="A14" t="str">
        <x:v>EMP0009</x:v>
      </x:c>
      <x:c r="B14" t="str">
        <x:v>Employee 009</x:v>
      </x:c>
      <x:c r="C14" t="str">
        <x:v>Logistics</x:v>
      </x:c>
      <x:c r="D14" t="str">
        <x:v>Base Camp</x:v>
      </x:c>
      <x:c r="E14" t="str">
        <x:v>Active</x:v>
      </x:c>
      <x:c r="F14" t="n">
        <x:v>184</x:v>
      </x:c>
      <x:c r="G14" t="n">
        <x:v>155</x:v>
      </x:c>
      <x:c r="H14" t="n">
        <x:v>3.6</x:v>
      </x:c>
      <x:c r="I14" t="n">
        <x:v>0</x:v>
      </x:c>
      <x:c r="J14" t="n">
        <x:v>8.4</x:v>
      </x:c>
      <x:c r="K14" s="40" t="n">
        <x:v>0.842391304347826</x:v>
      </x:c>
    </x:row>
    <x:row r="15">
      <x:c r="A15" t="str">
        <x:v>EMP0010</x:v>
      </x:c>
      <x:c r="B15" t="str">
        <x:v>Employee 010</x:v>
      </x:c>
      <x:c r="C15" t="str">
        <x:v>Project Administration</x:v>
      </x:c>
      <x:c r="D15" t="str">
        <x:v>Head Office</x:v>
      </x:c>
      <x:c r="E15" t="str">
        <x:v>Active</x:v>
      </x:c>
      <x:c r="F15" t="n">
        <x:v>176</x:v>
      </x:c>
      <x:c r="G15" t="n">
        <x:v>145</x:v>
      </x:c>
      <x:c r="H15" t="n">
        <x:v>3.9</x:v>
      </x:c>
      <x:c r="I15" t="n">
        <x:v>5</x:v>
      </x:c>
      <x:c r="J15" t="n">
        <x:v>22.9</x:v>
      </x:c>
      <x:c r="K15" s="40" t="n">
        <x:v>0.8238636363636364</x:v>
      </x:c>
    </x:row>
    <x:row r="16">
      <x:c r="A16" t="str">
        <x:v>EMP0011</x:v>
      </x:c>
      <x:c r="B16" t="str">
        <x:v>Employee 011</x:v>
      </x:c>
      <x:c r="C16" t="str">
        <x:v>Logistics</x:v>
      </x:c>
      <x:c r="D16" t="str">
        <x:v>Base Camp</x:v>
      </x:c>
      <x:c r="E16" t="str">
        <x:v>Active</x:v>
      </x:c>
      <x:c r="F16" t="n">
        <x:v>208</x:v>
      </x:c>
      <x:c r="G16" t="n">
        <x:v>176</x:v>
      </x:c>
      <x:c r="H16" t="n">
        <x:v>4</x:v>
      </x:c>
      <x:c r="I16" t="n">
        <x:v>0</x:v>
      </x:c>
      <x:c r="J16" t="n">
        <x:v>52.3</x:v>
      </x:c>
      <x:c r="K16" s="40" t="n">
        <x:v>0.8461538461538461</x:v>
      </x:c>
    </x:row>
    <x:row r="17">
      <x:c r="A17" t="str">
        <x:v>EMP0012</x:v>
      </x:c>
      <x:c r="B17" t="str">
        <x:v>Employee 012</x:v>
      </x:c>
      <x:c r="C17" t="str">
        <x:v>Document Control</x:v>
      </x:c>
      <x:c r="D17" t="str">
        <x:v>Base Camp</x:v>
      </x:c>
      <x:c r="E17" t="str">
        <x:v>Active</x:v>
      </x:c>
      <x:c r="F17" t="n">
        <x:v>192</x:v>
      </x:c>
      <x:c r="G17" t="n">
        <x:v>181</x:v>
      </x:c>
      <x:c r="H17" t="n">
        <x:v>1.4</x:v>
      </x:c>
      <x:c r="I17" t="n">
        <x:v>2</x:v>
      </x:c>
      <x:c r="J17" t="n">
        <x:v>21.2</x:v>
      </x:c>
      <x:c r="K17" s="40" t="n">
        <x:v>0.9427083333333334</x:v>
      </x:c>
    </x:row>
    <x:row r="18">
      <x:c r="A18" t="str">
        <x:v>EMP0013</x:v>
      </x:c>
      <x:c r="B18" t="str">
        <x:v>Employee 013</x:v>
      </x:c>
      <x:c r="C18" t="str">
        <x:v>Construction</x:v>
      </x:c>
      <x:c r="D18" t="str">
        <x:v>East Site</x:v>
      </x:c>
      <x:c r="E18" t="str">
        <x:v>Inactive</x:v>
      </x:c>
      <x:c r="F18" t="n">
        <x:v>176</x:v>
      </x:c>
      <x:c r="G18" t="n">
        <x:v>168</x:v>
      </x:c>
      <x:c r="H18" t="n">
        <x:v>1</x:v>
      </x:c>
      <x:c r="I18" t="n">
        <x:v>4</x:v>
      </x:c>
      <x:c r="J18" t="n">
        <x:v>36.1</x:v>
      </x:c>
      <x:c r="K18" s="40" t="n">
        <x:v>0.9545454545454546</x:v>
      </x:c>
    </x:row>
    <x:row r="19">
      <x:c r="A19" t="str">
        <x:v>EMP0014</x:v>
      </x:c>
      <x:c r="B19" t="str">
        <x:v>Employee 014</x:v>
      </x:c>
      <x:c r="C19" t="str">
        <x:v>Document Control</x:v>
      </x:c>
      <x:c r="D19" t="str">
        <x:v>Warehouse</x:v>
      </x:c>
      <x:c r="E19" t="str">
        <x:v>On Leave</x:v>
      </x:c>
      <x:c r="F19" t="n">
        <x:v>208</x:v>
      </x:c>
      <x:c r="G19" t="n">
        <x:v>197</x:v>
      </x:c>
      <x:c r="H19" t="n">
        <x:v>1.4</x:v>
      </x:c>
      <x:c r="I19" t="n">
        <x:v>1</x:v>
      </x:c>
      <x:c r="J19" t="n">
        <x:v>45.3</x:v>
      </x:c>
      <x:c r="K19" s="40" t="n">
        <x:v>0.9471153846153846</x:v>
      </x:c>
    </x:row>
    <x:row r="20">
      <x:c r="A20" t="str">
        <x:v>EMP0015</x:v>
      </x:c>
      <x:c r="B20" t="str">
        <x:v>Employee 015</x:v>
      </x:c>
      <x:c r="C20" t="str">
        <x:v>Project Administration</x:v>
      </x:c>
      <x:c r="D20" t="str">
        <x:v>Segment Factory</x:v>
      </x:c>
      <x:c r="E20" t="str">
        <x:v>Active</x:v>
      </x:c>
      <x:c r="F20" t="n">
        <x:v>192</x:v>
      </x:c>
      <x:c r="G20" t="n">
        <x:v>182</x:v>
      </x:c>
      <x:c r="H20" t="n">
        <x:v>1.2</x:v>
      </x:c>
      <x:c r="I20" t="n">
        <x:v>5</x:v>
      </x:c>
      <x:c r="J20" t="n">
        <x:v>15.6</x:v>
      </x:c>
      <x:c r="K20" s="40" t="n">
        <x:v>0.9479166666666666</x:v>
      </x:c>
    </x:row>
    <x:row r="21">
      <x:c r="A21" t="str">
        <x:v>EMP0016</x:v>
      </x:c>
      <x:c r="B21" t="str">
        <x:v>Employee 016</x:v>
      </x:c>
      <x:c r="C21" t="str">
        <x:v>Human Resources</x:v>
      </x:c>
      <x:c r="D21" t="str">
        <x:v>Segment Factory</x:v>
      </x:c>
      <x:c r="E21" t="str">
        <x:v>Active</x:v>
      </x:c>
      <x:c r="F21" t="n">
        <x:v>208</x:v>
      </x:c>
      <x:c r="G21" t="n">
        <x:v>192</x:v>
      </x:c>
      <x:c r="H21" t="n">
        <x:v>2</x:v>
      </x:c>
      <x:c r="I21" t="n">
        <x:v>2</x:v>
      </x:c>
      <x:c r="J21" t="n">
        <x:v>0.8</x:v>
      </x:c>
      <x:c r="K21" s="40" t="n">
        <x:v>0.9230769230769231</x:v>
      </x:c>
    </x:row>
    <x:row r="22">
      <x:c r="A22" t="str">
        <x:v>EMP0017</x:v>
      </x:c>
      <x:c r="B22" t="str">
        <x:v>Employee 017</x:v>
      </x:c>
      <x:c r="C22" t="str">
        <x:v>Fleet &amp; Transportation</x:v>
      </x:c>
      <x:c r="D22" t="str">
        <x:v>Warehouse</x:v>
      </x:c>
      <x:c r="E22" t="str">
        <x:v>Active</x:v>
      </x:c>
      <x:c r="F22" t="n">
        <x:v>184</x:v>
      </x:c>
      <x:c r="G22" t="n">
        <x:v>157</x:v>
      </x:c>
      <x:c r="H22" t="n">
        <x:v>3.4</x:v>
      </x:c>
      <x:c r="I22" t="n">
        <x:v>4</x:v>
      </x:c>
      <x:c r="J22" t="n">
        <x:v>33</x:v>
      </x:c>
      <x:c r="K22" s="40" t="n">
        <x:v>0.8532608695652174</x:v>
      </x:c>
    </x:row>
    <x:row r="23">
      <x:c r="A23" t="str">
        <x:v>EMP0018</x:v>
      </x:c>
      <x:c r="B23" t="str">
        <x:v>Employee 018</x:v>
      </x:c>
      <x:c r="C23" t="str">
        <x:v>Fleet &amp; Transportation</x:v>
      </x:c>
      <x:c r="D23" t="str">
        <x:v>Base Camp</x:v>
      </x:c>
      <x:c r="E23" t="str">
        <x:v>Active</x:v>
      </x:c>
      <x:c r="F23" t="n">
        <x:v>184</x:v>
      </x:c>
      <x:c r="G23" t="n">
        <x:v>180</x:v>
      </x:c>
      <x:c r="H23" t="n">
        <x:v>0.5</x:v>
      </x:c>
      <x:c r="I23" t="n">
        <x:v>0</x:v>
      </x:c>
      <x:c r="J23" t="n">
        <x:v>27.3</x:v>
      </x:c>
      <x:c r="K23" s="40" t="n">
        <x:v>0.9782608695652174</x:v>
      </x:c>
    </x:row>
    <x:row r="24">
      <x:c r="A24" t="str">
        <x:v>EMP0019</x:v>
      </x:c>
      <x:c r="B24" t="str">
        <x:v>Employee 019</x:v>
      </x:c>
      <x:c r="C24" t="str">
        <x:v>Project Administration</x:v>
      </x:c>
      <x:c r="D24" t="str">
        <x:v>East Site</x:v>
      </x:c>
      <x:c r="E24" t="str">
        <x:v>Active</x:v>
      </x:c>
      <x:c r="F24" t="n">
        <x:v>176</x:v>
      </x:c>
      <x:c r="G24" t="n">
        <x:v>176</x:v>
      </x:c>
      <x:c r="H24" t="n">
        <x:v>0</x:v>
      </x:c>
      <x:c r="I24" t="n">
        <x:v>2</x:v>
      </x:c>
      <x:c r="J24" t="n">
        <x:v>16.6</x:v>
      </x:c>
      <x:c r="K24" s="40" t="n">
        <x:v>1</x:v>
      </x:c>
    </x:row>
    <x:row r="25">
      <x:c r="A25" t="str">
        <x:v>EMP0020</x:v>
      </x:c>
      <x:c r="B25" t="str">
        <x:v>Employee 020</x:v>
      </x:c>
      <x:c r="C25" t="str">
        <x:v>Project Administration</x:v>
      </x:c>
      <x:c r="D25" t="str">
        <x:v>East Site</x:v>
      </x:c>
      <x:c r="E25" t="str">
        <x:v>Active</x:v>
      </x:c>
      <x:c r="F25" t="n">
        <x:v>192</x:v>
      </x:c>
      <x:c r="G25" t="n">
        <x:v>170</x:v>
      </x:c>
      <x:c r="H25" t="n">
        <x:v>2.8</x:v>
      </x:c>
      <x:c r="I25" t="n">
        <x:v>0</x:v>
      </x:c>
      <x:c r="J25" t="n">
        <x:v>24.3</x:v>
      </x:c>
      <x:c r="K25" s="40" t="n">
        <x:v>0.8854166666666666</x:v>
      </x:c>
    </x:row>
    <x:row r="26">
      <x:c r="A26" t="str">
        <x:v>EMP0021</x:v>
      </x:c>
      <x:c r="B26" t="str">
        <x:v>Employee 021</x:v>
      </x:c>
      <x:c r="C26" t="str">
        <x:v>Fleet &amp; Transportation</x:v>
      </x:c>
      <x:c r="D26" t="str">
        <x:v>Segment Factory</x:v>
      </x:c>
      <x:c r="E26" t="str">
        <x:v>Active</x:v>
      </x:c>
      <x:c r="F26" t="n">
        <x:v>176</x:v>
      </x:c>
      <x:c r="G26" t="n">
        <x:v>176</x:v>
      </x:c>
      <x:c r="H26" t="n">
        <x:v>0</x:v>
      </x:c>
      <x:c r="I26" t="n">
        <x:v>3</x:v>
      </x:c>
      <x:c r="J26" t="n">
        <x:v>12.3</x:v>
      </x:c>
      <x:c r="K26" s="40" t="n">
        <x:v>1</x:v>
      </x:c>
    </x:row>
    <x:row r="27">
      <x:c r="A27" t="str">
        <x:v>EMP0022</x:v>
      </x:c>
      <x:c r="B27" t="str">
        <x:v>Employee 022</x:v>
      </x:c>
      <x:c r="C27" t="str">
        <x:v>Construction</x:v>
      </x:c>
      <x:c r="D27" t="str">
        <x:v>West Site</x:v>
      </x:c>
      <x:c r="E27" t="str">
        <x:v>Active</x:v>
      </x:c>
      <x:c r="F27" t="n">
        <x:v>208</x:v>
      </x:c>
      <x:c r="G27" t="n">
        <x:v>204</x:v>
      </x:c>
      <x:c r="H27" t="n">
        <x:v>0.5</x:v>
      </x:c>
      <x:c r="I27" t="n">
        <x:v>4</x:v>
      </x:c>
      <x:c r="J27" t="n">
        <x:v>2.7</x:v>
      </x:c>
      <x:c r="K27" s="40" t="n">
        <x:v>0.9807692307692307</x:v>
      </x:c>
    </x:row>
    <x:row r="28">
      <x:c r="A28" t="str">
        <x:v>EMP0023</x:v>
      </x:c>
      <x:c r="B28" t="str">
        <x:v>Employee 023</x:v>
      </x:c>
      <x:c r="C28" t="str">
        <x:v>Project Administration</x:v>
      </x:c>
      <x:c r="D28" t="str">
        <x:v>Head Office</x:v>
      </x:c>
      <x:c r="E28" t="str">
        <x:v>Active</x:v>
      </x:c>
      <x:c r="F28" t="n">
        <x:v>208</x:v>
      </x:c>
      <x:c r="G28" t="n">
        <x:v>199</x:v>
      </x:c>
      <x:c r="H28" t="n">
        <x:v>1.1</x:v>
      </x:c>
      <x:c r="I28" t="n">
        <x:v>3</x:v>
      </x:c>
      <x:c r="J28" t="n">
        <x:v>30.5</x:v>
      </x:c>
      <x:c r="K28" s="40" t="n">
        <x:v>0.9567307692307693</x:v>
      </x:c>
    </x:row>
    <x:row r="29">
      <x:c r="A29" t="str">
        <x:v>EMP0024</x:v>
      </x:c>
      <x:c r="B29" t="str">
        <x:v>Employee 024</x:v>
      </x:c>
      <x:c r="C29" t="str">
        <x:v>Fleet &amp; Transportation</x:v>
      </x:c>
      <x:c r="D29" t="str">
        <x:v>Base Camp</x:v>
      </x:c>
      <x:c r="E29" t="str">
        <x:v>Active</x:v>
      </x:c>
      <x:c r="F29" t="n">
        <x:v>208</x:v>
      </x:c>
      <x:c r="G29" t="n">
        <x:v>176</x:v>
      </x:c>
      <x:c r="H29" t="n">
        <x:v>4</x:v>
      </x:c>
      <x:c r="I29" t="n">
        <x:v>0</x:v>
      </x:c>
      <x:c r="J29" t="n">
        <x:v>36.5</x:v>
      </x:c>
      <x:c r="K29" s="40" t="n">
        <x:v>0.8461538461538461</x:v>
      </x:c>
    </x:row>
    <x:row r="30">
      <x:c r="A30" t="str">
        <x:v>EMP0025</x:v>
      </x:c>
      <x:c r="B30" t="str">
        <x:v>Employee 025</x:v>
      </x:c>
      <x:c r="C30" t="str">
        <x:v>Project Administration</x:v>
      </x:c>
      <x:c r="D30" t="str">
        <x:v>Segment Factory</x:v>
      </x:c>
      <x:c r="E30" t="str">
        <x:v>Active</x:v>
      </x:c>
      <x:c r="F30" t="n">
        <x:v>208</x:v>
      </x:c>
      <x:c r="G30" t="n">
        <x:v>188</x:v>
      </x:c>
      <x:c r="H30" t="n">
        <x:v>2.5</x:v>
      </x:c>
      <x:c r="I30" t="n">
        <x:v>1</x:v>
      </x:c>
      <x:c r="J30" t="n">
        <x:v>22.1</x:v>
      </x:c>
      <x:c r="K30" s="40" t="n">
        <x:v>0.9038461538461539</x:v>
      </x:c>
    </x:row>
    <x:row r="31">
      <x:c r="A31" t="str">
        <x:v>EMP0026</x:v>
      </x:c>
      <x:c r="B31" t="str">
        <x:v>Employee 026</x:v>
      </x:c>
      <x:c r="C31" t="str">
        <x:v>Logistics</x:v>
      </x:c>
      <x:c r="D31" t="str">
        <x:v>Head Office</x:v>
      </x:c>
      <x:c r="E31" t="str">
        <x:v>Active</x:v>
      </x:c>
      <x:c r="F31" t="n">
        <x:v>192</x:v>
      </x:c>
      <x:c r="G31" t="n">
        <x:v>169</x:v>
      </x:c>
      <x:c r="H31" t="n">
        <x:v>2.9</x:v>
      </x:c>
      <x:c r="I31" t="n">
        <x:v>5</x:v>
      </x:c>
      <x:c r="J31" t="n">
        <x:v>18.9</x:v>
      </x:c>
      <x:c r="K31" s="40" t="n">
        <x:v>0.8802083333333334</x:v>
      </x:c>
    </x:row>
    <x:row r="32">
      <x:c r="A32" t="str">
        <x:v>EMP0027</x:v>
      </x:c>
      <x:c r="B32" t="str">
        <x:v>Employee 027</x:v>
      </x:c>
      <x:c r="C32" t="str">
        <x:v>Procurement</x:v>
      </x:c>
      <x:c r="D32" t="str">
        <x:v>Segment Factory</x:v>
      </x:c>
      <x:c r="E32" t="str">
        <x:v>On Leave</x:v>
      </x:c>
      <x:c r="F32" t="n">
        <x:v>200</x:v>
      </x:c>
      <x:c r="G32" t="n">
        <x:v>179</x:v>
      </x:c>
      <x:c r="H32" t="n">
        <x:v>2.6</x:v>
      </x:c>
      <x:c r="I32" t="n">
        <x:v>5</x:v>
      </x:c>
      <x:c r="J32" t="n">
        <x:v>9.1</x:v>
      </x:c>
      <x:c r="K32" s="40" t="n">
        <x:v>0.895</x:v>
      </x:c>
    </x:row>
    <x:row r="33">
      <x:c r="A33" t="str">
        <x:v>EMP0028</x:v>
      </x:c>
      <x:c r="B33" t="str">
        <x:v>Employee 028</x:v>
      </x:c>
      <x:c r="C33" t="str">
        <x:v>Fleet &amp; Transportation</x:v>
      </x:c>
      <x:c r="D33" t="str">
        <x:v>Warehouse</x:v>
      </x:c>
      <x:c r="E33" t="str">
        <x:v>Active</x:v>
      </x:c>
      <x:c r="F33" t="n">
        <x:v>208</x:v>
      </x:c>
      <x:c r="G33" t="n">
        <x:v>179</x:v>
      </x:c>
      <x:c r="H33" t="n">
        <x:v>3.6</x:v>
      </x:c>
      <x:c r="I33" t="n">
        <x:v>4</x:v>
      </x:c>
      <x:c r="J33" t="n">
        <x:v>1.5</x:v>
      </x:c>
      <x:c r="K33" s="40" t="n">
        <x:v>0.8605769230769231</x:v>
      </x:c>
    </x:row>
    <x:row r="34">
      <x:c r="A34" t="str">
        <x:v>EMP0029</x:v>
      </x:c>
      <x:c r="B34" t="str">
        <x:v>Employee 029</x:v>
      </x:c>
      <x:c r="C34" t="str">
        <x:v>Project Administration</x:v>
      </x:c>
      <x:c r="D34" t="str">
        <x:v>Head Office</x:v>
      </x:c>
      <x:c r="E34" t="str">
        <x:v>Active</x:v>
      </x:c>
      <x:c r="F34" t="n">
        <x:v>200</x:v>
      </x:c>
      <x:c r="G34" t="n">
        <x:v>178</x:v>
      </x:c>
      <x:c r="H34" t="n">
        <x:v>2.8</x:v>
      </x:c>
      <x:c r="I34" t="n">
        <x:v>4</x:v>
      </x:c>
      <x:c r="J34" t="n">
        <x:v>43.7</x:v>
      </x:c>
      <x:c r="K34" s="40" t="n">
        <x:v>0.89</x:v>
      </x:c>
    </x:row>
    <x:row r="35">
      <x:c r="A35" t="str">
        <x:v>EMP0030</x:v>
      </x:c>
      <x:c r="B35" t="str">
        <x:v>Employee 030</x:v>
      </x:c>
      <x:c r="C35" t="str">
        <x:v>Project Administration</x:v>
      </x:c>
      <x:c r="D35" t="str">
        <x:v>Warehouse</x:v>
      </x:c>
      <x:c r="E35" t="str">
        <x:v>Active</x:v>
      </x:c>
      <x:c r="F35" t="n">
        <x:v>208</x:v>
      </x:c>
      <x:c r="G35" t="n">
        <x:v>204</x:v>
      </x:c>
      <x:c r="H35" t="n">
        <x:v>0.5</x:v>
      </x:c>
      <x:c r="I35" t="n">
        <x:v>3</x:v>
      </x:c>
      <x:c r="J35" t="n">
        <x:v>30.9</x:v>
      </x:c>
      <x:c r="K35" s="40" t="n">
        <x:v>0.9807692307692307</x:v>
      </x:c>
    </x:row>
    <x:row r="36">
      <x:c r="A36" t="str">
        <x:v>EMP0031</x:v>
      </x:c>
      <x:c r="B36" t="str">
        <x:v>Employee 031</x:v>
      </x:c>
      <x:c r="C36" t="str">
        <x:v>Document Control</x:v>
      </x:c>
      <x:c r="D36" t="str">
        <x:v>Warehouse</x:v>
      </x:c>
      <x:c r="E36" t="str">
        <x:v>Active</x:v>
      </x:c>
      <x:c r="F36" t="n">
        <x:v>208</x:v>
      </x:c>
      <x:c r="G36" t="n">
        <x:v>191</x:v>
      </x:c>
      <x:c r="H36" t="n">
        <x:v>2.1</x:v>
      </x:c>
      <x:c r="I36" t="n">
        <x:v>2</x:v>
      </x:c>
      <x:c r="J36" t="n">
        <x:v>4.7</x:v>
      </x:c>
      <x:c r="K36" s="40" t="n">
        <x:v>0.9182692307692307</x:v>
      </x:c>
    </x:row>
    <x:row r="37">
      <x:c r="A37" t="str">
        <x:v>EMP0032</x:v>
      </x:c>
      <x:c r="B37" t="str">
        <x:v>Employee 032</x:v>
      </x:c>
      <x:c r="C37" t="str">
        <x:v>Fleet &amp; Transportation</x:v>
      </x:c>
      <x:c r="D37" t="str">
        <x:v>Head Office</x:v>
      </x:c>
      <x:c r="E37" t="str">
        <x:v>Active</x:v>
      </x:c>
      <x:c r="F37" t="n">
        <x:v>192</x:v>
      </x:c>
      <x:c r="G37" t="n">
        <x:v>165</x:v>
      </x:c>
      <x:c r="H37" t="n">
        <x:v>3.4</x:v>
      </x:c>
      <x:c r="I37" t="n">
        <x:v>1</x:v>
      </x:c>
      <x:c r="J37" t="n">
        <x:v>25</x:v>
      </x:c>
      <x:c r="K37" s="40" t="n">
        <x:v>0.859375</x:v>
      </x:c>
    </x:row>
    <x:row r="38">
      <x:c r="A38" t="str">
        <x:v>EMP0033</x:v>
      </x:c>
      <x:c r="B38" t="str">
        <x:v>Employee 033</x:v>
      </x:c>
      <x:c r="C38" t="str">
        <x:v>Project Administration</x:v>
      </x:c>
      <x:c r="D38" t="str">
        <x:v>Head Office</x:v>
      </x:c>
      <x:c r="E38" t="str">
        <x:v>Active</x:v>
      </x:c>
      <x:c r="F38" t="n">
        <x:v>176</x:v>
      </x:c>
      <x:c r="G38" t="n">
        <x:v>156</x:v>
      </x:c>
      <x:c r="H38" t="n">
        <x:v>2.5</x:v>
      </x:c>
      <x:c r="I38" t="n">
        <x:v>5</x:v>
      </x:c>
      <x:c r="J38" t="n">
        <x:v>34.4</x:v>
      </x:c>
      <x:c r="K38" s="40" t="n">
        <x:v>0.8863636363636364</x:v>
      </x:c>
    </x:row>
    <x:row r="39">
      <x:c r="A39" t="str">
        <x:v>EMP0034</x:v>
      </x:c>
      <x:c r="B39" t="str">
        <x:v>Employee 034</x:v>
      </x:c>
      <x:c r="C39" t="str">
        <x:v>Procurement</x:v>
      </x:c>
      <x:c r="D39" t="str">
        <x:v>East Site</x:v>
      </x:c>
      <x:c r="E39" t="str">
        <x:v>Active</x:v>
      </x:c>
      <x:c r="F39" t="n">
        <x:v>208</x:v>
      </x:c>
      <x:c r="G39" t="n">
        <x:v>201</x:v>
      </x:c>
      <x:c r="H39" t="n">
        <x:v>0.9</x:v>
      </x:c>
      <x:c r="I39" t="n">
        <x:v>2</x:v>
      </x:c>
      <x:c r="J39" t="n">
        <x:v>48.2</x:v>
      </x:c>
      <x:c r="K39" s="40" t="n">
        <x:v>0.9663461538461539</x:v>
      </x:c>
    </x:row>
    <x:row r="40">
      <x:c r="A40" t="str">
        <x:v>EMP0035</x:v>
      </x:c>
      <x:c r="B40" t="str">
        <x:v>Employee 035</x:v>
      </x:c>
      <x:c r="C40" t="str">
        <x:v>Human Resources</x:v>
      </x:c>
      <x:c r="D40" t="str">
        <x:v>Head Office</x:v>
      </x:c>
      <x:c r="E40" t="str">
        <x:v>Active</x:v>
      </x:c>
      <x:c r="F40" t="n">
        <x:v>208</x:v>
      </x:c>
      <x:c r="G40" t="n">
        <x:v>203</x:v>
      </x:c>
      <x:c r="H40" t="n">
        <x:v>0.6</x:v>
      </x:c>
      <x:c r="I40" t="n">
        <x:v>4</x:v>
      </x:c>
      <x:c r="J40" t="n">
        <x:v>42.5</x:v>
      </x:c>
      <x:c r="K40" s="40" t="n">
        <x:v>0.9759615384615384</x:v>
      </x:c>
    </x:row>
    <x:row r="41">
      <x:c r="A41" t="str">
        <x:v>EMP0036</x:v>
      </x:c>
      <x:c r="B41" t="str">
        <x:v>Employee 036</x:v>
      </x:c>
      <x:c r="C41" t="str">
        <x:v>Document Control</x:v>
      </x:c>
      <x:c r="D41" t="str">
        <x:v>Warehouse</x:v>
      </x:c>
      <x:c r="E41" t="str">
        <x:v>Active</x:v>
      </x:c>
      <x:c r="F41" t="n">
        <x:v>192</x:v>
      </x:c>
      <x:c r="G41" t="n">
        <x:v>163</x:v>
      </x:c>
      <x:c r="H41" t="n">
        <x:v>3.6</x:v>
      </x:c>
      <x:c r="I41" t="n">
        <x:v>0</x:v>
      </x:c>
      <x:c r="J41" t="n">
        <x:v>22.3</x:v>
      </x:c>
      <x:c r="K41" s="40" t="n">
        <x:v>0.8489583333333334</x:v>
      </x:c>
    </x:row>
    <x:row r="42">
      <x:c r="A42" t="str">
        <x:v>EMP0037</x:v>
      </x:c>
      <x:c r="B42" t="str">
        <x:v>Employee 037</x:v>
      </x:c>
      <x:c r="C42" t="str">
        <x:v>Logistics</x:v>
      </x:c>
      <x:c r="D42" t="str">
        <x:v>Warehouse</x:v>
      </x:c>
      <x:c r="E42" t="str">
        <x:v>Active</x:v>
      </x:c>
      <x:c r="F42" t="n">
        <x:v>208</x:v>
      </x:c>
      <x:c r="G42" t="n">
        <x:v>177</x:v>
      </x:c>
      <x:c r="H42" t="n">
        <x:v>3.9</x:v>
      </x:c>
      <x:c r="I42" t="n">
        <x:v>3</x:v>
      </x:c>
      <x:c r="J42" t="n">
        <x:v>28.9</x:v>
      </x:c>
      <x:c r="K42" s="40" t="n">
        <x:v>0.8509615384615384</x:v>
      </x:c>
    </x:row>
    <x:row r="43">
      <x:c r="A43" t="str">
        <x:v>EMP0038</x:v>
      </x:c>
      <x:c r="B43" t="str">
        <x:v>Employee 038</x:v>
      </x:c>
      <x:c r="C43" t="str">
        <x:v>Finance</x:v>
      </x:c>
      <x:c r="D43" t="str">
        <x:v>West Site</x:v>
      </x:c>
      <x:c r="E43" t="str">
        <x:v>Active</x:v>
      </x:c>
      <x:c r="F43" t="n">
        <x:v>184</x:v>
      </x:c>
      <x:c r="G43" t="n">
        <x:v>153</x:v>
      </x:c>
      <x:c r="H43" t="n">
        <x:v>3.9</x:v>
      </x:c>
      <x:c r="I43" t="n">
        <x:v>4</x:v>
      </x:c>
      <x:c r="J43" t="n">
        <x:v>14</x:v>
      </x:c>
      <x:c r="K43" s="40" t="n">
        <x:v>0.8315217391304348</x:v>
      </x:c>
    </x:row>
    <x:row r="44">
      <x:c r="A44" t="str">
        <x:v>EMP0039</x:v>
      </x:c>
      <x:c r="B44" t="str">
        <x:v>Employee 039</x:v>
      </x:c>
      <x:c r="C44" t="str">
        <x:v>Construction</x:v>
      </x:c>
      <x:c r="D44" t="str">
        <x:v>Head Office</x:v>
      </x:c>
      <x:c r="E44" t="str">
        <x:v>Active</x:v>
      </x:c>
      <x:c r="F44" t="n">
        <x:v>192</x:v>
      </x:c>
      <x:c r="G44" t="n">
        <x:v>175</x:v>
      </x:c>
      <x:c r="H44" t="n">
        <x:v>2.1</x:v>
      </x:c>
      <x:c r="I44" t="n">
        <x:v>0</x:v>
      </x:c>
      <x:c r="J44" t="n">
        <x:v>17.1</x:v>
      </x:c>
      <x:c r="K44" s="40" t="n">
        <x:v>0.9114583333333334</x:v>
      </x:c>
    </x:row>
    <x:row r="45">
      <x:c r="A45" t="str">
        <x:v>EMP0040</x:v>
      </x:c>
      <x:c r="B45" t="str">
        <x:v>Employee 040</x:v>
      </x:c>
      <x:c r="C45" t="str">
        <x:v>Fleet &amp; Transportation</x:v>
      </x:c>
      <x:c r="D45" t="str">
        <x:v>West Site</x:v>
      </x:c>
      <x:c r="E45" t="str">
        <x:v>Active</x:v>
      </x:c>
      <x:c r="F45" t="n">
        <x:v>176</x:v>
      </x:c>
      <x:c r="G45" t="n">
        <x:v>165</x:v>
      </x:c>
      <x:c r="H45" t="n">
        <x:v>1.4</x:v>
      </x:c>
      <x:c r="I45" t="n">
        <x:v>4</x:v>
      </x:c>
      <x:c r="J45" t="n">
        <x:v>14.8</x:v>
      </x:c>
      <x:c r="K45" s="40" t="n">
        <x:v>0.9375</x:v>
      </x:c>
    </x:row>
    <x:row r="46">
      <x:c r="A46" t="str">
        <x:v>EMP0041</x:v>
      </x:c>
      <x:c r="B46" t="str">
        <x:v>Employee 041</x:v>
      </x:c>
      <x:c r="C46" t="str">
        <x:v>Logistics</x:v>
      </x:c>
      <x:c r="D46" t="str">
        <x:v>West Site</x:v>
      </x:c>
      <x:c r="E46" t="str">
        <x:v>Active</x:v>
      </x:c>
      <x:c r="F46" t="n">
        <x:v>192</x:v>
      </x:c>
      <x:c r="G46" t="n">
        <x:v>170</x:v>
      </x:c>
      <x:c r="H46" t="n">
        <x:v>2.8</x:v>
      </x:c>
      <x:c r="I46" t="n">
        <x:v>1</x:v>
      </x:c>
      <x:c r="J46" t="n">
        <x:v>1.3</x:v>
      </x:c>
      <x:c r="K46" s="40" t="n">
        <x:v>0.8854166666666666</x:v>
      </x:c>
    </x:row>
    <x:row r="47">
      <x:c r="A47" t="str">
        <x:v>EMP0042</x:v>
      </x:c>
      <x:c r="B47" t="str">
        <x:v>Employee 042</x:v>
      </x:c>
      <x:c r="C47" t="str">
        <x:v>Logistics</x:v>
      </x:c>
      <x:c r="D47" t="str">
        <x:v>Head Office</x:v>
      </x:c>
      <x:c r="E47" t="str">
        <x:v>On Leave</x:v>
      </x:c>
      <x:c r="F47" t="n">
        <x:v>184</x:v>
      </x:c>
      <x:c r="G47" t="n">
        <x:v>156</x:v>
      </x:c>
      <x:c r="H47" t="n">
        <x:v>3.5</x:v>
      </x:c>
      <x:c r="I47" t="n">
        <x:v>0</x:v>
      </x:c>
      <x:c r="J47" t="n">
        <x:v>9.9</x:v>
      </x:c>
      <x:c r="K47" s="40" t="n">
        <x:v>0.8478260869565217</x:v>
      </x:c>
    </x:row>
    <x:row r="48">
      <x:c r="A48" t="str">
        <x:v>EMP0043</x:v>
      </x:c>
      <x:c r="B48" t="str">
        <x:v>Employee 043</x:v>
      </x:c>
      <x:c r="C48" t="str">
        <x:v>Construction</x:v>
      </x:c>
      <x:c r="D48" t="str">
        <x:v>Base Camp</x:v>
      </x:c>
      <x:c r="E48" t="str">
        <x:v>Inactive</x:v>
      </x:c>
      <x:c r="F48" t="n">
        <x:v>192</x:v>
      </x:c>
      <x:c r="G48" t="n">
        <x:v>164</x:v>
      </x:c>
      <x:c r="H48" t="n">
        <x:v>3.5</x:v>
      </x:c>
      <x:c r="I48" t="n">
        <x:v>3</x:v>
      </x:c>
      <x:c r="J48" t="n">
        <x:v>15.3</x:v>
      </x:c>
      <x:c r="K48" s="40" t="n">
        <x:v>0.8541666666666666</x:v>
      </x:c>
    </x:row>
    <x:row r="49">
      <x:c r="A49" t="str">
        <x:v>EMP0044</x:v>
      </x:c>
      <x:c r="B49" t="str">
        <x:v>Employee 044</x:v>
      </x:c>
      <x:c r="C49" t="str">
        <x:v>Human Resources</x:v>
      </x:c>
      <x:c r="D49" t="str">
        <x:v>Segment Factory</x:v>
      </x:c>
      <x:c r="E49" t="str">
        <x:v>Active</x:v>
      </x:c>
      <x:c r="F49" t="n">
        <x:v>200</x:v>
      </x:c>
      <x:c r="G49" t="n">
        <x:v>169</x:v>
      </x:c>
      <x:c r="H49" t="n">
        <x:v>3.9</x:v>
      </x:c>
      <x:c r="I49" t="n">
        <x:v>5</x:v>
      </x:c>
      <x:c r="J49" t="n">
        <x:v>29.3</x:v>
      </x:c>
      <x:c r="K49" s="40" t="n">
        <x:v>0.845</x:v>
      </x:c>
    </x:row>
    <x:row r="50">
      <x:c r="A50" t="str">
        <x:v>EMP0045</x:v>
      </x:c>
      <x:c r="B50" t="str">
        <x:v>Employee 045</x:v>
      </x:c>
      <x:c r="C50" t="str">
        <x:v>Construction</x:v>
      </x:c>
      <x:c r="D50" t="str">
        <x:v>Segment Factory</x:v>
      </x:c>
      <x:c r="E50" t="str">
        <x:v>Active</x:v>
      </x:c>
      <x:c r="F50" t="n">
        <x:v>184</x:v>
      </x:c>
      <x:c r="G50" t="n">
        <x:v>167</x:v>
      </x:c>
      <x:c r="H50" t="n">
        <x:v>2.1</x:v>
      </x:c>
      <x:c r="I50" t="n">
        <x:v>3</x:v>
      </x:c>
      <x:c r="J50" t="n">
        <x:v>54.1</x:v>
      </x:c>
      <x:c r="K50" s="40" t="n">
        <x:v>0.907608695652174</x:v>
      </x:c>
    </x:row>
    <x:row r="51">
      <x:c r="A51" t="str">
        <x:v>EMP0046</x:v>
      </x:c>
      <x:c r="B51" t="str">
        <x:v>Employee 046</x:v>
      </x:c>
      <x:c r="C51" t="str">
        <x:v>Logistics</x:v>
      </x:c>
      <x:c r="D51" t="str">
        <x:v>Warehouse</x:v>
      </x:c>
      <x:c r="E51" t="str">
        <x:v>Active</x:v>
      </x:c>
      <x:c r="F51" t="n">
        <x:v>176</x:v>
      </x:c>
      <x:c r="G51" t="n">
        <x:v>165</x:v>
      </x:c>
      <x:c r="H51" t="n">
        <x:v>1.4</x:v>
      </x:c>
      <x:c r="I51" t="n">
        <x:v>4</x:v>
      </x:c>
      <x:c r="J51" t="n">
        <x:v>29.3</x:v>
      </x:c>
      <x:c r="K51" s="40" t="n">
        <x:v>0.9375</x:v>
      </x:c>
    </x:row>
    <x:row r="52">
      <x:c r="A52" t="str">
        <x:v>EMP0047</x:v>
      </x:c>
      <x:c r="B52" t="str">
        <x:v>Employee 047</x:v>
      </x:c>
      <x:c r="C52" t="str">
        <x:v>Procurement</x:v>
      </x:c>
      <x:c r="D52" t="str">
        <x:v>West Site</x:v>
      </x:c>
      <x:c r="E52" t="str">
        <x:v>Inactive</x:v>
      </x:c>
      <x:c r="F52" t="n">
        <x:v>176</x:v>
      </x:c>
      <x:c r="G52" t="n">
        <x:v>160</x:v>
      </x:c>
      <x:c r="H52" t="n">
        <x:v>2</x:v>
      </x:c>
      <x:c r="I52" t="n">
        <x:v>0</x:v>
      </x:c>
      <x:c r="J52" t="n">
        <x:v>26.4</x:v>
      </x:c>
      <x:c r="K52" s="40" t="n">
        <x:v>0.9090909090909091</x:v>
      </x:c>
    </x:row>
    <x:row r="53">
      <x:c r="A53" t="str">
        <x:v>EMP0048</x:v>
      </x:c>
      <x:c r="B53" t="str">
        <x:v>Employee 048</x:v>
      </x:c>
      <x:c r="C53" t="str">
        <x:v>Construction</x:v>
      </x:c>
      <x:c r="D53" t="str">
        <x:v>West Site</x:v>
      </x:c>
      <x:c r="E53" t="str">
        <x:v>Active</x:v>
      </x:c>
      <x:c r="F53" t="n">
        <x:v>192</x:v>
      </x:c>
      <x:c r="G53" t="n">
        <x:v>168</x:v>
      </x:c>
      <x:c r="H53" t="n">
        <x:v>3</x:v>
      </x:c>
      <x:c r="I53" t="n">
        <x:v>1</x:v>
      </x:c>
      <x:c r="J53" t="n">
        <x:v>27.7</x:v>
      </x:c>
      <x:c r="K53" s="40" t="n">
        <x:v>0.875</x:v>
      </x:c>
    </x:row>
    <x:row r="54">
      <x:c r="A54" t="str">
        <x:v>EMP0049</x:v>
      </x:c>
      <x:c r="B54" t="str">
        <x:v>Employee 049</x:v>
      </x:c>
      <x:c r="C54" t="str">
        <x:v>Logistics</x:v>
      </x:c>
      <x:c r="D54" t="str">
        <x:v>Base Camp</x:v>
      </x:c>
      <x:c r="E54" t="str">
        <x:v>Active</x:v>
      </x:c>
      <x:c r="F54" t="n">
        <x:v>208</x:v>
      </x:c>
      <x:c r="G54" t="n">
        <x:v>177</x:v>
      </x:c>
      <x:c r="H54" t="n">
        <x:v>3.9</x:v>
      </x:c>
      <x:c r="I54" t="n">
        <x:v>5</x:v>
      </x:c>
      <x:c r="J54" t="n">
        <x:v>20.1</x:v>
      </x:c>
      <x:c r="K54" s="40" t="n">
        <x:v>0.8509615384615384</x:v>
      </x:c>
    </x:row>
    <x:row r="55">
      <x:c r="A55" t="str">
        <x:v>EMP0050</x:v>
      </x:c>
      <x:c r="B55" t="str">
        <x:v>Employee 050</x:v>
      </x:c>
      <x:c r="C55" t="str">
        <x:v>Document Control</x:v>
      </x:c>
      <x:c r="D55" t="str">
        <x:v>East Site</x:v>
      </x:c>
      <x:c r="E55" t="str">
        <x:v>Active</x:v>
      </x:c>
      <x:c r="F55" t="n">
        <x:v>200</x:v>
      </x:c>
      <x:c r="G55" t="n">
        <x:v>176</x:v>
      </x:c>
      <x:c r="H55" t="n">
        <x:v>3</x:v>
      </x:c>
      <x:c r="I55" t="n">
        <x:v>1</x:v>
      </x:c>
      <x:c r="J55" t="n">
        <x:v>20.2</x:v>
      </x:c>
      <x:c r="K55" s="40" t="n">
        <x:v>0.88</x:v>
      </x:c>
    </x:row>
    <x:row r="56">
      <x:c r="A56" t="str">
        <x:v>EMP0051</x:v>
      </x:c>
      <x:c r="B56" t="str">
        <x:v>Employee 051</x:v>
      </x:c>
      <x:c r="C56" t="str">
        <x:v>Procurement</x:v>
      </x:c>
      <x:c r="D56" t="str">
        <x:v>Warehouse</x:v>
      </x:c>
      <x:c r="E56" t="str">
        <x:v>Active</x:v>
      </x:c>
      <x:c r="F56" t="n">
        <x:v>184</x:v>
      </x:c>
      <x:c r="G56" t="n">
        <x:v>154</x:v>
      </x:c>
      <x:c r="H56" t="n">
        <x:v>3.8</x:v>
      </x:c>
      <x:c r="I56" t="n">
        <x:v>4</x:v>
      </x:c>
      <x:c r="J56" t="n">
        <x:v>13.5</x:v>
      </x:c>
      <x:c r="K56" s="40" t="n">
        <x:v>0.8369565217391305</x:v>
      </x:c>
    </x:row>
    <x:row r="57">
      <x:c r="A57" t="str">
        <x:v>EMP0052</x:v>
      </x:c>
      <x:c r="B57" t="str">
        <x:v>Employee 052</x:v>
      </x:c>
      <x:c r="C57" t="str">
        <x:v>Procurement</x:v>
      </x:c>
      <x:c r="D57" t="str">
        <x:v>Head Office</x:v>
      </x:c>
      <x:c r="E57" t="str">
        <x:v>Active</x:v>
      </x:c>
      <x:c r="F57" t="n">
        <x:v>184</x:v>
      </x:c>
      <x:c r="G57" t="n">
        <x:v>179</x:v>
      </x:c>
      <x:c r="H57" t="n">
        <x:v>0.6</x:v>
      </x:c>
      <x:c r="I57" t="n">
        <x:v>2</x:v>
      </x:c>
      <x:c r="J57" t="n">
        <x:v>29.9</x:v>
      </x:c>
      <x:c r="K57" s="40" t="n">
        <x:v>0.9728260869565217</x:v>
      </x:c>
    </x:row>
    <x:row r="58">
      <x:c r="A58" t="str">
        <x:v>EMP0053</x:v>
      </x:c>
      <x:c r="B58" t="str">
        <x:v>Employee 053</x:v>
      </x:c>
      <x:c r="C58" t="str">
        <x:v>Human Resources</x:v>
      </x:c>
      <x:c r="D58" t="str">
        <x:v>Base Camp</x:v>
      </x:c>
      <x:c r="E58" t="str">
        <x:v>Active</x:v>
      </x:c>
      <x:c r="F58" t="n">
        <x:v>184</x:v>
      </x:c>
      <x:c r="G58" t="n">
        <x:v>157</x:v>
      </x:c>
      <x:c r="H58" t="n">
        <x:v>3.4</x:v>
      </x:c>
      <x:c r="I58" t="n">
        <x:v>4</x:v>
      </x:c>
      <x:c r="J58" t="n">
        <x:v>47.9</x:v>
      </x:c>
      <x:c r="K58" s="40" t="n">
        <x:v>0.8532608695652174</x:v>
      </x:c>
    </x:row>
    <x:row r="59">
      <x:c r="A59" t="str">
        <x:v>EMP0054</x:v>
      </x:c>
      <x:c r="B59" t="str">
        <x:v>Employee 054</x:v>
      </x:c>
      <x:c r="C59" t="str">
        <x:v>Project Administration</x:v>
      </x:c>
      <x:c r="D59" t="str">
        <x:v>East Site</x:v>
      </x:c>
      <x:c r="E59" t="str">
        <x:v>Active</x:v>
      </x:c>
      <x:c r="F59" t="n">
        <x:v>200</x:v>
      </x:c>
      <x:c r="G59" t="n">
        <x:v>198</x:v>
      </x:c>
      <x:c r="H59" t="n">
        <x:v>0.2</x:v>
      </x:c>
      <x:c r="I59" t="n">
        <x:v>2</x:v>
      </x:c>
      <x:c r="J59" t="n">
        <x:v>4.5</x:v>
      </x:c>
      <x:c r="K59" s="40" t="n">
        <x:v>0.99</x:v>
      </x:c>
    </x:row>
    <x:row r="60">
      <x:c r="A60" t="str">
        <x:v>EMP0055</x:v>
      </x:c>
      <x:c r="B60" t="str">
        <x:v>Employee 055</x:v>
      </x:c>
      <x:c r="C60" t="str">
        <x:v>Logistics</x:v>
      </x:c>
      <x:c r="D60" t="str">
        <x:v>West Site</x:v>
      </x:c>
      <x:c r="E60" t="str">
        <x:v>Active</x:v>
      </x:c>
      <x:c r="F60" t="n">
        <x:v>192</x:v>
      </x:c>
      <x:c r="G60" t="n">
        <x:v>190</x:v>
      </x:c>
      <x:c r="H60" t="n">
        <x:v>0.2</x:v>
      </x:c>
      <x:c r="I60" t="n">
        <x:v>4</x:v>
      </x:c>
      <x:c r="J60" t="n">
        <x:v>9.8</x:v>
      </x:c>
      <x:c r="K60" s="40" t="n">
        <x:v>0.9895833333333334</x:v>
      </x:c>
    </x:row>
    <x:row r="61">
      <x:c r="A61" t="str">
        <x:v>EMP0056</x:v>
      </x:c>
      <x:c r="B61" t="str">
        <x:v>Employee 056</x:v>
      </x:c>
      <x:c r="C61" t="str">
        <x:v>Human Resources</x:v>
      </x:c>
      <x:c r="D61" t="str">
        <x:v>Head Office</x:v>
      </x:c>
      <x:c r="E61" t="str">
        <x:v>Active</x:v>
      </x:c>
      <x:c r="F61" t="n">
        <x:v>176</x:v>
      </x:c>
      <x:c r="G61" t="n">
        <x:v>153</x:v>
      </x:c>
      <x:c r="H61" t="n">
        <x:v>2.9</x:v>
      </x:c>
      <x:c r="I61" t="n">
        <x:v>5</x:v>
      </x:c>
      <x:c r="J61" t="n">
        <x:v>11.1</x:v>
      </x:c>
      <x:c r="K61" s="40" t="n">
        <x:v>0.8693181818181818</x:v>
      </x:c>
    </x:row>
    <x:row r="62">
      <x:c r="A62" t="str">
        <x:v>EMP0057</x:v>
      </x:c>
      <x:c r="B62" t="str">
        <x:v>Employee 057</x:v>
      </x:c>
      <x:c r="C62" t="str">
        <x:v>Construction</x:v>
      </x:c>
      <x:c r="D62" t="str">
        <x:v>Base Camp</x:v>
      </x:c>
      <x:c r="E62" t="str">
        <x:v>Active</x:v>
      </x:c>
      <x:c r="F62" t="n">
        <x:v>176</x:v>
      </x:c>
      <x:c r="G62" t="n">
        <x:v>171</x:v>
      </x:c>
      <x:c r="H62" t="n">
        <x:v>0.6</x:v>
      </x:c>
      <x:c r="I62" t="n">
        <x:v>2</x:v>
      </x:c>
      <x:c r="J62" t="n">
        <x:v>23.5</x:v>
      </x:c>
      <x:c r="K62" s="40" t="n">
        <x:v>0.9715909090909091</x:v>
      </x:c>
    </x:row>
    <x:row r="63">
      <x:c r="A63" t="str">
        <x:v>EMP0058</x:v>
      </x:c>
      <x:c r="B63" t="str">
        <x:v>Employee 058</x:v>
      </x:c>
      <x:c r="C63" t="str">
        <x:v>Finance</x:v>
      </x:c>
      <x:c r="D63" t="str">
        <x:v>Warehouse</x:v>
      </x:c>
      <x:c r="E63" t="str">
        <x:v>Active</x:v>
      </x:c>
      <x:c r="F63" t="n">
        <x:v>184</x:v>
      </x:c>
      <x:c r="G63" t="n">
        <x:v>173</x:v>
      </x:c>
      <x:c r="H63" t="n">
        <x:v>1.4</x:v>
      </x:c>
      <x:c r="I63" t="n">
        <x:v>3</x:v>
      </x:c>
      <x:c r="J63" t="n">
        <x:v>24.7</x:v>
      </x:c>
      <x:c r="K63" s="40" t="n">
        <x:v>0.9402173913043478</x:v>
      </x:c>
    </x:row>
    <x:row r="64">
      <x:c r="A64" t="str">
        <x:v>EMP0059</x:v>
      </x:c>
      <x:c r="B64" t="str">
        <x:v>Employee 059</x:v>
      </x:c>
      <x:c r="C64" t="str">
        <x:v>Logistics</x:v>
      </x:c>
      <x:c r="D64" t="str">
        <x:v>East Site</x:v>
      </x:c>
      <x:c r="E64" t="str">
        <x:v>Active</x:v>
      </x:c>
      <x:c r="F64" t="n">
        <x:v>192</x:v>
      </x:c>
      <x:c r="G64" t="n">
        <x:v>185</x:v>
      </x:c>
      <x:c r="H64" t="n">
        <x:v>0.9</x:v>
      </x:c>
      <x:c r="I64" t="n">
        <x:v>5</x:v>
      </x:c>
      <x:c r="J64" t="n">
        <x:v>53.2</x:v>
      </x:c>
      <x:c r="K64" s="40" t="n">
        <x:v>0.9635416666666666</x:v>
      </x:c>
    </x:row>
    <x:row r="65">
      <x:c r="A65" t="str">
        <x:v>EMP0060</x:v>
      </x:c>
      <x:c r="B65" t="str">
        <x:v>Employee 060</x:v>
      </x:c>
      <x:c r="C65" t="str">
        <x:v>Fleet &amp; Transportation</x:v>
      </x:c>
      <x:c r="D65" t="str">
        <x:v>Warehouse</x:v>
      </x:c>
      <x:c r="E65" t="str">
        <x:v>Active</x:v>
      </x:c>
      <x:c r="F65" t="n">
        <x:v>200</x:v>
      </x:c>
      <x:c r="G65" t="n">
        <x:v>168</x:v>
      </x:c>
      <x:c r="H65" t="n">
        <x:v>4</x:v>
      </x:c>
      <x:c r="I65" t="n">
        <x:v>3</x:v>
      </x:c>
      <x:c r="J65" t="n">
        <x:v>15.3</x:v>
      </x:c>
      <x:c r="K65" s="40" t="n">
        <x:v>0.84</x:v>
      </x:c>
    </x:row>
    <x:row r="66">
      <x:c r="A66" t="str">
        <x:v>EMP0061</x:v>
      </x:c>
      <x:c r="B66" t="str">
        <x:v>Employee 061</x:v>
      </x:c>
      <x:c r="C66" t="str">
        <x:v>Fleet &amp; Transportation</x:v>
      </x:c>
      <x:c r="D66" t="str">
        <x:v>Warehouse</x:v>
      </x:c>
      <x:c r="E66" t="str">
        <x:v>On Leave</x:v>
      </x:c>
      <x:c r="F66" t="n">
        <x:v>192</x:v>
      </x:c>
      <x:c r="G66" t="n">
        <x:v>192</x:v>
      </x:c>
      <x:c r="H66" t="n">
        <x:v>0</x:v>
      </x:c>
      <x:c r="I66" t="n">
        <x:v>5</x:v>
      </x:c>
      <x:c r="J66" t="n">
        <x:v>24.2</x:v>
      </x:c>
      <x:c r="K66" s="40" t="n">
        <x:v>1</x:v>
      </x:c>
    </x:row>
    <x:row r="67">
      <x:c r="A67" t="str">
        <x:v>EMP0062</x:v>
      </x:c>
      <x:c r="B67" t="str">
        <x:v>Employee 062</x:v>
      </x:c>
      <x:c r="C67" t="str">
        <x:v>Executive Office</x:v>
      </x:c>
      <x:c r="D67" t="str">
        <x:v>Segment Factory</x:v>
      </x:c>
      <x:c r="E67" t="str">
        <x:v>Active</x:v>
      </x:c>
      <x:c r="F67" t="n">
        <x:v>200</x:v>
      </x:c>
      <x:c r="G67" t="n">
        <x:v>176</x:v>
      </x:c>
      <x:c r="H67" t="n">
        <x:v>3</x:v>
      </x:c>
      <x:c r="I67" t="n">
        <x:v>5</x:v>
      </x:c>
      <x:c r="J67" t="n">
        <x:v>2.7</x:v>
      </x:c>
      <x:c r="K67" s="40" t="n">
        <x:v>0.88</x:v>
      </x:c>
    </x:row>
    <x:row r="68">
      <x:c r="A68" t="str">
        <x:v>EMP0063</x:v>
      </x:c>
      <x:c r="B68" t="str">
        <x:v>Employee 063</x:v>
      </x:c>
      <x:c r="C68" t="str">
        <x:v>Finance</x:v>
      </x:c>
      <x:c r="D68" t="str">
        <x:v>East Site</x:v>
      </x:c>
      <x:c r="E68" t="str">
        <x:v>Active</x:v>
      </x:c>
      <x:c r="F68" t="n">
        <x:v>192</x:v>
      </x:c>
      <x:c r="G68" t="n">
        <x:v>161</x:v>
      </x:c>
      <x:c r="H68" t="n">
        <x:v>3.9</x:v>
      </x:c>
      <x:c r="I68" t="n">
        <x:v>2</x:v>
      </x:c>
      <x:c r="J68" t="n">
        <x:v>32.1</x:v>
      </x:c>
      <x:c r="K68" s="40" t="n">
        <x:v>0.8385416666666666</x:v>
      </x:c>
    </x:row>
    <x:row r="69">
      <x:c r="A69" t="str">
        <x:v>EMP0064</x:v>
      </x:c>
      <x:c r="B69" t="str">
        <x:v>Employee 064</x:v>
      </x:c>
      <x:c r="C69" t="str">
        <x:v>Fleet &amp; Transportation</x:v>
      </x:c>
      <x:c r="D69" t="str">
        <x:v>Base Camp</x:v>
      </x:c>
      <x:c r="E69" t="str">
        <x:v>Active</x:v>
      </x:c>
      <x:c r="F69" t="n">
        <x:v>208</x:v>
      </x:c>
      <x:c r="G69" t="n">
        <x:v>190</x:v>
      </x:c>
      <x:c r="H69" t="n">
        <x:v>2.2</x:v>
      </x:c>
      <x:c r="I69" t="n">
        <x:v>5</x:v>
      </x:c>
      <x:c r="J69" t="n">
        <x:v>11.1</x:v>
      </x:c>
      <x:c r="K69" s="40" t="n">
        <x:v>0.9134615384615384</x:v>
      </x:c>
    </x:row>
    <x:row r="70">
      <x:c r="A70" t="str">
        <x:v>EMP0065</x:v>
      </x:c>
      <x:c r="B70" t="str">
        <x:v>Employee 065</x:v>
      </x:c>
      <x:c r="C70" t="str">
        <x:v>Warehouse</x:v>
      </x:c>
      <x:c r="D70" t="str">
        <x:v>Warehouse</x:v>
      </x:c>
      <x:c r="E70" t="str">
        <x:v>Active</x:v>
      </x:c>
      <x:c r="F70" t="n">
        <x:v>192</x:v>
      </x:c>
      <x:c r="G70" t="n">
        <x:v>184</x:v>
      </x:c>
      <x:c r="H70" t="n">
        <x:v>1</x:v>
      </x:c>
      <x:c r="I70" t="n">
        <x:v>2</x:v>
      </x:c>
      <x:c r="J70" t="n">
        <x:v>15.7</x:v>
      </x:c>
      <x:c r="K70" s="40" t="n">
        <x:v>0.9583333333333334</x:v>
      </x:c>
    </x:row>
    <x:row r="71">
      <x:c r="A71" t="str">
        <x:v>EMP0066</x:v>
      </x:c>
      <x:c r="B71" t="str">
        <x:v>Employee 066</x:v>
      </x:c>
      <x:c r="C71" t="str">
        <x:v>Finance</x:v>
      </x:c>
      <x:c r="D71" t="str">
        <x:v>Segment Factory</x:v>
      </x:c>
      <x:c r="E71" t="str">
        <x:v>Active</x:v>
      </x:c>
      <x:c r="F71" t="n">
        <x:v>208</x:v>
      </x:c>
      <x:c r="G71" t="n">
        <x:v>191</x:v>
      </x:c>
      <x:c r="H71" t="n">
        <x:v>2.1</x:v>
      </x:c>
      <x:c r="I71" t="n">
        <x:v>1</x:v>
      </x:c>
      <x:c r="J71" t="n">
        <x:v>14.2</x:v>
      </x:c>
      <x:c r="K71" s="40" t="n">
        <x:v>0.9182692307692307</x:v>
      </x:c>
    </x:row>
    <x:row r="72">
      <x:c r="A72" t="str">
        <x:v>EMP0067</x:v>
      </x:c>
      <x:c r="B72" t="str">
        <x:v>Employee 067</x:v>
      </x:c>
      <x:c r="C72" t="str">
        <x:v>Construction</x:v>
      </x:c>
      <x:c r="D72" t="str">
        <x:v>West Site</x:v>
      </x:c>
      <x:c r="E72" t="str">
        <x:v>Active</x:v>
      </x:c>
      <x:c r="F72" t="n">
        <x:v>200</x:v>
      </x:c>
      <x:c r="G72" t="n">
        <x:v>198</x:v>
      </x:c>
      <x:c r="H72" t="n">
        <x:v>0.2</x:v>
      </x:c>
      <x:c r="I72" t="n">
        <x:v>0</x:v>
      </x:c>
      <x:c r="J72" t="n">
        <x:v>19.8</x:v>
      </x:c>
      <x:c r="K72" s="40" t="n">
        <x:v>0.99</x:v>
      </x:c>
    </x:row>
    <x:row r="73">
      <x:c r="A73" t="str">
        <x:v>EMP0068</x:v>
      </x:c>
      <x:c r="B73" t="str">
        <x:v>Employee 068</x:v>
      </x:c>
      <x:c r="C73" t="str">
        <x:v>Executive Office</x:v>
      </x:c>
      <x:c r="D73" t="str">
        <x:v>Head Office</x:v>
      </x:c>
      <x:c r="E73" t="str">
        <x:v>Inactive</x:v>
      </x:c>
      <x:c r="F73" t="n">
        <x:v>176</x:v>
      </x:c>
      <x:c r="G73" t="n">
        <x:v>170</x:v>
      </x:c>
      <x:c r="H73" t="n">
        <x:v>0.8</x:v>
      </x:c>
      <x:c r="I73" t="n">
        <x:v>1</x:v>
      </x:c>
      <x:c r="J73" t="n">
        <x:v>33.6</x:v>
      </x:c>
      <x:c r="K73" s="40" t="n">
        <x:v>0.9659090909090909</x:v>
      </x:c>
    </x:row>
    <x:row r="74">
      <x:c r="A74" t="str">
        <x:v>EMP0069</x:v>
      </x:c>
      <x:c r="B74" t="str">
        <x:v>Employee 069</x:v>
      </x:c>
      <x:c r="C74" t="str">
        <x:v>Logistics</x:v>
      </x:c>
      <x:c r="D74" t="str">
        <x:v>West Site</x:v>
      </x:c>
      <x:c r="E74" t="str">
        <x:v>Active</x:v>
      </x:c>
      <x:c r="F74" t="n">
        <x:v>184</x:v>
      </x:c>
      <x:c r="G74" t="n">
        <x:v>154</x:v>
      </x:c>
      <x:c r="H74" t="n">
        <x:v>3.8</x:v>
      </x:c>
      <x:c r="I74" t="n">
        <x:v>2</x:v>
      </x:c>
      <x:c r="J74" t="n">
        <x:v>45.5</x:v>
      </x:c>
      <x:c r="K74" s="40" t="n">
        <x:v>0.8369565217391305</x:v>
      </x:c>
    </x:row>
    <x:row r="75">
      <x:c r="A75" t="str">
        <x:v>EMP0070</x:v>
      </x:c>
      <x:c r="B75" t="str">
        <x:v>Employee 070</x:v>
      </x:c>
      <x:c r="C75" t="str">
        <x:v>Project Administration</x:v>
      </x:c>
      <x:c r="D75" t="str">
        <x:v>East Site</x:v>
      </x:c>
      <x:c r="E75" t="str">
        <x:v>Active</x:v>
      </x:c>
      <x:c r="F75" t="n">
        <x:v>176</x:v>
      </x:c>
      <x:c r="G75" t="n">
        <x:v>155</x:v>
      </x:c>
      <x:c r="H75" t="n">
        <x:v>2.6</x:v>
      </x:c>
      <x:c r="I75" t="n">
        <x:v>5</x:v>
      </x:c>
      <x:c r="J75" t="n">
        <x:v>5.9</x:v>
      </x:c>
      <x:c r="K75" s="40" t="n">
        <x:v>0.8806818181818182</x:v>
      </x:c>
    </x:row>
    <x:row r="76">
      <x:c r="A76" t="str">
        <x:v>EMP0071</x:v>
      </x:c>
      <x:c r="B76" t="str">
        <x:v>Employee 071</x:v>
      </x:c>
      <x:c r="C76" t="str">
        <x:v>Construction</x:v>
      </x:c>
      <x:c r="D76" t="str">
        <x:v>Head Office</x:v>
      </x:c>
      <x:c r="E76" t="str">
        <x:v>Inactive</x:v>
      </x:c>
      <x:c r="F76" t="n">
        <x:v>184</x:v>
      </x:c>
      <x:c r="G76" t="n">
        <x:v>172</x:v>
      </x:c>
      <x:c r="H76" t="n">
        <x:v>1.5</x:v>
      </x:c>
      <x:c r="I76" t="n">
        <x:v>1</x:v>
      </x:c>
      <x:c r="J76" t="n">
        <x:v>8.2</x:v>
      </x:c>
      <x:c r="K76" s="40" t="n">
        <x:v>0.9347826086956522</x:v>
      </x:c>
    </x:row>
    <x:row r="77">
      <x:c r="A77" t="str">
        <x:v>EMP0072</x:v>
      </x:c>
      <x:c r="B77" t="str">
        <x:v>Employee 072</x:v>
      </x:c>
      <x:c r="C77" t="str">
        <x:v>Procurement</x:v>
      </x:c>
      <x:c r="D77" t="str">
        <x:v>Segment Factory</x:v>
      </x:c>
      <x:c r="E77" t="str">
        <x:v>On Leave</x:v>
      </x:c>
      <x:c r="F77" t="n">
        <x:v>200</x:v>
      </x:c>
      <x:c r="G77" t="n">
        <x:v>200</x:v>
      </x:c>
      <x:c r="H77" t="n">
        <x:v>0</x:v>
      </x:c>
      <x:c r="I77" t="n">
        <x:v>3</x:v>
      </x:c>
      <x:c r="J77" t="n">
        <x:v>37.6</x:v>
      </x:c>
      <x:c r="K77" s="40" t="n">
        <x:v>1</x:v>
      </x:c>
    </x:row>
    <x:row r="78">
      <x:c r="A78" t="str">
        <x:v>EMP0073</x:v>
      </x:c>
      <x:c r="B78" t="str">
        <x:v>Employee 073</x:v>
      </x:c>
      <x:c r="C78" t="str">
        <x:v>Project Administration</x:v>
      </x:c>
      <x:c r="D78" t="str">
        <x:v>Base Camp</x:v>
      </x:c>
      <x:c r="E78" t="str">
        <x:v>Active</x:v>
      </x:c>
      <x:c r="F78" t="n">
        <x:v>176</x:v>
      </x:c>
      <x:c r="G78" t="n">
        <x:v>149</x:v>
      </x:c>
      <x:c r="H78" t="n">
        <x:v>3.4</x:v>
      </x:c>
      <x:c r="I78" t="n">
        <x:v>0</x:v>
      </x:c>
      <x:c r="J78" t="n">
        <x:v>42.4</x:v>
      </x:c>
      <x:c r="K78" s="40" t="n">
        <x:v>0.8465909090909091</x:v>
      </x:c>
    </x:row>
    <x:row r="79">
      <x:c r="A79" t="str">
        <x:v>EMP0074</x:v>
      </x:c>
      <x:c r="B79" t="str">
        <x:v>Employee 074</x:v>
      </x:c>
      <x:c r="C79" t="str">
        <x:v>Construction</x:v>
      </x:c>
      <x:c r="D79" t="str">
        <x:v>West Site</x:v>
      </x:c>
      <x:c r="E79" t="str">
        <x:v>Active</x:v>
      </x:c>
      <x:c r="F79" t="n">
        <x:v>192</x:v>
      </x:c>
      <x:c r="G79" t="n">
        <x:v>177</x:v>
      </x:c>
      <x:c r="H79" t="n">
        <x:v>1.9</x:v>
      </x:c>
      <x:c r="I79" t="n">
        <x:v>2</x:v>
      </x:c>
      <x:c r="J79" t="n">
        <x:v>18.4</x:v>
      </x:c>
      <x:c r="K79" s="40" t="n">
        <x:v>0.921875</x:v>
      </x:c>
    </x:row>
    <x:row r="80">
      <x:c r="A80" t="str">
        <x:v>EMP0075</x:v>
      </x:c>
      <x:c r="B80" t="str">
        <x:v>Employee 075</x:v>
      </x:c>
      <x:c r="C80" t="str">
        <x:v>Construction</x:v>
      </x:c>
      <x:c r="D80" t="str">
        <x:v>Base Camp</x:v>
      </x:c>
      <x:c r="E80" t="str">
        <x:v>Active</x:v>
      </x:c>
      <x:c r="F80" t="n">
        <x:v>176</x:v>
      </x:c>
      <x:c r="G80" t="n">
        <x:v>156</x:v>
      </x:c>
      <x:c r="H80" t="n">
        <x:v>2.5</x:v>
      </x:c>
      <x:c r="I80" t="n">
        <x:v>2</x:v>
      </x:c>
      <x:c r="J80" t="n">
        <x:v>44.1</x:v>
      </x:c>
      <x:c r="K80" s="40" t="n">
        <x:v>0.8863636363636364</x:v>
      </x:c>
    </x:row>
    <x:row r="81">
      <x:c r="A81" t="str">
        <x:v>EMP0076</x:v>
      </x:c>
      <x:c r="B81" t="str">
        <x:v>Employee 076</x:v>
      </x:c>
      <x:c r="C81" t="str">
        <x:v>Document Control</x:v>
      </x:c>
      <x:c r="D81" t="str">
        <x:v>Segment Factory</x:v>
      </x:c>
      <x:c r="E81" t="str">
        <x:v>Active</x:v>
      </x:c>
      <x:c r="F81" t="n">
        <x:v>200</x:v>
      </x:c>
      <x:c r="G81" t="n">
        <x:v>199</x:v>
      </x:c>
      <x:c r="H81" t="n">
        <x:v>0.1</x:v>
      </x:c>
      <x:c r="I81" t="n">
        <x:v>0</x:v>
      </x:c>
      <x:c r="J81" t="n">
        <x:v>5.9</x:v>
      </x:c>
      <x:c r="K81" s="40" t="n">
        <x:v>0.995</x:v>
      </x:c>
    </x:row>
    <x:row r="82">
      <x:c r="A82" t="str">
        <x:v>EMP0077</x:v>
      </x:c>
      <x:c r="B82" t="str">
        <x:v>Employee 077</x:v>
      </x:c>
      <x:c r="C82" t="str">
        <x:v>Fleet &amp; Transportation</x:v>
      </x:c>
      <x:c r="D82" t="str">
        <x:v>East Site</x:v>
      </x:c>
      <x:c r="E82" t="str">
        <x:v>Active</x:v>
      </x:c>
      <x:c r="F82" t="n">
        <x:v>184</x:v>
      </x:c>
      <x:c r="G82" t="n">
        <x:v>170</x:v>
      </x:c>
      <x:c r="H82" t="n">
        <x:v>1.8</x:v>
      </x:c>
      <x:c r="I82" t="n">
        <x:v>4</x:v>
      </x:c>
      <x:c r="J82" t="n">
        <x:v>26.6</x:v>
      </x:c>
      <x:c r="K82" s="40" t="n">
        <x:v>0.9239130434782609</x:v>
      </x:c>
    </x:row>
    <x:row r="83">
      <x:c r="A83" t="str">
        <x:v>EMP0078</x:v>
      </x:c>
      <x:c r="B83" t="str">
        <x:v>Employee 078</x:v>
      </x:c>
      <x:c r="C83" t="str">
        <x:v>Warehouse</x:v>
      </x:c>
      <x:c r="D83" t="str">
        <x:v>East Site</x:v>
      </x:c>
      <x:c r="E83" t="str">
        <x:v>Active</x:v>
      </x:c>
      <x:c r="F83" t="n">
        <x:v>192</x:v>
      </x:c>
      <x:c r="G83" t="n">
        <x:v>171</x:v>
      </x:c>
      <x:c r="H83" t="n">
        <x:v>2.6</x:v>
      </x:c>
      <x:c r="I83" t="n">
        <x:v>5</x:v>
      </x:c>
      <x:c r="J83" t="n">
        <x:v>26.2</x:v>
      </x:c>
      <x:c r="K83" s="40" t="n">
        <x:v>0.890625</x:v>
      </x:c>
    </x:row>
    <x:row r="84">
      <x:c r="A84" t="str">
        <x:v>EMP0079</x:v>
      </x:c>
      <x:c r="B84" t="str">
        <x:v>Employee 079</x:v>
      </x:c>
      <x:c r="C84" t="str">
        <x:v>Warehouse</x:v>
      </x:c>
      <x:c r="D84" t="str">
        <x:v>Base Camp</x:v>
      </x:c>
      <x:c r="E84" t="str">
        <x:v>Active</x:v>
      </x:c>
      <x:c r="F84" t="n">
        <x:v>184</x:v>
      </x:c>
      <x:c r="G84" t="n">
        <x:v>170</x:v>
      </x:c>
      <x:c r="H84" t="n">
        <x:v>1.8</x:v>
      </x:c>
      <x:c r="I84" t="n">
        <x:v>2</x:v>
      </x:c>
      <x:c r="J84" t="n">
        <x:v>39.3</x:v>
      </x:c>
      <x:c r="K84" s="40" t="n">
        <x:v>0.9239130434782609</x:v>
      </x:c>
    </x:row>
    <x:row r="85">
      <x:c r="A85" t="str">
        <x:v>EMP0080</x:v>
      </x:c>
      <x:c r="B85" t="str">
        <x:v>Employee 080</x:v>
      </x:c>
      <x:c r="C85" t="str">
        <x:v>Document Control</x:v>
      </x:c>
      <x:c r="D85" t="str">
        <x:v>Head Office</x:v>
      </x:c>
      <x:c r="E85" t="str">
        <x:v>Active</x:v>
      </x:c>
      <x:c r="F85" t="n">
        <x:v>200</x:v>
      </x:c>
      <x:c r="G85" t="n">
        <x:v>197</x:v>
      </x:c>
      <x:c r="H85" t="n">
        <x:v>0.4</x:v>
      </x:c>
      <x:c r="I85" t="n">
        <x:v>3</x:v>
      </x:c>
      <x:c r="J85" t="n">
        <x:v>46.9</x:v>
      </x:c>
      <x:c r="K85" s="40" t="n">
        <x:v>0.985</x:v>
      </x:c>
    </x:row>
    <x:row r="86">
      <x:c r="A86" t="str">
        <x:v>EMP0081</x:v>
      </x:c>
      <x:c r="B86" t="str">
        <x:v>Employee 081</x:v>
      </x:c>
      <x:c r="C86" t="str">
        <x:v>Project Administration</x:v>
      </x:c>
      <x:c r="D86" t="str">
        <x:v>East Site</x:v>
      </x:c>
      <x:c r="E86" t="str">
        <x:v>Active</x:v>
      </x:c>
      <x:c r="F86" t="n">
        <x:v>200</x:v>
      </x:c>
      <x:c r="G86" t="n">
        <x:v>183</x:v>
      </x:c>
      <x:c r="H86" t="n">
        <x:v>2.1</x:v>
      </x:c>
      <x:c r="I86" t="n">
        <x:v>4</x:v>
      </x:c>
      <x:c r="J86" t="n">
        <x:v>22.5</x:v>
      </x:c>
      <x:c r="K86" s="40" t="n">
        <x:v>0.915</x:v>
      </x:c>
    </x:row>
    <x:row r="87">
      <x:c r="A87" t="str">
        <x:v>EMP0082</x:v>
      </x:c>
      <x:c r="B87" t="str">
        <x:v>Employee 082</x:v>
      </x:c>
      <x:c r="C87" t="str">
        <x:v>Construction</x:v>
      </x:c>
      <x:c r="D87" t="str">
        <x:v>Base Camp</x:v>
      </x:c>
      <x:c r="E87" t="str">
        <x:v>Active</x:v>
      </x:c>
      <x:c r="F87" t="n">
        <x:v>176</x:v>
      </x:c>
      <x:c r="G87" t="n">
        <x:v>162</x:v>
      </x:c>
      <x:c r="H87" t="n">
        <x:v>1.8</x:v>
      </x:c>
      <x:c r="I87" t="n">
        <x:v>2</x:v>
      </x:c>
      <x:c r="J87" t="n">
        <x:v>25.6</x:v>
      </x:c>
      <x:c r="K87" s="40" t="n">
        <x:v>0.9204545454545454</x:v>
      </x:c>
    </x:row>
    <x:row r="88">
      <x:c r="A88" t="str">
        <x:v>EMP0083</x:v>
      </x:c>
      <x:c r="B88" t="str">
        <x:v>Employee 083</x:v>
      </x:c>
      <x:c r="C88" t="str">
        <x:v>Project Administration</x:v>
      </x:c>
      <x:c r="D88" t="str">
        <x:v>Base Camp</x:v>
      </x:c>
      <x:c r="E88" t="str">
        <x:v>Inactive</x:v>
      </x:c>
      <x:c r="F88" t="n">
        <x:v>184</x:v>
      </x:c>
      <x:c r="G88" t="n">
        <x:v>173</x:v>
      </x:c>
      <x:c r="H88" t="n">
        <x:v>1.4</x:v>
      </x:c>
      <x:c r="I88" t="n">
        <x:v>3</x:v>
      </x:c>
      <x:c r="J88" t="n">
        <x:v>6.4</x:v>
      </x:c>
      <x:c r="K88" s="40" t="n">
        <x:v>0.9402173913043478</x:v>
      </x:c>
    </x:row>
    <x:row r="89">
      <x:c r="A89" t="str">
        <x:v>EMP0084</x:v>
      </x:c>
      <x:c r="B89" t="str">
        <x:v>Employee 084</x:v>
      </x:c>
      <x:c r="C89" t="str">
        <x:v>Construction</x:v>
      </x:c>
      <x:c r="D89" t="str">
        <x:v>East Site</x:v>
      </x:c>
      <x:c r="E89" t="str">
        <x:v>Active</x:v>
      </x:c>
      <x:c r="F89" t="n">
        <x:v>176</x:v>
      </x:c>
      <x:c r="G89" t="n">
        <x:v>176</x:v>
      </x:c>
      <x:c r="H89" t="n">
        <x:v>0</x:v>
      </x:c>
      <x:c r="I89" t="n">
        <x:v>0</x:v>
      </x:c>
      <x:c r="J89" t="n">
        <x:v>22</x:v>
      </x:c>
      <x:c r="K89" s="40" t="n">
        <x:v>1</x:v>
      </x:c>
    </x:row>
    <x:row r="90">
      <x:c r="A90" t="str">
        <x:v>EMP0085</x:v>
      </x:c>
      <x:c r="B90" t="str">
        <x:v>Employee 085</x:v>
      </x:c>
      <x:c r="C90" t="str">
        <x:v>Finance</x:v>
      </x:c>
      <x:c r="D90" t="str">
        <x:v>Base Camp</x:v>
      </x:c>
      <x:c r="E90" t="str">
        <x:v>On Leave</x:v>
      </x:c>
      <x:c r="F90" t="n">
        <x:v>176</x:v>
      </x:c>
      <x:c r="G90" t="n">
        <x:v>166</x:v>
      </x:c>
      <x:c r="H90" t="n">
        <x:v>1.2</x:v>
      </x:c>
      <x:c r="I90" t="n">
        <x:v>5</x:v>
      </x:c>
      <x:c r="J90" t="n">
        <x:v>44.8</x:v>
      </x:c>
      <x:c r="K90" s="40" t="n">
        <x:v>0.9431818181818182</x:v>
      </x:c>
    </x:row>
    <x:row r="91">
      <x:c r="A91" t="str">
        <x:v>EMP0086</x:v>
      </x:c>
      <x:c r="B91" t="str">
        <x:v>Employee 086</x:v>
      </x:c>
      <x:c r="C91" t="str">
        <x:v>Warehouse</x:v>
      </x:c>
      <x:c r="D91" t="str">
        <x:v>Head Office</x:v>
      </x:c>
      <x:c r="E91" t="str">
        <x:v>Active</x:v>
      </x:c>
      <x:c r="F91" t="n">
        <x:v>208</x:v>
      </x:c>
      <x:c r="G91" t="n">
        <x:v>201</x:v>
      </x:c>
      <x:c r="H91" t="n">
        <x:v>0.9</x:v>
      </x:c>
      <x:c r="I91" t="n">
        <x:v>0</x:v>
      </x:c>
      <x:c r="J91" t="n">
        <x:v>8.7</x:v>
      </x:c>
      <x:c r="K91" s="40" t="n">
        <x:v>0.9663461538461539</x:v>
      </x:c>
    </x:row>
    <x:row r="92">
      <x:c r="A92" t="str">
        <x:v>EMP0087</x:v>
      </x:c>
      <x:c r="B92" t="str">
        <x:v>Employee 087</x:v>
      </x:c>
      <x:c r="C92" t="str">
        <x:v>Warehouse</x:v>
      </x:c>
      <x:c r="D92" t="str">
        <x:v>West Site</x:v>
      </x:c>
      <x:c r="E92" t="str">
        <x:v>Active</x:v>
      </x:c>
      <x:c r="F92" t="n">
        <x:v>184</x:v>
      </x:c>
      <x:c r="G92" t="n">
        <x:v>171</x:v>
      </x:c>
      <x:c r="H92" t="n">
        <x:v>1.6</x:v>
      </x:c>
      <x:c r="I92" t="n">
        <x:v>1</x:v>
      </x:c>
      <x:c r="J92" t="n">
        <x:v>31.3</x:v>
      </x:c>
      <x:c r="K92" s="40" t="n">
        <x:v>0.9293478260869565</x:v>
      </x:c>
    </x:row>
    <x:row r="93">
      <x:c r="A93" t="str">
        <x:v>EMP0088</x:v>
      </x:c>
      <x:c r="B93" t="str">
        <x:v>Employee 088</x:v>
      </x:c>
      <x:c r="C93" t="str">
        <x:v>Fleet &amp; Transportation</x:v>
      </x:c>
      <x:c r="D93" t="str">
        <x:v>Head Office</x:v>
      </x:c>
      <x:c r="E93" t="str">
        <x:v>Active</x:v>
      </x:c>
      <x:c r="F93" t="n">
        <x:v>200</x:v>
      </x:c>
      <x:c r="G93" t="n">
        <x:v>182</x:v>
      </x:c>
      <x:c r="H93" t="n">
        <x:v>2.2</x:v>
      </x:c>
      <x:c r="I93" t="n">
        <x:v>5</x:v>
      </x:c>
      <x:c r="J93" t="n">
        <x:v>2.7</x:v>
      </x:c>
      <x:c r="K93" s="40" t="n">
        <x:v>0.91</x:v>
      </x:c>
    </x:row>
    <x:row r="94">
      <x:c r="A94" t="str">
        <x:v>EMP0089</x:v>
      </x:c>
      <x:c r="B94" t="str">
        <x:v>Employee 089</x:v>
      </x:c>
      <x:c r="C94" t="str">
        <x:v>Document Control</x:v>
      </x:c>
      <x:c r="D94" t="str">
        <x:v>Segment Factory</x:v>
      </x:c>
      <x:c r="E94" t="str">
        <x:v>Active</x:v>
      </x:c>
      <x:c r="F94" t="n">
        <x:v>192</x:v>
      </x:c>
      <x:c r="G94" t="n">
        <x:v>168</x:v>
      </x:c>
      <x:c r="H94" t="n">
        <x:v>3</x:v>
      </x:c>
      <x:c r="I94" t="n">
        <x:v>5</x:v>
      </x:c>
      <x:c r="J94" t="n">
        <x:v>41.4</x:v>
      </x:c>
      <x:c r="K94" s="40" t="n">
        <x:v>0.875</x:v>
      </x:c>
    </x:row>
    <x:row r="95">
      <x:c r="A95" t="str">
        <x:v>EMP0090</x:v>
      </x:c>
      <x:c r="B95" t="str">
        <x:v>Employee 090</x:v>
      </x:c>
      <x:c r="C95" t="str">
        <x:v>Document Control</x:v>
      </x:c>
      <x:c r="D95" t="str">
        <x:v>Warehouse</x:v>
      </x:c>
      <x:c r="E95" t="str">
        <x:v>On Leave</x:v>
      </x:c>
      <x:c r="F95" t="n">
        <x:v>208</x:v>
      </x:c>
      <x:c r="G95" t="n">
        <x:v>181</x:v>
      </x:c>
      <x:c r="H95" t="n">
        <x:v>3.4</x:v>
      </x:c>
      <x:c r="I95" t="n">
        <x:v>2</x:v>
      </x:c>
      <x:c r="J95" t="n">
        <x:v>54.4</x:v>
      </x:c>
      <x:c r="K95" s="40" t="n">
        <x:v>0.8701923076923077</x:v>
      </x:c>
    </x:row>
    <x:row r="96">
      <x:c r="A96" t="str">
        <x:v>EMP0091</x:v>
      </x:c>
      <x:c r="B96" t="str">
        <x:v>Employee 091</x:v>
      </x:c>
      <x:c r="C96" t="str">
        <x:v>Warehouse</x:v>
      </x:c>
      <x:c r="D96" t="str">
        <x:v>Segment Factory</x:v>
      </x:c>
      <x:c r="E96" t="str">
        <x:v>On Leave</x:v>
      </x:c>
      <x:c r="F96" t="n">
        <x:v>208</x:v>
      </x:c>
      <x:c r="G96" t="n">
        <x:v>205</x:v>
      </x:c>
      <x:c r="H96" t="n">
        <x:v>0.4</x:v>
      </x:c>
      <x:c r="I96" t="n">
        <x:v>3</x:v>
      </x:c>
      <x:c r="J96" t="n">
        <x:v>39.9</x:v>
      </x:c>
      <x:c r="K96" s="40" t="n">
        <x:v>0.9855769230769231</x:v>
      </x:c>
    </x:row>
    <x:row r="97">
      <x:c r="A97" t="str">
        <x:v>EMP0092</x:v>
      </x:c>
      <x:c r="B97" t="str">
        <x:v>Employee 092</x:v>
      </x:c>
      <x:c r="C97" t="str">
        <x:v>Construction</x:v>
      </x:c>
      <x:c r="D97" t="str">
        <x:v>Warehouse</x:v>
      </x:c>
      <x:c r="E97" t="str">
        <x:v>Active</x:v>
      </x:c>
      <x:c r="F97" t="n">
        <x:v>208</x:v>
      </x:c>
      <x:c r="G97" t="n">
        <x:v>198</x:v>
      </x:c>
      <x:c r="H97" t="n">
        <x:v>1.2</x:v>
      </x:c>
      <x:c r="I97" t="n">
        <x:v>0</x:v>
      </x:c>
      <x:c r="J97" t="n">
        <x:v>47.2</x:v>
      </x:c>
      <x:c r="K97" s="40" t="n">
        <x:v>0.9519230769230769</x:v>
      </x:c>
    </x:row>
    <x:row r="98">
      <x:c r="A98" t="str">
        <x:v>EMP0093</x:v>
      </x:c>
      <x:c r="B98" t="str">
        <x:v>Employee 093</x:v>
      </x:c>
      <x:c r="C98" t="str">
        <x:v>Construction</x:v>
      </x:c>
      <x:c r="D98" t="str">
        <x:v>Warehouse</x:v>
      </x:c>
      <x:c r="E98" t="str">
        <x:v>Active</x:v>
      </x:c>
      <x:c r="F98" t="n">
        <x:v>208</x:v>
      </x:c>
      <x:c r="G98" t="n">
        <x:v>183</x:v>
      </x:c>
      <x:c r="H98" t="n">
        <x:v>3.1</x:v>
      </x:c>
      <x:c r="I98" t="n">
        <x:v>3</x:v>
      </x:c>
      <x:c r="J98" t="n">
        <x:v>2.2</x:v>
      </x:c>
      <x:c r="K98" s="40" t="n">
        <x:v>0.8798076923076923</x:v>
      </x:c>
    </x:row>
    <x:row r="99">
      <x:c r="A99" t="str">
        <x:v>EMP0094</x:v>
      </x:c>
      <x:c r="B99" t="str">
        <x:v>Employee 094</x:v>
      </x:c>
      <x:c r="C99" t="str">
        <x:v>Finance</x:v>
      </x:c>
      <x:c r="D99" t="str">
        <x:v>Segment Factory</x:v>
      </x:c>
      <x:c r="E99" t="str">
        <x:v>Active</x:v>
      </x:c>
      <x:c r="F99" t="n">
        <x:v>208</x:v>
      </x:c>
      <x:c r="G99" t="n">
        <x:v>197</x:v>
      </x:c>
      <x:c r="H99" t="n">
        <x:v>1.4</x:v>
      </x:c>
      <x:c r="I99" t="n">
        <x:v>2</x:v>
      </x:c>
      <x:c r="J99" t="n">
        <x:v>53.9</x:v>
      </x:c>
      <x:c r="K99" s="40" t="n">
        <x:v>0.9471153846153846</x:v>
      </x:c>
    </x:row>
    <x:row r="100">
      <x:c r="A100" t="str">
        <x:v>EMP0095</x:v>
      </x:c>
      <x:c r="B100" t="str">
        <x:v>Employee 095</x:v>
      </x:c>
      <x:c r="C100" t="str">
        <x:v>Construction</x:v>
      </x:c>
      <x:c r="D100" t="str">
        <x:v>Warehouse</x:v>
      </x:c>
      <x:c r="E100" t="str">
        <x:v>Inactive</x:v>
      </x:c>
      <x:c r="F100" t="n">
        <x:v>192</x:v>
      </x:c>
      <x:c r="G100" t="n">
        <x:v>185</x:v>
      </x:c>
      <x:c r="H100" t="n">
        <x:v>0.9</x:v>
      </x:c>
      <x:c r="I100" t="n">
        <x:v>5</x:v>
      </x:c>
      <x:c r="J100" t="n">
        <x:v>8.2</x:v>
      </x:c>
      <x:c r="K100" s="40" t="n">
        <x:v>0.9635416666666666</x:v>
      </x:c>
    </x:row>
    <x:row r="101">
      <x:c r="A101" t="str">
        <x:v>EMP0096</x:v>
      </x:c>
      <x:c r="B101" t="str">
        <x:v>Employee 096</x:v>
      </x:c>
      <x:c r="C101" t="str">
        <x:v>Finance</x:v>
      </x:c>
      <x:c r="D101" t="str">
        <x:v>Head Office</x:v>
      </x:c>
      <x:c r="E101" t="str">
        <x:v>Active</x:v>
      </x:c>
      <x:c r="F101" t="n">
        <x:v>200</x:v>
      </x:c>
      <x:c r="G101" t="n">
        <x:v>168</x:v>
      </x:c>
      <x:c r="H101" t="n">
        <x:v>4</x:v>
      </x:c>
      <x:c r="I101" t="n">
        <x:v>5</x:v>
      </x:c>
      <x:c r="J101" t="n">
        <x:v>19.9</x:v>
      </x:c>
      <x:c r="K101" s="40" t="n">
        <x:v>0.84</x:v>
      </x:c>
    </x:row>
    <x:row r="102">
      <x:c r="A102" t="str">
        <x:v>EMP0097</x:v>
      </x:c>
      <x:c r="B102" t="str">
        <x:v>Employee 097</x:v>
      </x:c>
      <x:c r="C102" t="str">
        <x:v>Construction</x:v>
      </x:c>
      <x:c r="D102" t="str">
        <x:v>Warehouse</x:v>
      </x:c>
      <x:c r="E102" t="str">
        <x:v>Active</x:v>
      </x:c>
      <x:c r="F102" t="n">
        <x:v>184</x:v>
      </x:c>
      <x:c r="G102" t="n">
        <x:v>170</x:v>
      </x:c>
      <x:c r="H102" t="n">
        <x:v>1.8</x:v>
      </x:c>
      <x:c r="I102" t="n">
        <x:v>4</x:v>
      </x:c>
      <x:c r="J102" t="n">
        <x:v>20.5</x:v>
      </x:c>
      <x:c r="K102" s="40" t="n">
        <x:v>0.9239130434782609</x:v>
      </x:c>
    </x:row>
    <x:row r="103">
      <x:c r="A103" t="str">
        <x:v>EMP0098</x:v>
      </x:c>
      <x:c r="B103" t="str">
        <x:v>Employee 098</x:v>
      </x:c>
      <x:c r="C103" t="str">
        <x:v>Human Resources</x:v>
      </x:c>
      <x:c r="D103" t="str">
        <x:v>Base Camp</x:v>
      </x:c>
      <x:c r="E103" t="str">
        <x:v>On Leave</x:v>
      </x:c>
      <x:c r="F103" t="n">
        <x:v>208</x:v>
      </x:c>
      <x:c r="G103" t="n">
        <x:v>177</x:v>
      </x:c>
      <x:c r="H103" t="n">
        <x:v>3.9</x:v>
      </x:c>
      <x:c r="I103" t="n">
        <x:v>1</x:v>
      </x:c>
      <x:c r="J103" t="n">
        <x:v>40.8</x:v>
      </x:c>
      <x:c r="K103" s="40" t="n">
        <x:v>0.8509615384615384</x:v>
      </x:c>
    </x:row>
    <x:row r="104">
      <x:c r="A104" t="str">
        <x:v>EMP0099</x:v>
      </x:c>
      <x:c r="B104" t="str">
        <x:v>Employee 099</x:v>
      </x:c>
      <x:c r="C104" t="str">
        <x:v>Construction</x:v>
      </x:c>
      <x:c r="D104" t="str">
        <x:v>Head Office</x:v>
      </x:c>
      <x:c r="E104" t="str">
        <x:v>Active</x:v>
      </x:c>
      <x:c r="F104" t="n">
        <x:v>200</x:v>
      </x:c>
      <x:c r="G104" t="n">
        <x:v>194</x:v>
      </x:c>
      <x:c r="H104" t="n">
        <x:v>0.8</x:v>
      </x:c>
      <x:c r="I104" t="n">
        <x:v>0</x:v>
      </x:c>
      <x:c r="J104" t="n">
        <x:v>6.5</x:v>
      </x:c>
      <x:c r="K104" s="40" t="n">
        <x:v>0.97</x:v>
      </x:c>
    </x:row>
    <x:row r="105">
      <x:c r="A105" t="str">
        <x:v>EMP0100</x:v>
      </x:c>
      <x:c r="B105" t="str">
        <x:v>Employee 100</x:v>
      </x:c>
      <x:c r="C105" t="str">
        <x:v>Human Resources</x:v>
      </x:c>
      <x:c r="D105" t="str">
        <x:v>Head Office</x:v>
      </x:c>
      <x:c r="E105" t="str">
        <x:v>Inactive</x:v>
      </x:c>
      <x:c r="F105" t="n">
        <x:v>184</x:v>
      </x:c>
      <x:c r="G105" t="n">
        <x:v>159</x:v>
      </x:c>
      <x:c r="H105" t="n">
        <x:v>3.1</x:v>
      </x:c>
      <x:c r="I105" t="n">
        <x:v>3</x:v>
      </x:c>
      <x:c r="J105" t="n">
        <x:v>31.3</x:v>
      </x:c>
      <x:c r="K105" s="40" t="n">
        <x:v>0.8641304347826086</x:v>
      </x:c>
    </x:row>
    <x:row r="106">
      <x:c r="A106" t="str">
        <x:v>EMP0101</x:v>
      </x:c>
      <x:c r="B106" t="str">
        <x:v>Employee 101</x:v>
      </x:c>
      <x:c r="C106" t="str">
        <x:v>Logistics</x:v>
      </x:c>
      <x:c r="D106" t="str">
        <x:v>Head Office</x:v>
      </x:c>
      <x:c r="E106" t="str">
        <x:v>Active</x:v>
      </x:c>
      <x:c r="F106" t="n">
        <x:v>184</x:v>
      </x:c>
      <x:c r="G106" t="n">
        <x:v>179</x:v>
      </x:c>
      <x:c r="H106" t="n">
        <x:v>0.6</x:v>
      </x:c>
      <x:c r="I106" t="n">
        <x:v>2</x:v>
      </x:c>
      <x:c r="J106" t="n">
        <x:v>29.1</x:v>
      </x:c>
      <x:c r="K106" s="40" t="n">
        <x:v>0.9728260869565217</x:v>
      </x:c>
    </x:row>
    <x:row r="107">
      <x:c r="A107" t="str">
        <x:v>EMP0102</x:v>
      </x:c>
      <x:c r="B107" t="str">
        <x:v>Employee 102</x:v>
      </x:c>
      <x:c r="C107" t="str">
        <x:v>Construction</x:v>
      </x:c>
      <x:c r="D107" t="str">
        <x:v>Warehouse</x:v>
      </x:c>
      <x:c r="E107" t="str">
        <x:v>Active</x:v>
      </x:c>
      <x:c r="F107" t="n">
        <x:v>208</x:v>
      </x:c>
      <x:c r="G107" t="n">
        <x:v>176</x:v>
      </x:c>
      <x:c r="H107" t="n">
        <x:v>4</x:v>
      </x:c>
      <x:c r="I107" t="n">
        <x:v>2</x:v>
      </x:c>
      <x:c r="J107" t="n">
        <x:v>41.9</x:v>
      </x:c>
      <x:c r="K107" s="40" t="n">
        <x:v>0.8461538461538461</x:v>
      </x:c>
    </x:row>
    <x:row r="108">
      <x:c r="A108" t="str">
        <x:v>EMP0103</x:v>
      </x:c>
      <x:c r="B108" t="str">
        <x:v>Employee 103</x:v>
      </x:c>
      <x:c r="C108" t="str">
        <x:v>Human Resources</x:v>
      </x:c>
      <x:c r="D108" t="str">
        <x:v>Warehouse</x:v>
      </x:c>
      <x:c r="E108" t="str">
        <x:v>Active</x:v>
      </x:c>
      <x:c r="F108" t="n">
        <x:v>192</x:v>
      </x:c>
      <x:c r="G108" t="n">
        <x:v>183</x:v>
      </x:c>
      <x:c r="H108" t="n">
        <x:v>1.1</x:v>
      </x:c>
      <x:c r="I108" t="n">
        <x:v>2</x:v>
      </x:c>
      <x:c r="J108" t="n">
        <x:v>33.8</x:v>
      </x:c>
      <x:c r="K108" s="40" t="n">
        <x:v>0.953125</x:v>
      </x:c>
    </x:row>
    <x:row r="109">
      <x:c r="A109" t="str">
        <x:v>EMP0104</x:v>
      </x:c>
      <x:c r="B109" t="str">
        <x:v>Employee 104</x:v>
      </x:c>
      <x:c r="C109" t="str">
        <x:v>Construction</x:v>
      </x:c>
      <x:c r="D109" t="str">
        <x:v>West Site</x:v>
      </x:c>
      <x:c r="E109" t="str">
        <x:v>Active</x:v>
      </x:c>
      <x:c r="F109" t="n">
        <x:v>208</x:v>
      </x:c>
      <x:c r="G109" t="n">
        <x:v>177</x:v>
      </x:c>
      <x:c r="H109" t="n">
        <x:v>3.9</x:v>
      </x:c>
      <x:c r="I109" t="n">
        <x:v>1</x:v>
      </x:c>
      <x:c r="J109" t="n">
        <x:v>15</x:v>
      </x:c>
      <x:c r="K109" s="40" t="n">
        <x:v>0.8509615384615384</x:v>
      </x:c>
    </x:row>
    <x:row r="110">
      <x:c r="A110" t="str">
        <x:v>EMP0105</x:v>
      </x:c>
      <x:c r="B110" t="str">
        <x:v>Employee 105</x:v>
      </x:c>
      <x:c r="C110" t="str">
        <x:v>Logistics</x:v>
      </x:c>
      <x:c r="D110" t="str">
        <x:v>East Site</x:v>
      </x:c>
      <x:c r="E110" t="str">
        <x:v>Active</x:v>
      </x:c>
      <x:c r="F110" t="n">
        <x:v>176</x:v>
      </x:c>
      <x:c r="G110" t="n">
        <x:v>144</x:v>
      </x:c>
      <x:c r="H110" t="n">
        <x:v>4</x:v>
      </x:c>
      <x:c r="I110" t="n">
        <x:v>2</x:v>
      </x:c>
      <x:c r="J110" t="n">
        <x:v>54.3</x:v>
      </x:c>
      <x:c r="K110" s="40" t="n">
        <x:v>0.8181818181818182</x:v>
      </x:c>
    </x:row>
    <x:row r="111">
      <x:c r="A111" t="str">
        <x:v>EMP0106</x:v>
      </x:c>
      <x:c r="B111" t="str">
        <x:v>Employee 106</x:v>
      </x:c>
      <x:c r="C111" t="str">
        <x:v>Project Administration</x:v>
      </x:c>
      <x:c r="D111" t="str">
        <x:v>Head Office</x:v>
      </x:c>
      <x:c r="E111" t="str">
        <x:v>Active</x:v>
      </x:c>
      <x:c r="F111" t="n">
        <x:v>208</x:v>
      </x:c>
      <x:c r="G111" t="n">
        <x:v>194</x:v>
      </x:c>
      <x:c r="H111" t="n">
        <x:v>1.8</x:v>
      </x:c>
      <x:c r="I111" t="n">
        <x:v>1</x:v>
      </x:c>
      <x:c r="J111" t="n">
        <x:v>18.3</x:v>
      </x:c>
      <x:c r="K111" s="40" t="n">
        <x:v>0.9326923076923077</x:v>
      </x:c>
    </x:row>
    <x:row r="112">
      <x:c r="A112" t="str">
        <x:v>EMP0107</x:v>
      </x:c>
      <x:c r="B112" t="str">
        <x:v>Employee 107</x:v>
      </x:c>
      <x:c r="C112" t="str">
        <x:v>Executive Office</x:v>
      </x:c>
      <x:c r="D112" t="str">
        <x:v>Base Camp</x:v>
      </x:c>
      <x:c r="E112" t="str">
        <x:v>Active</x:v>
      </x:c>
      <x:c r="F112" t="n">
        <x:v>200</x:v>
      </x:c>
      <x:c r="G112" t="n">
        <x:v>172</x:v>
      </x:c>
      <x:c r="H112" t="n">
        <x:v>3.5</x:v>
      </x:c>
      <x:c r="I112" t="n">
        <x:v>2</x:v>
      </x:c>
      <x:c r="J112" t="n">
        <x:v>15.4</x:v>
      </x:c>
      <x:c r="K112" s="40" t="n">
        <x:v>0.86</x:v>
      </x:c>
    </x:row>
    <x:row r="113">
      <x:c r="A113" t="str">
        <x:v>EMP0108</x:v>
      </x:c>
      <x:c r="B113" t="str">
        <x:v>Employee 108</x:v>
      </x:c>
      <x:c r="C113" t="str">
        <x:v>Construction</x:v>
      </x:c>
      <x:c r="D113" t="str">
        <x:v>West Site</x:v>
      </x:c>
      <x:c r="E113" t="str">
        <x:v>Active</x:v>
      </x:c>
      <x:c r="F113" t="n">
        <x:v>176</x:v>
      </x:c>
      <x:c r="G113" t="n">
        <x:v>148</x:v>
      </x:c>
      <x:c r="H113" t="n">
        <x:v>3.5</x:v>
      </x:c>
      <x:c r="I113" t="n">
        <x:v>1</x:v>
      </x:c>
      <x:c r="J113" t="n">
        <x:v>38.5</x:v>
      </x:c>
      <x:c r="K113" s="40" t="n">
        <x:v>0.8409090909090909</x:v>
      </x:c>
    </x:row>
    <x:row r="114">
      <x:c r="A114" t="str">
        <x:v>EMP0109</x:v>
      </x:c>
      <x:c r="B114" t="str">
        <x:v>Employee 109</x:v>
      </x:c>
      <x:c r="C114" t="str">
        <x:v>Construction</x:v>
      </x:c>
      <x:c r="D114" t="str">
        <x:v>Head Office</x:v>
      </x:c>
      <x:c r="E114" t="str">
        <x:v>Inactive</x:v>
      </x:c>
      <x:c r="F114" t="n">
        <x:v>208</x:v>
      </x:c>
      <x:c r="G114" t="n">
        <x:v>206</x:v>
      </x:c>
      <x:c r="H114" t="n">
        <x:v>0.2</x:v>
      </x:c>
      <x:c r="I114" t="n">
        <x:v>2</x:v>
      </x:c>
      <x:c r="J114" t="n">
        <x:v>27</x:v>
      </x:c>
      <x:c r="K114" s="40" t="n">
        <x:v>0.9903846153846154</x:v>
      </x:c>
    </x:row>
    <x:row r="115">
      <x:c r="A115" t="str">
        <x:v>EMP0110</x:v>
      </x:c>
      <x:c r="B115" t="str">
        <x:v>Employee 110</x:v>
      </x:c>
      <x:c r="C115" t="str">
        <x:v>Human Resources</x:v>
      </x:c>
      <x:c r="D115" t="str">
        <x:v>Segment Factory</x:v>
      </x:c>
      <x:c r="E115" t="str">
        <x:v>Inactive</x:v>
      </x:c>
      <x:c r="F115" t="n">
        <x:v>176</x:v>
      </x:c>
      <x:c r="G115" t="n">
        <x:v>156</x:v>
      </x:c>
      <x:c r="H115" t="n">
        <x:v>2.5</x:v>
      </x:c>
      <x:c r="I115" t="n">
        <x:v>5</x:v>
      </x:c>
      <x:c r="J115" t="n">
        <x:v>31.3</x:v>
      </x:c>
      <x:c r="K115" s="40" t="n">
        <x:v>0.8863636363636364</x:v>
      </x:c>
    </x:row>
    <x:row r="116">
      <x:c r="A116" t="str">
        <x:v>EMP0111</x:v>
      </x:c>
      <x:c r="B116" t="str">
        <x:v>Employee 111</x:v>
      </x:c>
      <x:c r="C116" t="str">
        <x:v>Human Resources</x:v>
      </x:c>
      <x:c r="D116" t="str">
        <x:v>Head Office</x:v>
      </x:c>
      <x:c r="E116" t="str">
        <x:v>Active</x:v>
      </x:c>
      <x:c r="F116" t="n">
        <x:v>200</x:v>
      </x:c>
      <x:c r="G116" t="n">
        <x:v>198</x:v>
      </x:c>
      <x:c r="H116" t="n">
        <x:v>0.2</x:v>
      </x:c>
      <x:c r="I116" t="n">
        <x:v>4</x:v>
      </x:c>
      <x:c r="J116" t="n">
        <x:v>36.9</x:v>
      </x:c>
      <x:c r="K116" s="40" t="n">
        <x:v>0.99</x:v>
      </x:c>
    </x:row>
    <x:row r="117">
      <x:c r="A117" t="str">
        <x:v>EMP0112</x:v>
      </x:c>
      <x:c r="B117" t="str">
        <x:v>Employee 112</x:v>
      </x:c>
      <x:c r="C117" t="str">
        <x:v>Construction</x:v>
      </x:c>
      <x:c r="D117" t="str">
        <x:v>Segment Factory</x:v>
      </x:c>
      <x:c r="E117" t="str">
        <x:v>Inactive</x:v>
      </x:c>
      <x:c r="F117" t="n">
        <x:v>208</x:v>
      </x:c>
      <x:c r="G117" t="n">
        <x:v>177</x:v>
      </x:c>
      <x:c r="H117" t="n">
        <x:v>3.9</x:v>
      </x:c>
      <x:c r="I117" t="n">
        <x:v>2</x:v>
      </x:c>
      <x:c r="J117" t="n">
        <x:v>24.6</x:v>
      </x:c>
      <x:c r="K117" s="40" t="n">
        <x:v>0.8509615384615384</x:v>
      </x:c>
    </x:row>
    <x:row r="118">
      <x:c r="A118" t="str">
        <x:v>EMP0113</x:v>
      </x:c>
      <x:c r="B118" t="str">
        <x:v>Employee 113</x:v>
      </x:c>
      <x:c r="C118" t="str">
        <x:v>Project Administration</x:v>
      </x:c>
      <x:c r="D118" t="str">
        <x:v>Warehouse</x:v>
      </x:c>
      <x:c r="E118" t="str">
        <x:v>On Leave</x:v>
      </x:c>
      <x:c r="F118" t="n">
        <x:v>200</x:v>
      </x:c>
      <x:c r="G118" t="n">
        <x:v>188</x:v>
      </x:c>
      <x:c r="H118" t="n">
        <x:v>1.5</x:v>
      </x:c>
      <x:c r="I118" t="n">
        <x:v>3</x:v>
      </x:c>
      <x:c r="J118" t="n">
        <x:v>52.2</x:v>
      </x:c>
      <x:c r="K118" s="40" t="n">
        <x:v>0.94</x:v>
      </x:c>
    </x:row>
    <x:row r="119">
      <x:c r="A119" t="str">
        <x:v>EMP0114</x:v>
      </x:c>
      <x:c r="B119" t="str">
        <x:v>Employee 114</x:v>
      </x:c>
      <x:c r="C119" t="str">
        <x:v>Warehouse</x:v>
      </x:c>
      <x:c r="D119" t="str">
        <x:v>West Site</x:v>
      </x:c>
      <x:c r="E119" t="str">
        <x:v>Active</x:v>
      </x:c>
      <x:c r="F119" t="n">
        <x:v>200</x:v>
      </x:c>
      <x:c r="G119" t="n">
        <x:v>196</x:v>
      </x:c>
      <x:c r="H119" t="n">
        <x:v>0.5</x:v>
      </x:c>
      <x:c r="I119" t="n">
        <x:v>0</x:v>
      </x:c>
      <x:c r="J119" t="n">
        <x:v>44.5</x:v>
      </x:c>
      <x:c r="K119" s="40" t="n">
        <x:v>0.98</x:v>
      </x:c>
    </x:row>
    <x:row r="120">
      <x:c r="A120" t="str">
        <x:v>EMP0115</x:v>
      </x:c>
      <x:c r="B120" t="str">
        <x:v>Employee 115</x:v>
      </x:c>
      <x:c r="C120" t="str">
        <x:v>Warehouse</x:v>
      </x:c>
      <x:c r="D120" t="str">
        <x:v>East Site</x:v>
      </x:c>
      <x:c r="E120" t="str">
        <x:v>Active</x:v>
      </x:c>
      <x:c r="F120" t="n">
        <x:v>176</x:v>
      </x:c>
      <x:c r="G120" t="n">
        <x:v>157</x:v>
      </x:c>
      <x:c r="H120" t="n">
        <x:v>2.4</x:v>
      </x:c>
      <x:c r="I120" t="n">
        <x:v>2</x:v>
      </x:c>
      <x:c r="J120" t="n">
        <x:v>46.9</x:v>
      </x:c>
      <x:c r="K120" s="40" t="n">
        <x:v>0.8920454545454546</x:v>
      </x:c>
    </x:row>
    <x:row r="121">
      <x:c r="A121" t="str">
        <x:v>EMP0116</x:v>
      </x:c>
      <x:c r="B121" t="str">
        <x:v>Employee 116</x:v>
      </x:c>
      <x:c r="C121" t="str">
        <x:v>Fleet &amp; Transportation</x:v>
      </x:c>
      <x:c r="D121" t="str">
        <x:v>Warehouse</x:v>
      </x:c>
      <x:c r="E121" t="str">
        <x:v>On Leave</x:v>
      </x:c>
      <x:c r="F121" t="n">
        <x:v>208</x:v>
      </x:c>
      <x:c r="G121" t="n">
        <x:v>199</x:v>
      </x:c>
      <x:c r="H121" t="n">
        <x:v>1.1</x:v>
      </x:c>
      <x:c r="I121" t="n">
        <x:v>0</x:v>
      </x:c>
      <x:c r="J121" t="n">
        <x:v>10.1</x:v>
      </x:c>
      <x:c r="K121" s="40" t="n">
        <x:v>0.9567307692307693</x:v>
      </x:c>
    </x:row>
    <x:row r="122">
      <x:c r="A122" t="str">
        <x:v>EMP0117</x:v>
      </x:c>
      <x:c r="B122" t="str">
        <x:v>Employee 117</x:v>
      </x:c>
      <x:c r="C122" t="str">
        <x:v>Fleet &amp; Transportation</x:v>
      </x:c>
      <x:c r="D122" t="str">
        <x:v>Warehouse</x:v>
      </x:c>
      <x:c r="E122" t="str">
        <x:v>Active</x:v>
      </x:c>
      <x:c r="F122" t="n">
        <x:v>184</x:v>
      </x:c>
      <x:c r="G122" t="n">
        <x:v>174</x:v>
      </x:c>
      <x:c r="H122" t="n">
        <x:v>1.2</x:v>
      </x:c>
      <x:c r="I122" t="n">
        <x:v>1</x:v>
      </x:c>
      <x:c r="J122" t="n">
        <x:v>10</x:v>
      </x:c>
      <x:c r="K122" s="40" t="n">
        <x:v>0.9456521739130435</x:v>
      </x:c>
    </x:row>
    <x:row r="123">
      <x:c r="A123" t="str">
        <x:v>EMP0118</x:v>
      </x:c>
      <x:c r="B123" t="str">
        <x:v>Employee 118</x:v>
      </x:c>
      <x:c r="C123" t="str">
        <x:v>Construction</x:v>
      </x:c>
      <x:c r="D123" t="str">
        <x:v>Head Office</x:v>
      </x:c>
      <x:c r="E123" t="str">
        <x:v>Active</x:v>
      </x:c>
      <x:c r="F123" t="n">
        <x:v>184</x:v>
      </x:c>
      <x:c r="G123" t="n">
        <x:v>173</x:v>
      </x:c>
      <x:c r="H123" t="n">
        <x:v>1.4</x:v>
      </x:c>
      <x:c r="I123" t="n">
        <x:v>5</x:v>
      </x:c>
      <x:c r="J123" t="n">
        <x:v>7.1</x:v>
      </x:c>
      <x:c r="K123" s="40" t="n">
        <x:v>0.9402173913043478</x:v>
      </x:c>
    </x:row>
    <x:row r="124">
      <x:c r="A124" t="str">
        <x:v>EMP0119</x:v>
      </x:c>
      <x:c r="B124" t="str">
        <x:v>Employee 119</x:v>
      </x:c>
      <x:c r="C124" t="str">
        <x:v>Logistics</x:v>
      </x:c>
      <x:c r="D124" t="str">
        <x:v>Head Office</x:v>
      </x:c>
      <x:c r="E124" t="str">
        <x:v>Active</x:v>
      </x:c>
      <x:c r="F124" t="n">
        <x:v>200</x:v>
      </x:c>
      <x:c r="G124" t="n">
        <x:v>200</x:v>
      </x:c>
      <x:c r="H124" t="n">
        <x:v>0</x:v>
      </x:c>
      <x:c r="I124" t="n">
        <x:v>5</x:v>
      </x:c>
      <x:c r="J124" t="n">
        <x:v>9.3</x:v>
      </x:c>
      <x:c r="K124" s="40" t="n">
        <x:v>1</x:v>
      </x:c>
    </x:row>
    <x:row r="125">
      <x:c r="A125" t="str">
        <x:v>EMP0120</x:v>
      </x:c>
      <x:c r="B125" t="str">
        <x:v>Employee 120</x:v>
      </x:c>
      <x:c r="C125" t="str">
        <x:v>Construction</x:v>
      </x:c>
      <x:c r="D125" t="str">
        <x:v>Segment Factory</x:v>
      </x:c>
      <x:c r="E125" t="str">
        <x:v>Active</x:v>
      </x:c>
      <x:c r="F125" t="n">
        <x:v>200</x:v>
      </x:c>
      <x:c r="G125" t="n">
        <x:v>173</x:v>
      </x:c>
      <x:c r="H125" t="n">
        <x:v>3.4</x:v>
      </x:c>
      <x:c r="I125" t="n">
        <x:v>4</x:v>
      </x:c>
      <x:c r="J125" t="n">
        <x:v>35.8</x:v>
      </x:c>
      <x:c r="K125" s="40" t="n">
        <x:v>0.865</x:v>
      </x:c>
    </x:row>
    <x:row r="126">
      <x:c r="A126" t="str">
        <x:v>EMP0121</x:v>
      </x:c>
      <x:c r="B126" t="str">
        <x:v>Employee 121</x:v>
      </x:c>
      <x:c r="C126" t="str">
        <x:v>Executive Office</x:v>
      </x:c>
      <x:c r="D126" t="str">
        <x:v>West Site</x:v>
      </x:c>
      <x:c r="E126" t="str">
        <x:v>Active</x:v>
      </x:c>
      <x:c r="F126" t="n">
        <x:v>176</x:v>
      </x:c>
      <x:c r="G126" t="n">
        <x:v>155</x:v>
      </x:c>
      <x:c r="H126" t="n">
        <x:v>2.6</x:v>
      </x:c>
      <x:c r="I126" t="n">
        <x:v>4</x:v>
      </x:c>
      <x:c r="J126" t="n">
        <x:v>26.5</x:v>
      </x:c>
      <x:c r="K126" s="40" t="n">
        <x:v>0.8806818181818182</x:v>
      </x:c>
    </x:row>
    <x:row r="127">
      <x:c r="A127" t="str">
        <x:v>EMP0122</x:v>
      </x:c>
      <x:c r="B127" t="str">
        <x:v>Employee 122</x:v>
      </x:c>
      <x:c r="C127" t="str">
        <x:v>Fleet &amp; Transportation</x:v>
      </x:c>
      <x:c r="D127" t="str">
        <x:v>West Site</x:v>
      </x:c>
      <x:c r="E127" t="str">
        <x:v>Active</x:v>
      </x:c>
      <x:c r="F127" t="n">
        <x:v>208</x:v>
      </x:c>
      <x:c r="G127" t="n">
        <x:v>177</x:v>
      </x:c>
      <x:c r="H127" t="n">
        <x:v>3.9</x:v>
      </x:c>
      <x:c r="I127" t="n">
        <x:v>2</x:v>
      </x:c>
      <x:c r="J127" t="n">
        <x:v>25</x:v>
      </x:c>
      <x:c r="K127" s="40" t="n">
        <x:v>0.8509615384615384</x:v>
      </x:c>
    </x:row>
    <x:row r="128">
      <x:c r="A128" t="str">
        <x:v>EMP0123</x:v>
      </x:c>
      <x:c r="B128" t="str">
        <x:v>Employee 123</x:v>
      </x:c>
      <x:c r="C128" t="str">
        <x:v>Project Administration</x:v>
      </x:c>
      <x:c r="D128" t="str">
        <x:v>Segment Factory</x:v>
      </x:c>
      <x:c r="E128" t="str">
        <x:v>Active</x:v>
      </x:c>
      <x:c r="F128" t="n">
        <x:v>184</x:v>
      </x:c>
      <x:c r="G128" t="n">
        <x:v>169</x:v>
      </x:c>
      <x:c r="H128" t="n">
        <x:v>1.9</x:v>
      </x:c>
      <x:c r="I128" t="n">
        <x:v>3</x:v>
      </x:c>
      <x:c r="J128" t="n">
        <x:v>50.5</x:v>
      </x:c>
      <x:c r="K128" s="40" t="n">
        <x:v>0.9184782608695652</x:v>
      </x:c>
    </x:row>
    <x:row r="129">
      <x:c r="A129" t="str">
        <x:v>EMP0124</x:v>
      </x:c>
      <x:c r="B129" t="str">
        <x:v>Employee 124</x:v>
      </x:c>
      <x:c r="C129" t="str">
        <x:v>Warehouse</x:v>
      </x:c>
      <x:c r="D129" t="str">
        <x:v>Segment Factory</x:v>
      </x:c>
      <x:c r="E129" t="str">
        <x:v>Active</x:v>
      </x:c>
      <x:c r="F129" t="n">
        <x:v>208</x:v>
      </x:c>
      <x:c r="G129" t="n">
        <x:v>198</x:v>
      </x:c>
      <x:c r="H129" t="n">
        <x:v>1.2</x:v>
      </x:c>
      <x:c r="I129" t="n">
        <x:v>1</x:v>
      </x:c>
      <x:c r="J129" t="n">
        <x:v>3.6</x:v>
      </x:c>
      <x:c r="K129" s="40" t="n">
        <x:v>0.9519230769230769</x:v>
      </x:c>
    </x:row>
    <x:row r="130">
      <x:c r="A130" t="str">
        <x:v>EMP0125</x:v>
      </x:c>
      <x:c r="B130" t="str">
        <x:v>Employee 125</x:v>
      </x:c>
      <x:c r="C130" t="str">
        <x:v>Construction</x:v>
      </x:c>
      <x:c r="D130" t="str">
        <x:v>East Site</x:v>
      </x:c>
      <x:c r="E130" t="str">
        <x:v>Active</x:v>
      </x:c>
      <x:c r="F130" t="n">
        <x:v>200</x:v>
      </x:c>
      <x:c r="G130" t="n">
        <x:v>197</x:v>
      </x:c>
      <x:c r="H130" t="n">
        <x:v>0.4</x:v>
      </x:c>
      <x:c r="I130" t="n">
        <x:v>3</x:v>
      </x:c>
      <x:c r="J130" t="n">
        <x:v>15.8</x:v>
      </x:c>
      <x:c r="K130" s="40" t="n">
        <x:v>0.985</x:v>
      </x:c>
    </x:row>
    <x:row r="131">
      <x:c r="A131" t="str">
        <x:v>EMP0126</x:v>
      </x:c>
      <x:c r="B131" t="str">
        <x:v>Employee 126</x:v>
      </x:c>
      <x:c r="C131" t="str">
        <x:v>Project Administration</x:v>
      </x:c>
      <x:c r="D131" t="str">
        <x:v>Warehouse</x:v>
      </x:c>
      <x:c r="E131" t="str">
        <x:v>Active</x:v>
      </x:c>
      <x:c r="F131" t="n">
        <x:v>176</x:v>
      </x:c>
      <x:c r="G131" t="n">
        <x:v>160</x:v>
      </x:c>
      <x:c r="H131" t="n">
        <x:v>2</x:v>
      </x:c>
      <x:c r="I131" t="n">
        <x:v>5</x:v>
      </x:c>
      <x:c r="J131" t="n">
        <x:v>7.5</x:v>
      </x:c>
      <x:c r="K131" s="40" t="n">
        <x:v>0.9090909090909091</x:v>
      </x:c>
    </x:row>
    <x:row r="132">
      <x:c r="A132" t="str">
        <x:v>EMP0127</x:v>
      </x:c>
      <x:c r="B132" t="str">
        <x:v>Employee 127</x:v>
      </x:c>
      <x:c r="C132" t="str">
        <x:v>Logistics</x:v>
      </x:c>
      <x:c r="D132" t="str">
        <x:v>Head Office</x:v>
      </x:c>
      <x:c r="E132" t="str">
        <x:v>Active</x:v>
      </x:c>
      <x:c r="F132" t="n">
        <x:v>176</x:v>
      </x:c>
      <x:c r="G132" t="n">
        <x:v>163</x:v>
      </x:c>
      <x:c r="H132" t="n">
        <x:v>1.6</x:v>
      </x:c>
      <x:c r="I132" t="n">
        <x:v>3</x:v>
      </x:c>
      <x:c r="J132" t="n">
        <x:v>4.9</x:v>
      </x:c>
      <x:c r="K132" s="40" t="n">
        <x:v>0.9261363636363636</x:v>
      </x:c>
    </x:row>
    <x:row r="133">
      <x:c r="A133" t="str">
        <x:v>EMP0128</x:v>
      </x:c>
      <x:c r="B133" t="str">
        <x:v>Employee 128</x:v>
      </x:c>
      <x:c r="C133" t="str">
        <x:v>Construction</x:v>
      </x:c>
      <x:c r="D133" t="str">
        <x:v>West Site</x:v>
      </x:c>
      <x:c r="E133" t="str">
        <x:v>Active</x:v>
      </x:c>
      <x:c r="F133" t="n">
        <x:v>184</x:v>
      </x:c>
      <x:c r="G133" t="n">
        <x:v>174</x:v>
      </x:c>
      <x:c r="H133" t="n">
        <x:v>1.2</x:v>
      </x:c>
      <x:c r="I133" t="n">
        <x:v>1</x:v>
      </x:c>
      <x:c r="J133" t="n">
        <x:v>25</x:v>
      </x:c>
      <x:c r="K133" s="40" t="n">
        <x:v>0.9456521739130435</x:v>
      </x:c>
    </x:row>
    <x:row r="134">
      <x:c r="A134" t="str">
        <x:v>EMP0129</x:v>
      </x:c>
      <x:c r="B134" t="str">
        <x:v>Employee 129</x:v>
      </x:c>
      <x:c r="C134" t="str">
        <x:v>Project Administration</x:v>
      </x:c>
      <x:c r="D134" t="str">
        <x:v>West Site</x:v>
      </x:c>
      <x:c r="E134" t="str">
        <x:v>Active</x:v>
      </x:c>
      <x:c r="F134" t="n">
        <x:v>208</x:v>
      </x:c>
      <x:c r="G134" t="n">
        <x:v>206</x:v>
      </x:c>
      <x:c r="H134" t="n">
        <x:v>0.2</x:v>
      </x:c>
      <x:c r="I134" t="n">
        <x:v>1</x:v>
      </x:c>
      <x:c r="J134" t="n">
        <x:v>36.7</x:v>
      </x:c>
      <x:c r="K134" s="40" t="n">
        <x:v>0.9903846153846154</x:v>
      </x:c>
    </x:row>
    <x:row r="135">
      <x:c r="A135" t="str">
        <x:v>EMP0130</x:v>
      </x:c>
      <x:c r="B135" t="str">
        <x:v>Employee 130</x:v>
      </x:c>
      <x:c r="C135" t="str">
        <x:v>Document Control</x:v>
      </x:c>
      <x:c r="D135" t="str">
        <x:v>Base Camp</x:v>
      </x:c>
      <x:c r="E135" t="str">
        <x:v>Active</x:v>
      </x:c>
      <x:c r="F135" t="n">
        <x:v>192</x:v>
      </x:c>
      <x:c r="G135" t="n">
        <x:v>179</x:v>
      </x:c>
      <x:c r="H135" t="n">
        <x:v>1.6</x:v>
      </x:c>
      <x:c r="I135" t="n">
        <x:v>5</x:v>
      </x:c>
      <x:c r="J135" t="n">
        <x:v>7.3</x:v>
      </x:c>
      <x:c r="K135" s="40" t="n">
        <x:v>0.9322916666666666</x:v>
      </x:c>
    </x:row>
    <x:row r="136">
      <x:c r="A136" t="str">
        <x:v>EMP0131</x:v>
      </x:c>
      <x:c r="B136" t="str">
        <x:v>Employee 131</x:v>
      </x:c>
      <x:c r="C136" t="str">
        <x:v>Fleet &amp; Transportation</x:v>
      </x:c>
      <x:c r="D136" t="str">
        <x:v>Base Camp</x:v>
      </x:c>
      <x:c r="E136" t="str">
        <x:v>Active</x:v>
      </x:c>
      <x:c r="F136" t="n">
        <x:v>192</x:v>
      </x:c>
      <x:c r="G136" t="n">
        <x:v>173</x:v>
      </x:c>
      <x:c r="H136" t="n">
        <x:v>2.4</x:v>
      </x:c>
      <x:c r="I136" t="n">
        <x:v>3</x:v>
      </x:c>
      <x:c r="J136" t="n">
        <x:v>40.9</x:v>
      </x:c>
      <x:c r="K136" s="40" t="n">
        <x:v>0.9010416666666666</x:v>
      </x:c>
    </x:row>
    <x:row r="137">
      <x:c r="A137" t="str">
        <x:v>EMP0132</x:v>
      </x:c>
      <x:c r="B137" t="str">
        <x:v>Employee 132</x:v>
      </x:c>
      <x:c r="C137" t="str">
        <x:v>Finance</x:v>
      </x:c>
      <x:c r="D137" t="str">
        <x:v>Segment Factory</x:v>
      </x:c>
      <x:c r="E137" t="str">
        <x:v>Active</x:v>
      </x:c>
      <x:c r="F137" t="n">
        <x:v>184</x:v>
      </x:c>
      <x:c r="G137" t="n">
        <x:v>157</x:v>
      </x:c>
      <x:c r="H137" t="n">
        <x:v>3.4</x:v>
      </x:c>
      <x:c r="I137" t="n">
        <x:v>0</x:v>
      </x:c>
      <x:c r="J137" t="n">
        <x:v>4.6</x:v>
      </x:c>
      <x:c r="K137" s="40" t="n">
        <x:v>0.8532608695652174</x:v>
      </x:c>
    </x:row>
    <x:row r="138">
      <x:c r="A138" t="str">
        <x:v>EMP0133</x:v>
      </x:c>
      <x:c r="B138" t="str">
        <x:v>Employee 133</x:v>
      </x:c>
      <x:c r="C138" t="str">
        <x:v>Logistics</x:v>
      </x:c>
      <x:c r="D138" t="str">
        <x:v>Warehouse</x:v>
      </x:c>
      <x:c r="E138" t="str">
        <x:v>Active</x:v>
      </x:c>
      <x:c r="F138" t="n">
        <x:v>184</x:v>
      </x:c>
      <x:c r="G138" t="n">
        <x:v>166</x:v>
      </x:c>
      <x:c r="H138" t="n">
        <x:v>2.2</x:v>
      </x:c>
      <x:c r="I138" t="n">
        <x:v>1</x:v>
      </x:c>
      <x:c r="J138" t="n">
        <x:v>32</x:v>
      </x:c>
      <x:c r="K138" s="40" t="n">
        <x:v>0.9021739130434783</x:v>
      </x:c>
    </x:row>
    <x:row r="139">
      <x:c r="A139" t="str">
        <x:v>EMP0134</x:v>
      </x:c>
      <x:c r="B139" t="str">
        <x:v>Employee 134</x:v>
      </x:c>
      <x:c r="C139" t="str">
        <x:v>Construction</x:v>
      </x:c>
      <x:c r="D139" t="str">
        <x:v>Warehouse</x:v>
      </x:c>
      <x:c r="E139" t="str">
        <x:v>Active</x:v>
      </x:c>
      <x:c r="F139" t="n">
        <x:v>176</x:v>
      </x:c>
      <x:c r="G139" t="n">
        <x:v>144</x:v>
      </x:c>
      <x:c r="H139" t="n">
        <x:v>4</x:v>
      </x:c>
      <x:c r="I139" t="n">
        <x:v>4</x:v>
      </x:c>
      <x:c r="J139" t="n">
        <x:v>52.5</x:v>
      </x:c>
      <x:c r="K139" s="40" t="n">
        <x:v>0.8181818181818182</x:v>
      </x:c>
    </x:row>
    <x:row r="140">
      <x:c r="A140" t="str">
        <x:v>EMP0135</x:v>
      </x:c>
      <x:c r="B140" t="str">
        <x:v>Employee 135</x:v>
      </x:c>
      <x:c r="C140" t="str">
        <x:v>Construction</x:v>
      </x:c>
      <x:c r="D140" t="str">
        <x:v>Base Camp</x:v>
      </x:c>
      <x:c r="E140" t="str">
        <x:v>Active</x:v>
      </x:c>
      <x:c r="F140" t="n">
        <x:v>208</x:v>
      </x:c>
      <x:c r="G140" t="n">
        <x:v>195</x:v>
      </x:c>
      <x:c r="H140" t="n">
        <x:v>1.6</x:v>
      </x:c>
      <x:c r="I140" t="n">
        <x:v>2</x:v>
      </x:c>
      <x:c r="J140" t="n">
        <x:v>0.8</x:v>
      </x:c>
      <x:c r="K140" s="40" t="n">
        <x:v>0.9375</x:v>
      </x:c>
    </x:row>
    <x:row r="141">
      <x:c r="A141" t="str">
        <x:v>EMP0136</x:v>
      </x:c>
      <x:c r="B141" t="str">
        <x:v>Employee 136</x:v>
      </x:c>
      <x:c r="C141" t="str">
        <x:v>Warehouse</x:v>
      </x:c>
      <x:c r="D141" t="str">
        <x:v>Segment Factory</x:v>
      </x:c>
      <x:c r="E141" t="str">
        <x:v>Active</x:v>
      </x:c>
      <x:c r="F141" t="n">
        <x:v>200</x:v>
      </x:c>
      <x:c r="G141" t="n">
        <x:v>183</x:v>
      </x:c>
      <x:c r="H141" t="n">
        <x:v>2.1</x:v>
      </x:c>
      <x:c r="I141" t="n">
        <x:v>4</x:v>
      </x:c>
      <x:c r="J141" t="n">
        <x:v>18.8</x:v>
      </x:c>
      <x:c r="K141" s="40" t="n">
        <x:v>0.915</x:v>
      </x:c>
    </x:row>
    <x:row r="142">
      <x:c r="A142" t="str">
        <x:v>EMP0137</x:v>
      </x:c>
      <x:c r="B142" t="str">
        <x:v>Employee 137</x:v>
      </x:c>
      <x:c r="C142" t="str">
        <x:v>Human Resources</x:v>
      </x:c>
      <x:c r="D142" t="str">
        <x:v>Warehouse</x:v>
      </x:c>
      <x:c r="E142" t="str">
        <x:v>Active</x:v>
      </x:c>
      <x:c r="F142" t="n">
        <x:v>192</x:v>
      </x:c>
      <x:c r="G142" t="n">
        <x:v>190</x:v>
      </x:c>
      <x:c r="H142" t="n">
        <x:v>0.2</x:v>
      </x:c>
      <x:c r="I142" t="n">
        <x:v>1</x:v>
      </x:c>
      <x:c r="J142" t="n">
        <x:v>15.2</x:v>
      </x:c>
      <x:c r="K142" s="40" t="n">
        <x:v>0.9895833333333334</x:v>
      </x:c>
    </x:row>
    <x:row r="143">
      <x:c r="A143" t="str">
        <x:v>EMP0138</x:v>
      </x:c>
      <x:c r="B143" t="str">
        <x:v>Employee 138</x:v>
      </x:c>
      <x:c r="C143" t="str">
        <x:v>Document Control</x:v>
      </x:c>
      <x:c r="D143" t="str">
        <x:v>East Site</x:v>
      </x:c>
      <x:c r="E143" t="str">
        <x:v>Active</x:v>
      </x:c>
      <x:c r="F143" t="n">
        <x:v>200</x:v>
      </x:c>
      <x:c r="G143" t="n">
        <x:v>184</x:v>
      </x:c>
      <x:c r="H143" t="n">
        <x:v>2</x:v>
      </x:c>
      <x:c r="I143" t="n">
        <x:v>4</x:v>
      </x:c>
      <x:c r="J143" t="n">
        <x:v>15</x:v>
      </x:c>
      <x:c r="K143" s="40" t="n">
        <x:v>0.92</x:v>
      </x:c>
    </x:row>
    <x:row r="144">
      <x:c r="A144" t="str">
        <x:v>EMP0139</x:v>
      </x:c>
      <x:c r="B144" t="str">
        <x:v>Employee 139</x:v>
      </x:c>
      <x:c r="C144" t="str">
        <x:v>Logistics</x:v>
      </x:c>
      <x:c r="D144" t="str">
        <x:v>Segment Factory</x:v>
      </x:c>
      <x:c r="E144" t="str">
        <x:v>Active</x:v>
      </x:c>
      <x:c r="F144" t="n">
        <x:v>192</x:v>
      </x:c>
      <x:c r="G144" t="n">
        <x:v>167</x:v>
      </x:c>
      <x:c r="H144" t="n">
        <x:v>3.1</x:v>
      </x:c>
      <x:c r="I144" t="n">
        <x:v>5</x:v>
      </x:c>
      <x:c r="J144" t="n">
        <x:v>27</x:v>
      </x:c>
      <x:c r="K144" s="40" t="n">
        <x:v>0.8697916666666666</x:v>
      </x:c>
    </x:row>
    <x:row r="145">
      <x:c r="A145" t="str">
        <x:v>EMP0140</x:v>
      </x:c>
      <x:c r="B145" t="str">
        <x:v>Employee 140</x:v>
      </x:c>
      <x:c r="C145" t="str">
        <x:v>Warehouse</x:v>
      </x:c>
      <x:c r="D145" t="str">
        <x:v>Head Office</x:v>
      </x:c>
      <x:c r="E145" t="str">
        <x:v>Active</x:v>
      </x:c>
      <x:c r="F145" t="n">
        <x:v>192</x:v>
      </x:c>
      <x:c r="G145" t="n">
        <x:v>171</x:v>
      </x:c>
      <x:c r="H145" t="n">
        <x:v>2.6</x:v>
      </x:c>
      <x:c r="I145" t="n">
        <x:v>4</x:v>
      </x:c>
      <x:c r="J145" t="n">
        <x:v>27.2</x:v>
      </x:c>
      <x:c r="K145" s="40" t="n">
        <x:v>0.890625</x:v>
      </x:c>
    </x:row>
    <x:row r="146">
      <x:c r="A146" t="str">
        <x:v>EMP0141</x:v>
      </x:c>
      <x:c r="B146" t="str">
        <x:v>Employee 141</x:v>
      </x:c>
      <x:c r="C146" t="str">
        <x:v>Construction</x:v>
      </x:c>
      <x:c r="D146" t="str">
        <x:v>Base Camp</x:v>
      </x:c>
      <x:c r="E146" t="str">
        <x:v>Active</x:v>
      </x:c>
      <x:c r="F146" t="n">
        <x:v>176</x:v>
      </x:c>
      <x:c r="G146" t="n">
        <x:v>158</x:v>
      </x:c>
      <x:c r="H146" t="n">
        <x:v>2.2</x:v>
      </x:c>
      <x:c r="I146" t="n">
        <x:v>2</x:v>
      </x:c>
      <x:c r="J146" t="n">
        <x:v>24.7</x:v>
      </x:c>
      <x:c r="K146" s="40" t="n">
        <x:v>0.8977272727272727</x:v>
      </x:c>
    </x:row>
    <x:row r="147">
      <x:c r="A147" t="str">
        <x:v>EMP0142</x:v>
      </x:c>
      <x:c r="B147" t="str">
        <x:v>Employee 142</x:v>
      </x:c>
      <x:c r="C147" t="str">
        <x:v>Warehouse</x:v>
      </x:c>
      <x:c r="D147" t="str">
        <x:v>Base Camp</x:v>
      </x:c>
      <x:c r="E147" t="str">
        <x:v>Active</x:v>
      </x:c>
      <x:c r="F147" t="n">
        <x:v>192</x:v>
      </x:c>
      <x:c r="G147" t="n">
        <x:v>166</x:v>
      </x:c>
      <x:c r="H147" t="n">
        <x:v>3.2</x:v>
      </x:c>
      <x:c r="I147" t="n">
        <x:v>3</x:v>
      </x:c>
      <x:c r="J147" t="n">
        <x:v>23.5</x:v>
      </x:c>
      <x:c r="K147" s="40" t="n">
        <x:v>0.8645833333333334</x:v>
      </x:c>
    </x:row>
    <x:row r="148">
      <x:c r="A148" t="str">
        <x:v>EMP0143</x:v>
      </x:c>
      <x:c r="B148" t="str">
        <x:v>Employee 143</x:v>
      </x:c>
      <x:c r="C148" t="str">
        <x:v>Procurement</x:v>
      </x:c>
      <x:c r="D148" t="str">
        <x:v>Head Office</x:v>
      </x:c>
      <x:c r="E148" t="str">
        <x:v>Active</x:v>
      </x:c>
      <x:c r="F148" t="n">
        <x:v>184</x:v>
      </x:c>
      <x:c r="G148" t="n">
        <x:v>166</x:v>
      </x:c>
      <x:c r="H148" t="n">
        <x:v>2.2</x:v>
      </x:c>
      <x:c r="I148" t="n">
        <x:v>4</x:v>
      </x:c>
      <x:c r="J148" t="n">
        <x:v>27.3</x:v>
      </x:c>
      <x:c r="K148" s="40" t="n">
        <x:v>0.9021739130434783</x:v>
      </x:c>
    </x:row>
    <x:row r="149">
      <x:c r="A149" t="str">
        <x:v>EMP0144</x:v>
      </x:c>
      <x:c r="B149" t="str">
        <x:v>Employee 144</x:v>
      </x:c>
      <x:c r="C149" t="str">
        <x:v>Human Resources</x:v>
      </x:c>
      <x:c r="D149" t="str">
        <x:v>East Site</x:v>
      </x:c>
      <x:c r="E149" t="str">
        <x:v>Active</x:v>
      </x:c>
      <x:c r="F149" t="n">
        <x:v>192</x:v>
      </x:c>
      <x:c r="G149" t="n">
        <x:v>184</x:v>
      </x:c>
      <x:c r="H149" t="n">
        <x:v>1</x:v>
      </x:c>
      <x:c r="I149" t="n">
        <x:v>4</x:v>
      </x:c>
      <x:c r="J149" t="n">
        <x:v>2.5</x:v>
      </x:c>
      <x:c r="K149" s="40" t="n">
        <x:v>0.9583333333333334</x:v>
      </x:c>
    </x:row>
    <x:row r="150">
      <x:c r="A150" t="str">
        <x:v>EMP0145</x:v>
      </x:c>
      <x:c r="B150" t="str">
        <x:v>Employee 145</x:v>
      </x:c>
      <x:c r="C150" t="str">
        <x:v>Logistics</x:v>
      </x:c>
      <x:c r="D150" t="str">
        <x:v>West Site</x:v>
      </x:c>
      <x:c r="E150" t="str">
        <x:v>Active</x:v>
      </x:c>
      <x:c r="F150" t="n">
        <x:v>176</x:v>
      </x:c>
      <x:c r="G150" t="n">
        <x:v>157</x:v>
      </x:c>
      <x:c r="H150" t="n">
        <x:v>2.4</x:v>
      </x:c>
      <x:c r="I150" t="n">
        <x:v>4</x:v>
      </x:c>
      <x:c r="J150" t="n">
        <x:v>3.5</x:v>
      </x:c>
      <x:c r="K150" s="40" t="n">
        <x:v>0.8920454545454546</x:v>
      </x:c>
    </x:row>
    <x:row r="151">
      <x:c r="A151" t="str">
        <x:v>EMP0146</x:v>
      </x:c>
      <x:c r="B151" t="str">
        <x:v>Employee 146</x:v>
      </x:c>
      <x:c r="C151" t="str">
        <x:v>Construction</x:v>
      </x:c>
      <x:c r="D151" t="str">
        <x:v>Head Office</x:v>
      </x:c>
      <x:c r="E151" t="str">
        <x:v>Active</x:v>
      </x:c>
      <x:c r="F151" t="n">
        <x:v>176</x:v>
      </x:c>
      <x:c r="G151" t="n">
        <x:v>155</x:v>
      </x:c>
      <x:c r="H151" t="n">
        <x:v>2.6</x:v>
      </x:c>
      <x:c r="I151" t="n">
        <x:v>4</x:v>
      </x:c>
      <x:c r="J151" t="n">
        <x:v>29.1</x:v>
      </x:c>
      <x:c r="K151" s="40" t="n">
        <x:v>0.8806818181818182</x:v>
      </x:c>
    </x:row>
    <x:row r="152">
      <x:c r="A152" t="str">
        <x:v>EMP0147</x:v>
      </x:c>
      <x:c r="B152" t="str">
        <x:v>Employee 147</x:v>
      </x:c>
      <x:c r="C152" t="str">
        <x:v>Logistics</x:v>
      </x:c>
      <x:c r="D152" t="str">
        <x:v>Head Office</x:v>
      </x:c>
      <x:c r="E152" t="str">
        <x:v>Active</x:v>
      </x:c>
      <x:c r="F152" t="n">
        <x:v>176</x:v>
      </x:c>
      <x:c r="G152" t="n">
        <x:v>145</x:v>
      </x:c>
      <x:c r="H152" t="n">
        <x:v>3.9</x:v>
      </x:c>
      <x:c r="I152" t="n">
        <x:v>3</x:v>
      </x:c>
      <x:c r="J152" t="n">
        <x:v>53.3</x:v>
      </x:c>
      <x:c r="K152" s="40" t="n">
        <x:v>0.8238636363636364</x:v>
      </x:c>
    </x:row>
    <x:row r="153">
      <x:c r="A153" t="str">
        <x:v>EMP0148</x:v>
      </x:c>
      <x:c r="B153" t="str">
        <x:v>Employee 148</x:v>
      </x:c>
      <x:c r="C153" t="str">
        <x:v>Project Administration</x:v>
      </x:c>
      <x:c r="D153" t="str">
        <x:v>Warehouse</x:v>
      </x:c>
      <x:c r="E153" t="str">
        <x:v>Active</x:v>
      </x:c>
      <x:c r="F153" t="n">
        <x:v>200</x:v>
      </x:c>
      <x:c r="G153" t="n">
        <x:v>195</x:v>
      </x:c>
      <x:c r="H153" t="n">
        <x:v>0.6</x:v>
      </x:c>
      <x:c r="I153" t="n">
        <x:v>4</x:v>
      </x:c>
      <x:c r="J153" t="n">
        <x:v>45.2</x:v>
      </x:c>
      <x:c r="K153" s="40" t="n">
        <x:v>0.975</x:v>
      </x:c>
    </x:row>
    <x:row r="154">
      <x:c r="A154" t="str">
        <x:v>EMP0149</x:v>
      </x:c>
      <x:c r="B154" t="str">
        <x:v>Employee 149</x:v>
      </x:c>
      <x:c r="C154" t="str">
        <x:v>Fleet &amp; Transportation</x:v>
      </x:c>
      <x:c r="D154" t="str">
        <x:v>East Site</x:v>
      </x:c>
      <x:c r="E154" t="str">
        <x:v>On Leave</x:v>
      </x:c>
      <x:c r="F154" t="n">
        <x:v>192</x:v>
      </x:c>
      <x:c r="G154" t="n">
        <x:v>161</x:v>
      </x:c>
      <x:c r="H154" t="n">
        <x:v>3.9</x:v>
      </x:c>
      <x:c r="I154" t="n">
        <x:v>1</x:v>
      </x:c>
      <x:c r="J154" t="n">
        <x:v>51.4</x:v>
      </x:c>
      <x:c r="K154" s="40" t="n">
        <x:v>0.8385416666666666</x:v>
      </x:c>
    </x:row>
    <x:row r="155">
      <x:c r="A155" t="str">
        <x:v>EMP0150</x:v>
      </x:c>
      <x:c r="B155" t="str">
        <x:v>Employee 150</x:v>
      </x:c>
      <x:c r="C155" t="str">
        <x:v>Project Administration</x:v>
      </x:c>
      <x:c r="D155" t="str">
        <x:v>Base Camp</x:v>
      </x:c>
      <x:c r="E155" t="str">
        <x:v>Active</x:v>
      </x:c>
      <x:c r="F155" t="n">
        <x:v>184</x:v>
      </x:c>
      <x:c r="G155" t="n">
        <x:v>156</x:v>
      </x:c>
      <x:c r="H155" t="n">
        <x:v>3.5</x:v>
      </x:c>
      <x:c r="I155" t="n">
        <x:v>0</x:v>
      </x:c>
      <x:c r="J155" t="n">
        <x:v>48</x:v>
      </x:c>
      <x:c r="K155" s="40" t="n">
        <x:v>0.8478260869565217</x:v>
      </x:c>
    </x:row>
  </x:sheetData>
  <x:mergeCells>
    <x:mergeCell ref="A1:K2"/>
    <x:mergeCell ref="A3:K3"/>
  </x:mergeCells>
  <x:conditionalFormatting sqref="K6:K155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J6:J155">
    <x:cfRule type="dataBar" priority="2">
      <x:dataBar>
        <x:cfvo type="min"/>
        <x:cfvo type="max"/>
        <x:color rgb="FFC9A227"/>
      </x:dataBar>
      <x:extLst>
        <x:ext xmlns:x14="http://schemas.microsoft.com/office/spreadsheetml/2009/9/main" uri="{B025F937-C7B1-47D3-B67F-A62EFF666E3E}">
          <x14:id>{F78F270A-D760-905B-F9D2-33FC9AC1A13A}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5315ecbbdd6424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78F270A-D760-905B-F9D2-33FC9AC1A13A}">
            <x14:dataBar gradient="1">
              <x14:cfvo type="min"/>
              <x14:cfvo type="max"/>
              <x14:fillColor rgb="FFC9A227"/>
            </x14:dataBar>
          </x14:cfRule>
          <xm:sqref>J6:J155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18" hidden="0" customWidth="1"/>
    <x:col min="5" max="5" width="34" hidden="0" customWidth="1"/>
    <x:col min="6" max="6" width="16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</x:cols>
  <x:sheetData>
    <x:row r="1">
      <x:c r="A1" s="10" t="str">
        <x:v>PROCUREMENT, PO &amp; PAYMENT CONTROL TRACKER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37" t="str">
        <x:v>Management control | PR • PO • Invoice • Payment • Outstanding commitments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</x:row>
    <x:row r="5">
      <x:c r="A5" s="23" t="str">
        <x:v>PR No.</x:v>
      </x:c>
      <x:c r="B5" s="23" t="str">
        <x:v>PO No.</x:v>
      </x:c>
      <x:c r="C5" s="23" t="str">
        <x:v>Department</x:v>
      </x:c>
      <x:c r="D5" s="23" t="str">
        <x:v>Vendor</x:v>
      </x:c>
      <x:c r="E5" s="23" t="str">
        <x:v>Description</x:v>
      </x:c>
      <x:c r="F5" s="23" t="str">
        <x:v>Commitment SAR</x:v>
      </x:c>
      <x:c r="G5" s="23" t="str">
        <x:v>Status</x:v>
      </x:c>
      <x:c r="H5" s="23" t="str">
        <x:v>PR Date</x:v>
      </x:c>
      <x:c r="I5" s="23" t="str">
        <x:v>PO Date</x:v>
      </x:c>
      <x:c r="J5" s="23" t="str">
        <x:v>Invoice Date</x:v>
      </x:c>
      <x:c r="K5" s="23" t="str">
        <x:v>Paid Date</x:v>
      </x:c>
      <x:c r="L5" s="23" t="str">
        <x:v>Paid SAR</x:v>
      </x:c>
      <x:c r="M5" s="23" t="str">
        <x:v>Outstanding SAR</x:v>
      </x:c>
    </x:row>
    <x:row r="6">
      <x:c r="A6" t="str">
        <x:v>PR-0001</x:v>
      </x:c>
      <x:c r="B6" t="str"/>
      <x:c r="C6" t="str">
        <x:v>Executive Office</x:v>
      </x:c>
      <x:c r="D6" t="str">
        <x:v>Vendor Delta</x:v>
      </x:c>
      <x:c r="E6" t="str">
        <x:v>Operational procurement package 001</x:v>
      </x:c>
      <x:c r="F6" s="42" t="n">
        <x:v>141964.29</x:v>
      </x:c>
      <x:c r="G6" t="str">
        <x:v>On Hold</x:v>
      </x:c>
      <x:c r="H6" s="30" t="n">
        <x:v>46197</x:v>
      </x:c>
      <x:c r="I6" s="30"/>
      <x:c r="J6" s="30"/>
      <x:c r="K6" s="30"/>
      <x:c r="L6" s="42" t="n">
        <x:v>0</x:v>
      </x:c>
      <x:c r="M6" s="42" t="n">
        <x:v>141964.29</x:v>
      </x:c>
    </x:row>
    <x:row r="7">
      <x:c r="A7" t="str">
        <x:v>PR-0002</x:v>
      </x:c>
      <x:c r="B7" t="str"/>
      <x:c r="C7" t="str">
        <x:v>Logistics</x:v>
      </x:c>
      <x:c r="D7" t="str">
        <x:v>Vendor Eta</x:v>
      </x:c>
      <x:c r="E7" t="str">
        <x:v>Operational procurement package 002</x:v>
      </x:c>
      <x:c r="F7" s="42" t="n">
        <x:v>564460.25</x:v>
      </x:c>
      <x:c r="G7" t="str">
        <x:v>On Hold</x:v>
      </x:c>
      <x:c r="H7" s="30" t="n">
        <x:v>46138</x:v>
      </x:c>
      <x:c r="I7" s="30"/>
      <x:c r="J7" s="30"/>
      <x:c r="K7" s="30"/>
      <x:c r="L7" s="42" t="n">
        <x:v>0</x:v>
      </x:c>
      <x:c r="M7" s="42" t="n">
        <x:v>564460.25</x:v>
      </x:c>
    </x:row>
    <x:row r="8">
      <x:c r="A8" t="str">
        <x:v>PR-0003</x:v>
      </x:c>
      <x:c r="B8" t="str">
        <x:v>PO-7003</x:v>
      </x:c>
      <x:c r="C8" t="str">
        <x:v>Executive Office</x:v>
      </x:c>
      <x:c r="D8" t="str">
        <x:v>Vendor Epsilon</x:v>
      </x:c>
      <x:c r="E8" t="str">
        <x:v>Operational procurement package 003</x:v>
      </x:c>
      <x:c r="F8" s="42" t="n">
        <x:v>149532.02</x:v>
      </x:c>
      <x:c r="G8" t="str">
        <x:v>PO Issued</x:v>
      </x:c>
      <x:c r="H8" s="30" t="n">
        <x:v>46134</x:v>
      </x:c>
      <x:c r="I8" s="30" t="n">
        <x:v>46138</x:v>
      </x:c>
      <x:c r="J8" s="30"/>
      <x:c r="K8" s="30"/>
      <x:c r="L8" s="42" t="n">
        <x:v>0</x:v>
      </x:c>
      <x:c r="M8" s="42" t="n">
        <x:v>149532.02</x:v>
      </x:c>
    </x:row>
    <x:row r="9">
      <x:c r="A9" t="str">
        <x:v>PR-0004</x:v>
      </x:c>
      <x:c r="B9" t="str">
        <x:v>PO-7004</x:v>
      </x:c>
      <x:c r="C9" t="str">
        <x:v>Executive Office</x:v>
      </x:c>
      <x:c r="D9" t="str">
        <x:v>Vendor Zeta</x:v>
      </x:c>
      <x:c r="E9" t="str">
        <x:v>Operational procurement package 004</x:v>
      </x:c>
      <x:c r="F9" s="42" t="n">
        <x:v>395158.54</x:v>
      </x:c>
      <x:c r="G9" t="str">
        <x:v>PO Issued</x:v>
      </x:c>
      <x:c r="H9" s="30" t="n">
        <x:v>46064</x:v>
      </x:c>
      <x:c r="I9" s="30" t="n">
        <x:v>46075</x:v>
      </x:c>
      <x:c r="J9" s="30"/>
      <x:c r="K9" s="30"/>
      <x:c r="L9" s="42" t="n">
        <x:v>0</x:v>
      </x:c>
      <x:c r="M9" s="42" t="n">
        <x:v>395158.54</x:v>
      </x:c>
    </x:row>
    <x:row r="10">
      <x:c r="A10" t="str">
        <x:v>PR-0005</x:v>
      </x:c>
      <x:c r="B10" t="str">
        <x:v>PO-7005</x:v>
      </x:c>
      <x:c r="C10" t="str">
        <x:v>Fleet &amp; Transportation</x:v>
      </x:c>
      <x:c r="D10" t="str">
        <x:v>Vendor Gamma</x:v>
      </x:c>
      <x:c r="E10" t="str">
        <x:v>Operational procurement package 005</x:v>
      </x:c>
      <x:c r="F10" s="42" t="n">
        <x:v>598358.52</x:v>
      </x:c>
      <x:c r="G10" t="str">
        <x:v>Paid</x:v>
      </x:c>
      <x:c r="H10" s="30" t="n">
        <x:v>46146</x:v>
      </x:c>
      <x:c r="I10" s="30" t="n">
        <x:v>46153</x:v>
      </x:c>
      <x:c r="J10" s="30" t="n">
        <x:v>46178</x:v>
      </x:c>
      <x:c r="K10" s="30" t="n">
        <x:v>46188</x:v>
      </x:c>
      <x:c r="L10" s="42" t="n">
        <x:v>598358.52</x:v>
      </x:c>
      <x:c r="M10" s="42" t="n">
        <x:v>0</x:v>
      </x:c>
    </x:row>
    <x:row r="11">
      <x:c r="A11" t="str">
        <x:v>PR-0006</x:v>
      </x:c>
      <x:c r="B11" t="str">
        <x:v>PO-7006</x:v>
      </x:c>
      <x:c r="C11" t="str">
        <x:v>Finance</x:v>
      </x:c>
      <x:c r="D11" t="str">
        <x:v>Vendor Eta</x:v>
      </x:c>
      <x:c r="E11" t="str">
        <x:v>Operational procurement package 006</x:v>
      </x:c>
      <x:c r="F11" s="42" t="n">
        <x:v>403777.49</x:v>
      </x:c>
      <x:c r="G11" t="str">
        <x:v>Received</x:v>
      </x:c>
      <x:c r="H11" s="30" t="n">
        <x:v>46054</x:v>
      </x:c>
      <x:c r="I11" s="30" t="n">
        <x:v>46059</x:v>
      </x:c>
      <x:c r="J11" s="30"/>
      <x:c r="K11" s="30"/>
      <x:c r="L11" s="42" t="n">
        <x:v>0</x:v>
      </x:c>
      <x:c r="M11" s="42" t="n">
        <x:v>403777.49</x:v>
      </x:c>
    </x:row>
    <x:row r="12">
      <x:c r="A12" t="str">
        <x:v>PR-0007</x:v>
      </x:c>
      <x:c r="B12" t="str">
        <x:v>PO-7007</x:v>
      </x:c>
      <x:c r="C12" t="str">
        <x:v>Fleet &amp; Transportation</x:v>
      </x:c>
      <x:c r="D12" t="str">
        <x:v>Vendor Beta</x:v>
      </x:c>
      <x:c r="E12" t="str">
        <x:v>Operational procurement package 007</x:v>
      </x:c>
      <x:c r="F12" s="42" t="n">
        <x:v>256375.58</x:v>
      </x:c>
      <x:c r="G12" t="str">
        <x:v>Invoiced</x:v>
      </x:c>
      <x:c r="H12" s="30" t="n">
        <x:v>46153</x:v>
      </x:c>
      <x:c r="I12" s="30" t="n">
        <x:v>46163</x:v>
      </x:c>
      <x:c r="J12" s="30" t="n">
        <x:v>46188</x:v>
      </x:c>
      <x:c r="K12" s="30"/>
      <x:c r="L12" s="42" t="n">
        <x:v>142005.26</x:v>
      </x:c>
      <x:c r="M12" s="42" t="n">
        <x:v>114370.31999999998</x:v>
      </x:c>
    </x:row>
    <x:row r="13">
      <x:c r="A13" t="str">
        <x:v>PR-0008</x:v>
      </x:c>
      <x:c r="B13" t="str">
        <x:v>PO-7008</x:v>
      </x:c>
      <x:c r="C13" t="str">
        <x:v>Human Resources</x:v>
      </x:c>
      <x:c r="D13" t="str">
        <x:v>Vendor Alpha</x:v>
      </x:c>
      <x:c r="E13" t="str">
        <x:v>Operational procurement package 008</x:v>
      </x:c>
      <x:c r="F13" s="42" t="n">
        <x:v>482653.13</x:v>
      </x:c>
      <x:c r="G13" t="str">
        <x:v>Paid</x:v>
      </x:c>
      <x:c r="H13" s="30" t="n">
        <x:v>46206</x:v>
      </x:c>
      <x:c r="I13" s="30" t="n">
        <x:v>46216</x:v>
      </x:c>
      <x:c r="J13" s="30" t="n">
        <x:v>46232</x:v>
      </x:c>
      <x:c r="K13" s="30" t="n">
        <x:v>46250</x:v>
      </x:c>
      <x:c r="L13" s="42" t="n">
        <x:v>482653.13</x:v>
      </x:c>
      <x:c r="M13" s="42" t="n">
        <x:v>0</x:v>
      </x:c>
    </x:row>
    <x:row r="14">
      <x:c r="A14" t="str">
        <x:v>PR-0009</x:v>
      </x:c>
      <x:c r="B14" t="str"/>
      <x:c r="C14" t="str">
        <x:v>Logistics</x:v>
      </x:c>
      <x:c r="D14" t="str">
        <x:v>Vendor Eta</x:v>
      </x:c>
      <x:c r="E14" t="str">
        <x:v>Operational procurement package 009</x:v>
      </x:c>
      <x:c r="F14" s="42" t="n">
        <x:v>640518.2</x:v>
      </x:c>
      <x:c r="G14" t="str">
        <x:v>On Hold</x:v>
      </x:c>
      <x:c r="H14" s="30" t="n">
        <x:v>46138</x:v>
      </x:c>
      <x:c r="I14" s="30"/>
      <x:c r="J14" s="30"/>
      <x:c r="K14" s="30"/>
      <x:c r="L14" s="42" t="n">
        <x:v>0</x:v>
      </x:c>
      <x:c r="M14" s="42" t="n">
        <x:v>640518.2</x:v>
      </x:c>
    </x:row>
    <x:row r="15">
      <x:c r="A15" t="str">
        <x:v>PR-0010</x:v>
      </x:c>
      <x:c r="B15" t="str"/>
      <x:c r="C15" t="str">
        <x:v>Fleet &amp; Transportation</x:v>
      </x:c>
      <x:c r="D15" t="str">
        <x:v>Vendor Eta</x:v>
      </x:c>
      <x:c r="E15" t="str">
        <x:v>Operational procurement package 010</x:v>
      </x:c>
      <x:c r="F15" s="42" t="n">
        <x:v>326916.49</x:v>
      </x:c>
      <x:c r="G15" t="str">
        <x:v>PR Raised</x:v>
      </x:c>
      <x:c r="H15" s="30" t="n">
        <x:v>46064</x:v>
      </x:c>
      <x:c r="I15" s="30"/>
      <x:c r="J15" s="30"/>
      <x:c r="K15" s="30"/>
      <x:c r="L15" s="42" t="n">
        <x:v>0</x:v>
      </x:c>
      <x:c r="M15" s="42" t="n">
        <x:v>326916.49</x:v>
      </x:c>
    </x:row>
    <x:row r="16">
      <x:c r="A16" t="str">
        <x:v>PR-0011</x:v>
      </x:c>
      <x:c r="B16" t="str">
        <x:v>PO-7011</x:v>
      </x:c>
      <x:c r="C16" t="str">
        <x:v>Document Control</x:v>
      </x:c>
      <x:c r="D16" t="str">
        <x:v>Vendor Alpha</x:v>
      </x:c>
      <x:c r="E16" t="str">
        <x:v>Operational procurement package 011</x:v>
      </x:c>
      <x:c r="F16" s="42" t="n">
        <x:v>306697.8</x:v>
      </x:c>
      <x:c r="G16" t="str">
        <x:v>Received</x:v>
      </x:c>
      <x:c r="H16" s="30" t="n">
        <x:v>46059</x:v>
      </x:c>
      <x:c r="I16" s="30" t="n">
        <x:v>46066</x:v>
      </x:c>
      <x:c r="J16" s="30"/>
      <x:c r="K16" s="30"/>
      <x:c r="L16" s="42" t="n">
        <x:v>0</x:v>
      </x:c>
      <x:c r="M16" s="42" t="n">
        <x:v>306697.8</x:v>
      </x:c>
    </x:row>
    <x:row r="17">
      <x:c r="A17" t="str">
        <x:v>PR-0012</x:v>
      </x:c>
      <x:c r="B17" t="str"/>
      <x:c r="C17" t="str">
        <x:v>Fleet &amp; Transportation</x:v>
      </x:c>
      <x:c r="D17" t="str">
        <x:v>Vendor Delta</x:v>
      </x:c>
      <x:c r="E17" t="str">
        <x:v>Operational procurement package 012</x:v>
      </x:c>
      <x:c r="F17" s="42" t="n">
        <x:v>91336.83</x:v>
      </x:c>
      <x:c r="G17" t="str">
        <x:v>PR Raised</x:v>
      </x:c>
      <x:c r="H17" s="30" t="n">
        <x:v>46086</x:v>
      </x:c>
      <x:c r="I17" s="30"/>
      <x:c r="J17" s="30"/>
      <x:c r="K17" s="30"/>
      <x:c r="L17" s="42" t="n">
        <x:v>0</x:v>
      </x:c>
      <x:c r="M17" s="42" t="n">
        <x:v>91336.83</x:v>
      </x:c>
    </x:row>
    <x:row r="18">
      <x:c r="A18" t="str">
        <x:v>PR-0013</x:v>
      </x:c>
      <x:c r="B18" t="str">
        <x:v>PO-7013</x:v>
      </x:c>
      <x:c r="C18" t="str">
        <x:v>Project Administration</x:v>
      </x:c>
      <x:c r="D18" t="str">
        <x:v>Vendor Beta</x:v>
      </x:c>
      <x:c r="E18" t="str">
        <x:v>Operational procurement package 013</x:v>
      </x:c>
      <x:c r="F18" s="42" t="n">
        <x:v>312793.35</x:v>
      </x:c>
      <x:c r="G18" t="str">
        <x:v>Paid</x:v>
      </x:c>
      <x:c r="H18" s="30" t="n">
        <x:v>46086</x:v>
      </x:c>
      <x:c r="I18" s="30" t="n">
        <x:v>46097</x:v>
      </x:c>
      <x:c r="J18" s="30" t="n">
        <x:v>46130</x:v>
      </x:c>
      <x:c r="K18" s="30" t="n">
        <x:v>46147</x:v>
      </x:c>
      <x:c r="L18" s="42" t="n">
        <x:v>312793.35</x:v>
      </x:c>
      <x:c r="M18" s="42" t="n">
        <x:v>0</x:v>
      </x:c>
    </x:row>
    <x:row r="19">
      <x:c r="A19" t="str">
        <x:v>PR-0014</x:v>
      </x:c>
      <x:c r="B19" t="str">
        <x:v>PO-7014</x:v>
      </x:c>
      <x:c r="C19" t="str">
        <x:v>Project Administration</x:v>
      </x:c>
      <x:c r="D19" t="str">
        <x:v>Vendor Zeta</x:v>
      </x:c>
      <x:c r="E19" t="str">
        <x:v>Operational procurement package 014</x:v>
      </x:c>
      <x:c r="F19" s="42" t="n">
        <x:v>507441.86</x:v>
      </x:c>
      <x:c r="G19" t="str">
        <x:v>Invoiced</x:v>
      </x:c>
      <x:c r="H19" s="30" t="n">
        <x:v>46066</x:v>
      </x:c>
      <x:c r="I19" s="30" t="n">
        <x:v>46069</x:v>
      </x:c>
      <x:c r="J19" s="30" t="n">
        <x:v>46101</x:v>
      </x:c>
      <x:c r="K19" s="30"/>
      <x:c r="L19" s="42" t="n">
        <x:v>275972.06</x:v>
      </x:c>
      <x:c r="M19" s="42" t="n">
        <x:v>231469.8</x:v>
      </x:c>
    </x:row>
    <x:row r="20">
      <x:c r="A20" t="str">
        <x:v>PR-0015</x:v>
      </x:c>
      <x:c r="B20" t="str">
        <x:v>PO-7015</x:v>
      </x:c>
      <x:c r="C20" t="str">
        <x:v>Finance</x:v>
      </x:c>
      <x:c r="D20" t="str">
        <x:v>Vendor Eta</x:v>
      </x:c>
      <x:c r="E20" t="str">
        <x:v>Operational procurement package 015</x:v>
      </x:c>
      <x:c r="F20" s="42" t="n">
        <x:v>69193.46</x:v>
      </x:c>
      <x:c r="G20" t="str">
        <x:v>Paid</x:v>
      </x:c>
      <x:c r="H20" s="30" t="n">
        <x:v>46106</x:v>
      </x:c>
      <x:c r="I20" s="30" t="n">
        <x:v>46108</x:v>
      </x:c>
      <x:c r="J20" s="30" t="n">
        <x:v>46120</x:v>
      </x:c>
      <x:c r="K20" s="30" t="n">
        <x:v>46143</x:v>
      </x:c>
      <x:c r="L20" s="42" t="n">
        <x:v>69193.46</x:v>
      </x:c>
      <x:c r="M20" s="42" t="n">
        <x:v>0</x:v>
      </x:c>
    </x:row>
    <x:row r="21">
      <x:c r="A21" t="str">
        <x:v>PR-0016</x:v>
      </x:c>
      <x:c r="B21" t="str">
        <x:v>PO-7016</x:v>
      </x:c>
      <x:c r="C21" t="str">
        <x:v>Procurement</x:v>
      </x:c>
      <x:c r="D21" t="str">
        <x:v>Vendor Epsilon</x:v>
      </x:c>
      <x:c r="E21" t="str">
        <x:v>Operational procurement package 016</x:v>
      </x:c>
      <x:c r="F21" s="42" t="n">
        <x:v>271872.09</x:v>
      </x:c>
      <x:c r="G21" t="str">
        <x:v>Paid</x:v>
      </x:c>
      <x:c r="H21" s="30" t="n">
        <x:v>46134</x:v>
      </x:c>
      <x:c r="I21" s="30" t="n">
        <x:v>46138</x:v>
      </x:c>
      <x:c r="J21" s="30" t="n">
        <x:v>46175</x:v>
      </x:c>
      <x:c r="K21" s="30" t="n">
        <x:v>46196</x:v>
      </x:c>
      <x:c r="L21" s="42" t="n">
        <x:v>271872.09</x:v>
      </x:c>
      <x:c r="M21" s="42" t="n">
        <x:v>0</x:v>
      </x:c>
    </x:row>
    <x:row r="22">
      <x:c r="A22" t="str">
        <x:v>PR-0017</x:v>
      </x:c>
      <x:c r="B22" t="str">
        <x:v>PO-7017</x:v>
      </x:c>
      <x:c r="C22" t="str">
        <x:v>Logistics</x:v>
      </x:c>
      <x:c r="D22" t="str">
        <x:v>Vendor Eta</x:v>
      </x:c>
      <x:c r="E22" t="str">
        <x:v>Operational procurement package 017</x:v>
      </x:c>
      <x:c r="F22" s="42" t="n">
        <x:v>415022.63</x:v>
      </x:c>
      <x:c r="G22" t="str">
        <x:v>Paid</x:v>
      </x:c>
      <x:c r="H22" s="30" t="n">
        <x:v>46204</x:v>
      </x:c>
      <x:c r="I22" s="30" t="n">
        <x:v>46211</x:v>
      </x:c>
      <x:c r="J22" s="30" t="n">
        <x:v>46252</x:v>
      </x:c>
      <x:c r="K22" s="30" t="n">
        <x:v>46261</x:v>
      </x:c>
      <x:c r="L22" s="42" t="n">
        <x:v>415022.63</x:v>
      </x:c>
      <x:c r="M22" s="42" t="n">
        <x:v>0</x:v>
      </x:c>
    </x:row>
    <x:row r="23">
      <x:c r="A23" t="str">
        <x:v>PR-0018</x:v>
      </x:c>
      <x:c r="B23" t="str">
        <x:v>PO-7018</x:v>
      </x:c>
      <x:c r="C23" t="str">
        <x:v>Warehouse</x:v>
      </x:c>
      <x:c r="D23" t="str">
        <x:v>Vendor Eta</x:v>
      </x:c>
      <x:c r="E23" t="str">
        <x:v>Operational procurement package 018</x:v>
      </x:c>
      <x:c r="F23" s="42" t="n">
        <x:v>351492.31</x:v>
      </x:c>
      <x:c r="G23" t="str">
        <x:v>Invoiced</x:v>
      </x:c>
      <x:c r="H23" s="30" t="n">
        <x:v>46085</x:v>
      </x:c>
      <x:c r="I23" s="30" t="n">
        <x:v>46097</x:v>
      </x:c>
      <x:c r="J23" s="30" t="n">
        <x:v>46122</x:v>
      </x:c>
      <x:c r="K23" s="30"/>
      <x:c r="L23" s="42" t="n">
        <x:v>121674.06</x:v>
      </x:c>
      <x:c r="M23" s="42" t="n">
        <x:v>229818.25</x:v>
      </x:c>
    </x:row>
    <x:row r="24">
      <x:c r="A24" t="str">
        <x:v>PR-0019</x:v>
      </x:c>
      <x:c r="B24" t="str">
        <x:v>PO-7019</x:v>
      </x:c>
      <x:c r="C24" t="str">
        <x:v>Finance</x:v>
      </x:c>
      <x:c r="D24" t="str">
        <x:v>Vendor Beta</x:v>
      </x:c>
      <x:c r="E24" t="str">
        <x:v>Operational procurement package 019</x:v>
      </x:c>
      <x:c r="F24" s="42" t="n">
        <x:v>405431.32</x:v>
      </x:c>
      <x:c r="G24" t="str">
        <x:v>Paid</x:v>
      </x:c>
      <x:c r="H24" s="30" t="n">
        <x:v>46159</x:v>
      </x:c>
      <x:c r="I24" s="30" t="n">
        <x:v>46177</x:v>
      </x:c>
      <x:c r="J24" s="30" t="n">
        <x:v>46218</x:v>
      </x:c>
      <x:c r="K24" s="30" t="n">
        <x:v>46246</x:v>
      </x:c>
      <x:c r="L24" s="42" t="n">
        <x:v>405431.32</x:v>
      </x:c>
      <x:c r="M24" s="42" t="n">
        <x:v>0</x:v>
      </x:c>
    </x:row>
    <x:row r="25">
      <x:c r="A25" t="str">
        <x:v>PR-0020</x:v>
      </x:c>
      <x:c r="B25" t="str">
        <x:v>PO-7020</x:v>
      </x:c>
      <x:c r="C25" t="str">
        <x:v>Finance</x:v>
      </x:c>
      <x:c r="D25" t="str">
        <x:v>Vendor Eta</x:v>
      </x:c>
      <x:c r="E25" t="str">
        <x:v>Operational procurement package 020</x:v>
      </x:c>
      <x:c r="F25" s="42" t="n">
        <x:v>323075.97</x:v>
      </x:c>
      <x:c r="G25" t="str">
        <x:v>PO Issued</x:v>
      </x:c>
      <x:c r="H25" s="30" t="n">
        <x:v>46038</x:v>
      </x:c>
      <x:c r="I25" s="30" t="n">
        <x:v>46052</x:v>
      </x:c>
      <x:c r="J25" s="30"/>
      <x:c r="K25" s="30"/>
      <x:c r="L25" s="42" t="n">
        <x:v>0</x:v>
      </x:c>
      <x:c r="M25" s="42" t="n">
        <x:v>323075.97</x:v>
      </x:c>
    </x:row>
    <x:row r="26">
      <x:c r="A26" t="str">
        <x:v>PR-0021</x:v>
      </x:c>
      <x:c r="B26" t="str">
        <x:v>PO-7021</x:v>
      </x:c>
      <x:c r="C26" t="str">
        <x:v>Document Control</x:v>
      </x:c>
      <x:c r="D26" t="str">
        <x:v>Vendor Gamma</x:v>
      </x:c>
      <x:c r="E26" t="str">
        <x:v>Operational procurement package 021</x:v>
      </x:c>
      <x:c r="F26" s="42" t="n">
        <x:v>72136.89</x:v>
      </x:c>
      <x:c r="G26" t="str">
        <x:v>Paid</x:v>
      </x:c>
      <x:c r="H26" s="30" t="n">
        <x:v>46033</x:v>
      </x:c>
      <x:c r="I26" s="30" t="n">
        <x:v>46045</x:v>
      </x:c>
      <x:c r="J26" s="30" t="n">
        <x:v>46066</x:v>
      </x:c>
      <x:c r="K26" s="30" t="n">
        <x:v>46087</x:v>
      </x:c>
      <x:c r="L26" s="42" t="n">
        <x:v>72136.89</x:v>
      </x:c>
      <x:c r="M26" s="42" t="n">
        <x:v>0</x:v>
      </x:c>
    </x:row>
    <x:row r="27">
      <x:c r="A27" t="str">
        <x:v>PR-0022</x:v>
      </x:c>
      <x:c r="B27" t="str">
        <x:v>PO-7022</x:v>
      </x:c>
      <x:c r="C27" t="str">
        <x:v>Document Control</x:v>
      </x:c>
      <x:c r="D27" t="str">
        <x:v>Vendor Beta</x:v>
      </x:c>
      <x:c r="E27" t="str">
        <x:v>Operational procurement package 022</x:v>
      </x:c>
      <x:c r="F27" s="42" t="n">
        <x:v>104602.42</x:v>
      </x:c>
      <x:c r="G27" t="str">
        <x:v>PO Issued</x:v>
      </x:c>
      <x:c r="H27" s="30" t="n">
        <x:v>46173</x:v>
      </x:c>
      <x:c r="I27" s="30" t="n">
        <x:v>46178</x:v>
      </x:c>
      <x:c r="J27" s="30"/>
      <x:c r="K27" s="30"/>
      <x:c r="L27" s="42" t="n">
        <x:v>0</x:v>
      </x:c>
      <x:c r="M27" s="42" t="n">
        <x:v>104602.42</x:v>
      </x:c>
    </x:row>
    <x:row r="28">
      <x:c r="A28" t="str">
        <x:v>PR-0023</x:v>
      </x:c>
      <x:c r="B28" t="str">
        <x:v>PO-7023</x:v>
      </x:c>
      <x:c r="C28" t="str">
        <x:v>Finance</x:v>
      </x:c>
      <x:c r="D28" t="str">
        <x:v>Vendor Delta</x:v>
      </x:c>
      <x:c r="E28" t="str">
        <x:v>Operational procurement package 023</x:v>
      </x:c>
      <x:c r="F28" s="42" t="n">
        <x:v>598621.97</x:v>
      </x:c>
      <x:c r="G28" t="str">
        <x:v>Paid</x:v>
      </x:c>
      <x:c r="H28" s="30" t="n">
        <x:v>46032</x:v>
      </x:c>
      <x:c r="I28" s="30" t="n">
        <x:v>46043</x:v>
      </x:c>
      <x:c r="J28" s="30" t="n">
        <x:v>46079</x:v>
      </x:c>
      <x:c r="K28" s="30" t="n">
        <x:v>46095</x:v>
      </x:c>
      <x:c r="L28" s="42" t="n">
        <x:v>598621.97</x:v>
      </x:c>
      <x:c r="M28" s="42" t="n">
        <x:v>0</x:v>
      </x:c>
    </x:row>
    <x:row r="29">
      <x:c r="A29" t="str">
        <x:v>PR-0024</x:v>
      </x:c>
      <x:c r="B29" t="str">
        <x:v>PO-7024</x:v>
      </x:c>
      <x:c r="C29" t="str">
        <x:v>Warehouse</x:v>
      </x:c>
      <x:c r="D29" t="str">
        <x:v>Vendor Delta</x:v>
      </x:c>
      <x:c r="E29" t="str">
        <x:v>Operational procurement package 024</x:v>
      </x:c>
      <x:c r="F29" s="42" t="n">
        <x:v>376980.41</x:v>
      </x:c>
      <x:c r="G29" t="str">
        <x:v>Invoiced</x:v>
      </x:c>
      <x:c r="H29" s="30" t="n">
        <x:v>46197</x:v>
      </x:c>
      <x:c r="I29" s="30" t="n">
        <x:v>46211</x:v>
      </x:c>
      <x:c r="J29" s="30" t="n">
        <x:v>46229</x:v>
      </x:c>
      <x:c r="K29" s="30"/>
      <x:c r="L29" s="42" t="n">
        <x:v>289852.31</x:v>
      </x:c>
      <x:c r="M29" s="42" t="n">
        <x:v>87128.09999999998</x:v>
      </x:c>
    </x:row>
    <x:row r="30">
      <x:c r="A30" t="str">
        <x:v>PR-0025</x:v>
      </x:c>
      <x:c r="B30" t="str">
        <x:v>PO-7025</x:v>
      </x:c>
      <x:c r="C30" t="str">
        <x:v>Human Resources</x:v>
      </x:c>
      <x:c r="D30" t="str">
        <x:v>Vendor Theta</x:v>
      </x:c>
      <x:c r="E30" t="str">
        <x:v>Operational procurement package 025</x:v>
      </x:c>
      <x:c r="F30" s="42" t="n">
        <x:v>176737.36</x:v>
      </x:c>
      <x:c r="G30" t="str">
        <x:v>Invoiced</x:v>
      </x:c>
      <x:c r="H30" s="30" t="n">
        <x:v>46168</x:v>
      </x:c>
      <x:c r="I30" s="30" t="n">
        <x:v>46180</x:v>
      </x:c>
      <x:c r="J30" s="30" t="n">
        <x:v>46195</x:v>
      </x:c>
      <x:c r="K30" s="30"/>
      <x:c r="L30" s="42" t="n">
        <x:v>42761.35</x:v>
      </x:c>
      <x:c r="M30" s="42" t="n">
        <x:v>133976.00999999998</x:v>
      </x:c>
    </x:row>
    <x:row r="31">
      <x:c r="A31" t="str">
        <x:v>PR-0026</x:v>
      </x:c>
      <x:c r="B31" t="str">
        <x:v>PO-7026</x:v>
      </x:c>
      <x:c r="C31" t="str">
        <x:v>Warehouse</x:v>
      </x:c>
      <x:c r="D31" t="str">
        <x:v>Vendor Beta</x:v>
      </x:c>
      <x:c r="E31" t="str">
        <x:v>Operational procurement package 026</x:v>
      </x:c>
      <x:c r="F31" s="42" t="n">
        <x:v>123764.12</x:v>
      </x:c>
      <x:c r="G31" t="str">
        <x:v>Invoiced</x:v>
      </x:c>
      <x:c r="H31" s="30" t="n">
        <x:v>46198</x:v>
      </x:c>
      <x:c r="I31" s="30" t="n">
        <x:v>46215</x:v>
      </x:c>
      <x:c r="J31" s="30" t="n">
        <x:v>46242</x:v>
      </x:c>
      <x:c r="K31" s="30"/>
      <x:c r="L31" s="42" t="n">
        <x:v>33105.24</x:v>
      </x:c>
      <x:c r="M31" s="42" t="n">
        <x:v>90658.88</x:v>
      </x:c>
    </x:row>
    <x:row r="32">
      <x:c r="A32" t="str">
        <x:v>PR-0027</x:v>
      </x:c>
      <x:c r="B32" t="str">
        <x:v>PO-7027</x:v>
      </x:c>
      <x:c r="C32" t="str">
        <x:v>Finance</x:v>
      </x:c>
      <x:c r="D32" t="str">
        <x:v>Vendor Alpha</x:v>
      </x:c>
      <x:c r="E32" t="str">
        <x:v>Operational procurement package 027</x:v>
      </x:c>
      <x:c r="F32" s="42" t="n">
        <x:v>615602.92</x:v>
      </x:c>
      <x:c r="G32" t="str">
        <x:v>Received</x:v>
      </x:c>
      <x:c r="H32" s="30" t="n">
        <x:v>46152</x:v>
      </x:c>
      <x:c r="I32" s="30" t="n">
        <x:v>46155</x:v>
      </x:c>
      <x:c r="J32" s="30"/>
      <x:c r="K32" s="30"/>
      <x:c r="L32" s="42" t="n">
        <x:v>0</x:v>
      </x:c>
      <x:c r="M32" s="42" t="n">
        <x:v>615602.92</x:v>
      </x:c>
    </x:row>
    <x:row r="33">
      <x:c r="A33" t="str">
        <x:v>PR-0028</x:v>
      </x:c>
      <x:c r="B33" t="str">
        <x:v>PO-7028</x:v>
      </x:c>
      <x:c r="C33" t="str">
        <x:v>Procurement</x:v>
      </x:c>
      <x:c r="D33" t="str">
        <x:v>Vendor Gamma</x:v>
      </x:c>
      <x:c r="E33" t="str">
        <x:v>Operational procurement package 028</x:v>
      </x:c>
      <x:c r="F33" s="42" t="n">
        <x:v>355594.29</x:v>
      </x:c>
      <x:c r="G33" t="str">
        <x:v>Invoiced</x:v>
      </x:c>
      <x:c r="H33" s="30" t="n">
        <x:v>46122</x:v>
      </x:c>
      <x:c r="I33" s="30" t="n">
        <x:v>46140</x:v>
      </x:c>
      <x:c r="J33" s="30" t="n">
        <x:v>46156</x:v>
      </x:c>
      <x:c r="K33" s="30"/>
      <x:c r="L33" s="42" t="n">
        <x:v>113778.93</x:v>
      </x:c>
      <x:c r="M33" s="42" t="n">
        <x:v>241815.36</x:v>
      </x:c>
    </x:row>
    <x:row r="34">
      <x:c r="A34" t="str">
        <x:v>PR-0029</x:v>
      </x:c>
      <x:c r="B34" t="str">
        <x:v>PO-7029</x:v>
      </x:c>
      <x:c r="C34" t="str">
        <x:v>Executive Office</x:v>
      </x:c>
      <x:c r="D34" t="str">
        <x:v>Vendor Gamma</x:v>
      </x:c>
      <x:c r="E34" t="str">
        <x:v>Operational procurement package 029</x:v>
      </x:c>
      <x:c r="F34" s="42" t="n">
        <x:v>194365.43</x:v>
      </x:c>
      <x:c r="G34" t="str">
        <x:v>Paid</x:v>
      </x:c>
      <x:c r="H34" s="30" t="n">
        <x:v>46071</x:v>
      </x:c>
      <x:c r="I34" s="30" t="n">
        <x:v>46080</x:v>
      </x:c>
      <x:c r="J34" s="30" t="n">
        <x:v>46120</x:v>
      </x:c>
      <x:c r="K34" s="30" t="n">
        <x:v>46141</x:v>
      </x:c>
      <x:c r="L34" s="42" t="n">
        <x:v>194365.43</x:v>
      </x:c>
      <x:c r="M34" s="42" t="n">
        <x:v>0</x:v>
      </x:c>
    </x:row>
    <x:row r="35">
      <x:c r="A35" t="str">
        <x:v>PR-0030</x:v>
      </x:c>
      <x:c r="B35" t="str">
        <x:v>PO-7030</x:v>
      </x:c>
      <x:c r="C35" t="str">
        <x:v>Fleet &amp; Transportation</x:v>
      </x:c>
      <x:c r="D35" t="str">
        <x:v>Vendor Theta</x:v>
      </x:c>
      <x:c r="E35" t="str">
        <x:v>Operational procurement package 030</x:v>
      </x:c>
      <x:c r="F35" s="42" t="n">
        <x:v>273201.62</x:v>
      </x:c>
      <x:c r="G35" t="str">
        <x:v>Received</x:v>
      </x:c>
      <x:c r="H35" s="30" t="n">
        <x:v>46065</x:v>
      </x:c>
      <x:c r="I35" s="30" t="n">
        <x:v>46081</x:v>
      </x:c>
      <x:c r="J35" s="30"/>
      <x:c r="K35" s="30"/>
      <x:c r="L35" s="42" t="n">
        <x:v>0</x:v>
      </x:c>
      <x:c r="M35" s="42" t="n">
        <x:v>273201.62</x:v>
      </x:c>
    </x:row>
    <x:row r="36">
      <x:c r="A36" t="str">
        <x:v>PR-0031</x:v>
      </x:c>
      <x:c r="B36" t="str"/>
      <x:c r="C36" t="str">
        <x:v>Construction</x:v>
      </x:c>
      <x:c r="D36" t="str">
        <x:v>Vendor Alpha</x:v>
      </x:c>
      <x:c r="E36" t="str">
        <x:v>Operational procurement package 031</x:v>
      </x:c>
      <x:c r="F36" s="42" t="n">
        <x:v>278671.92</x:v>
      </x:c>
      <x:c r="G36" t="str">
        <x:v>PR Raised</x:v>
      </x:c>
      <x:c r="H36" s="30" t="n">
        <x:v>46155</x:v>
      </x:c>
      <x:c r="I36" s="30"/>
      <x:c r="J36" s="30"/>
      <x:c r="K36" s="30"/>
      <x:c r="L36" s="42" t="n">
        <x:v>0</x:v>
      </x:c>
      <x:c r="M36" s="42" t="n">
        <x:v>278671.92</x:v>
      </x:c>
    </x:row>
    <x:row r="37">
      <x:c r="A37" t="str">
        <x:v>PR-0032</x:v>
      </x:c>
      <x:c r="B37" t="str">
        <x:v>PO-7032</x:v>
      </x:c>
      <x:c r="C37" t="str">
        <x:v>Logistics</x:v>
      </x:c>
      <x:c r="D37" t="str">
        <x:v>Vendor Theta</x:v>
      </x:c>
      <x:c r="E37" t="str">
        <x:v>Operational procurement package 032</x:v>
      </x:c>
      <x:c r="F37" s="42" t="n">
        <x:v>309088.39</x:v>
      </x:c>
      <x:c r="G37" t="str">
        <x:v>Paid</x:v>
      </x:c>
      <x:c r="H37" s="30" t="n">
        <x:v>46167</x:v>
      </x:c>
      <x:c r="I37" s="30" t="n">
        <x:v>46182</x:v>
      </x:c>
      <x:c r="J37" s="30" t="n">
        <x:v>46221</x:v>
      </x:c>
      <x:c r="K37" s="30" t="n">
        <x:v>46250</x:v>
      </x:c>
      <x:c r="L37" s="42" t="n">
        <x:v>309088.39</x:v>
      </x:c>
      <x:c r="M37" s="42" t="n">
        <x:v>0</x:v>
      </x:c>
    </x:row>
    <x:row r="38">
      <x:c r="A38" t="str">
        <x:v>PR-0033</x:v>
      </x:c>
      <x:c r="B38" t="str"/>
      <x:c r="C38" t="str">
        <x:v>Document Control</x:v>
      </x:c>
      <x:c r="D38" t="str">
        <x:v>Vendor Beta</x:v>
      </x:c>
      <x:c r="E38" t="str">
        <x:v>Operational procurement package 033</x:v>
      </x:c>
      <x:c r="F38" s="42" t="n">
        <x:v>163294.37</x:v>
      </x:c>
      <x:c r="G38" t="str">
        <x:v>PR Raised</x:v>
      </x:c>
      <x:c r="H38" s="30" t="n">
        <x:v>46115</x:v>
      </x:c>
      <x:c r="I38" s="30"/>
      <x:c r="J38" s="30"/>
      <x:c r="K38" s="30"/>
      <x:c r="L38" s="42" t="n">
        <x:v>0</x:v>
      </x:c>
      <x:c r="M38" s="42" t="n">
        <x:v>163294.37</x:v>
      </x:c>
    </x:row>
    <x:row r="39">
      <x:c r="A39" t="str">
        <x:v>PR-0034</x:v>
      </x:c>
      <x:c r="B39" t="str">
        <x:v>PO-7034</x:v>
      </x:c>
      <x:c r="C39" t="str">
        <x:v>Procurement</x:v>
      </x:c>
      <x:c r="D39" t="str">
        <x:v>Vendor Gamma</x:v>
      </x:c>
      <x:c r="E39" t="str">
        <x:v>Operational procurement package 034</x:v>
      </x:c>
      <x:c r="F39" s="42" t="n">
        <x:v>346757.79</x:v>
      </x:c>
      <x:c r="G39" t="str">
        <x:v>Invoiced</x:v>
      </x:c>
      <x:c r="H39" s="30" t="n">
        <x:v>46114</x:v>
      </x:c>
      <x:c r="I39" s="30" t="n">
        <x:v>46120</x:v>
      </x:c>
      <x:c r="J39" s="30" t="n">
        <x:v>46133</x:v>
      </x:c>
      <x:c r="K39" s="30"/>
      <x:c r="L39" s="42" t="n">
        <x:v>177339.57</x:v>
      </x:c>
      <x:c r="M39" s="42" t="n">
        <x:v>169418.21999999997</x:v>
      </x:c>
    </x:row>
    <x:row r="40">
      <x:c r="A40" t="str">
        <x:v>PR-0035</x:v>
      </x:c>
      <x:c r="B40" t="str"/>
      <x:c r="C40" t="str">
        <x:v>Logistics</x:v>
      </x:c>
      <x:c r="D40" t="str">
        <x:v>Vendor Delta</x:v>
      </x:c>
      <x:c r="E40" t="str">
        <x:v>Operational procurement package 035</x:v>
      </x:c>
      <x:c r="F40" s="42" t="n">
        <x:v>110075.5</x:v>
      </x:c>
      <x:c r="G40" t="str">
        <x:v>On Hold</x:v>
      </x:c>
      <x:c r="H40" s="30" t="n">
        <x:v>46162</x:v>
      </x:c>
      <x:c r="I40" s="30"/>
      <x:c r="J40" s="30"/>
      <x:c r="K40" s="30"/>
      <x:c r="L40" s="42" t="n">
        <x:v>0</x:v>
      </x:c>
      <x:c r="M40" s="42" t="n">
        <x:v>110075.5</x:v>
      </x:c>
    </x:row>
    <x:row r="41">
      <x:c r="A41" t="str">
        <x:v>PR-0036</x:v>
      </x:c>
      <x:c r="B41" t="str"/>
      <x:c r="C41" t="str">
        <x:v>Executive Office</x:v>
      </x:c>
      <x:c r="D41" t="str">
        <x:v>Vendor Theta</x:v>
      </x:c>
      <x:c r="E41" t="str">
        <x:v>Operational procurement package 036</x:v>
      </x:c>
      <x:c r="F41" s="42" t="n">
        <x:v>577770.72</x:v>
      </x:c>
      <x:c r="G41" t="str">
        <x:v>PR Raised</x:v>
      </x:c>
      <x:c r="H41" s="30" t="n">
        <x:v>46200</x:v>
      </x:c>
      <x:c r="I41" s="30"/>
      <x:c r="J41" s="30"/>
      <x:c r="K41" s="30"/>
      <x:c r="L41" s="42" t="n">
        <x:v>0</x:v>
      </x:c>
      <x:c r="M41" s="42" t="n">
        <x:v>577770.72</x:v>
      </x:c>
    </x:row>
    <x:row r="42">
      <x:c r="A42" t="str">
        <x:v>PR-0037</x:v>
      </x:c>
      <x:c r="B42" t="str">
        <x:v>PO-7037</x:v>
      </x:c>
      <x:c r="C42" t="str">
        <x:v>Logistics</x:v>
      </x:c>
      <x:c r="D42" t="str">
        <x:v>Vendor Theta</x:v>
      </x:c>
      <x:c r="E42" t="str">
        <x:v>Operational procurement package 037</x:v>
      </x:c>
      <x:c r="F42" s="42" t="n">
        <x:v>326803.34</x:v>
      </x:c>
      <x:c r="G42" t="str">
        <x:v>PO Issued</x:v>
      </x:c>
      <x:c r="H42" s="30" t="n">
        <x:v>46195</x:v>
      </x:c>
      <x:c r="I42" s="30" t="n">
        <x:v>46204</x:v>
      </x:c>
      <x:c r="J42" s="30"/>
      <x:c r="K42" s="30"/>
      <x:c r="L42" s="42" t="n">
        <x:v>0</x:v>
      </x:c>
      <x:c r="M42" s="42" t="n">
        <x:v>326803.34</x:v>
      </x:c>
    </x:row>
    <x:row r="43">
      <x:c r="A43" t="str">
        <x:v>PR-0038</x:v>
      </x:c>
      <x:c r="B43" t="str"/>
      <x:c r="C43" t="str">
        <x:v>Executive Office</x:v>
      </x:c>
      <x:c r="D43" t="str">
        <x:v>Vendor Epsilon</x:v>
      </x:c>
      <x:c r="E43" t="str">
        <x:v>Operational procurement package 038</x:v>
      </x:c>
      <x:c r="F43" s="42" t="n">
        <x:v>414282.82</x:v>
      </x:c>
      <x:c r="G43" t="str">
        <x:v>On Hold</x:v>
      </x:c>
      <x:c r="H43" s="30" t="n">
        <x:v>46129</x:v>
      </x:c>
      <x:c r="I43" s="30"/>
      <x:c r="J43" s="30"/>
      <x:c r="K43" s="30"/>
      <x:c r="L43" s="42" t="n">
        <x:v>0</x:v>
      </x:c>
      <x:c r="M43" s="42" t="n">
        <x:v>414282.82</x:v>
      </x:c>
    </x:row>
    <x:row r="44">
      <x:c r="A44" t="str">
        <x:v>PR-0039</x:v>
      </x:c>
      <x:c r="B44" t="str">
        <x:v>PO-7039</x:v>
      </x:c>
      <x:c r="C44" t="str">
        <x:v>Finance</x:v>
      </x:c>
      <x:c r="D44" t="str">
        <x:v>Vendor Epsilon</x:v>
      </x:c>
      <x:c r="E44" t="str">
        <x:v>Operational procurement package 039</x:v>
      </x:c>
      <x:c r="F44" s="42" t="n">
        <x:v>515179.41</x:v>
      </x:c>
      <x:c r="G44" t="str">
        <x:v>Invoiced</x:v>
      </x:c>
      <x:c r="H44" s="30" t="n">
        <x:v>46165</x:v>
      </x:c>
      <x:c r="I44" s="30" t="n">
        <x:v>46175</x:v>
      </x:c>
      <x:c r="J44" s="30" t="n">
        <x:v>46192</x:v>
      </x:c>
      <x:c r="K44" s="30"/>
      <x:c r="L44" s="42" t="n">
        <x:v>153836.7</x:v>
      </x:c>
      <x:c r="M44" s="42" t="n">
        <x:v>361342.70999999996</x:v>
      </x:c>
    </x:row>
    <x:row r="45">
      <x:c r="A45" t="str">
        <x:v>PR-0040</x:v>
      </x:c>
      <x:c r="B45" t="str">
        <x:v>PO-7040</x:v>
      </x:c>
      <x:c r="C45" t="str">
        <x:v>Finance</x:v>
      </x:c>
      <x:c r="D45" t="str">
        <x:v>Vendor Delta</x:v>
      </x:c>
      <x:c r="E45" t="str">
        <x:v>Operational procurement package 040</x:v>
      </x:c>
      <x:c r="F45" s="42" t="n">
        <x:v>463864.67</x:v>
      </x:c>
      <x:c r="G45" t="str">
        <x:v>Invoiced</x:v>
      </x:c>
      <x:c r="H45" s="30" t="n">
        <x:v>46107</x:v>
      </x:c>
      <x:c r="I45" s="30" t="n">
        <x:v>46110</x:v>
      </x:c>
      <x:c r="J45" s="30" t="n">
        <x:v>46132</x:v>
      </x:c>
      <x:c r="K45" s="30"/>
      <x:c r="L45" s="42" t="n">
        <x:v>135474.11</x:v>
      </x:c>
      <x:c r="M45" s="42" t="n">
        <x:v>328390.56</x:v>
      </x:c>
    </x:row>
    <x:row r="46">
      <x:c r="A46" t="str">
        <x:v>PR-0041</x:v>
      </x:c>
      <x:c r="B46" t="str">
        <x:v>PO-7041</x:v>
      </x:c>
      <x:c r="C46" t="str">
        <x:v>Executive Office</x:v>
      </x:c>
      <x:c r="D46" t="str">
        <x:v>Vendor Epsilon</x:v>
      </x:c>
      <x:c r="E46" t="str">
        <x:v>Operational procurement package 041</x:v>
      </x:c>
      <x:c r="F46" s="42" t="n">
        <x:v>468770.74</x:v>
      </x:c>
      <x:c r="G46" t="str">
        <x:v>Invoiced</x:v>
      </x:c>
      <x:c r="H46" s="30" t="n">
        <x:v>46142</x:v>
      </x:c>
      <x:c r="I46" s="30" t="n">
        <x:v>46157</x:v>
      </x:c>
      <x:c r="J46" s="30" t="n">
        <x:v>46167</x:v>
      </x:c>
      <x:c r="K46" s="30"/>
      <x:c r="L46" s="42" t="n">
        <x:v>258696.76</x:v>
      </x:c>
      <x:c r="M46" s="42" t="n">
        <x:v>210073.97999999998</x:v>
      </x:c>
    </x:row>
    <x:row r="47">
      <x:c r="A47" t="str">
        <x:v>PR-0042</x:v>
      </x:c>
      <x:c r="B47" t="str"/>
      <x:c r="C47" t="str">
        <x:v>Human Resources</x:v>
      </x:c>
      <x:c r="D47" t="str">
        <x:v>Vendor Epsilon</x:v>
      </x:c>
      <x:c r="E47" t="str">
        <x:v>Operational procurement package 042</x:v>
      </x:c>
      <x:c r="F47" s="42" t="n">
        <x:v>297054.22</x:v>
      </x:c>
      <x:c r="G47" t="str">
        <x:v>PR Raised</x:v>
      </x:c>
      <x:c r="H47" s="30" t="n">
        <x:v>46164</x:v>
      </x:c>
      <x:c r="I47" s="30"/>
      <x:c r="J47" s="30"/>
      <x:c r="K47" s="30"/>
      <x:c r="L47" s="42" t="n">
        <x:v>0</x:v>
      </x:c>
      <x:c r="M47" s="42" t="n">
        <x:v>297054.22</x:v>
      </x:c>
    </x:row>
    <x:row r="48">
      <x:c r="A48" t="str">
        <x:v>PR-0043</x:v>
      </x:c>
      <x:c r="B48" t="str">
        <x:v>PO-7043</x:v>
      </x:c>
      <x:c r="C48" t="str">
        <x:v>Procurement</x:v>
      </x:c>
      <x:c r="D48" t="str">
        <x:v>Vendor Eta</x:v>
      </x:c>
      <x:c r="E48" t="str">
        <x:v>Operational procurement package 043</x:v>
      </x:c>
      <x:c r="F48" s="42" t="n">
        <x:v>117210.94</x:v>
      </x:c>
      <x:c r="G48" t="str">
        <x:v>PO Issued</x:v>
      </x:c>
      <x:c r="H48" s="30" t="n">
        <x:v>46025</x:v>
      </x:c>
      <x:c r="I48" s="30" t="n">
        <x:v>46031</x:v>
      </x:c>
      <x:c r="J48" s="30"/>
      <x:c r="K48" s="30"/>
      <x:c r="L48" s="42" t="n">
        <x:v>0</x:v>
      </x:c>
      <x:c r="M48" s="42" t="n">
        <x:v>117210.94</x:v>
      </x:c>
    </x:row>
    <x:row r="49">
      <x:c r="A49" t="str">
        <x:v>PR-0044</x:v>
      </x:c>
      <x:c r="B49" t="str">
        <x:v>PO-7044</x:v>
      </x:c>
      <x:c r="C49" t="str">
        <x:v>Logistics</x:v>
      </x:c>
      <x:c r="D49" t="str">
        <x:v>Vendor Beta</x:v>
      </x:c>
      <x:c r="E49" t="str">
        <x:v>Operational procurement package 044</x:v>
      </x:c>
      <x:c r="F49" s="42" t="n">
        <x:v>588653.7</x:v>
      </x:c>
      <x:c r="G49" t="str">
        <x:v>Received</x:v>
      </x:c>
      <x:c r="H49" s="30" t="n">
        <x:v>46082</x:v>
      </x:c>
      <x:c r="I49" s="30" t="n">
        <x:v>46100</x:v>
      </x:c>
      <x:c r="J49" s="30"/>
      <x:c r="K49" s="30"/>
      <x:c r="L49" s="42" t="n">
        <x:v>0</x:v>
      </x:c>
      <x:c r="M49" s="42" t="n">
        <x:v>588653.7</x:v>
      </x:c>
    </x:row>
    <x:row r="50">
      <x:c r="A50" t="str">
        <x:v>PR-0045</x:v>
      </x:c>
      <x:c r="B50" t="str"/>
      <x:c r="C50" t="str">
        <x:v>Document Control</x:v>
      </x:c>
      <x:c r="D50" t="str">
        <x:v>Vendor Eta</x:v>
      </x:c>
      <x:c r="E50" t="str">
        <x:v>Operational procurement package 045</x:v>
      </x:c>
      <x:c r="F50" s="42" t="n">
        <x:v>134670.44</x:v>
      </x:c>
      <x:c r="G50" t="str">
        <x:v>PR Raised</x:v>
      </x:c>
      <x:c r="H50" s="30" t="n">
        <x:v>46071</x:v>
      </x:c>
      <x:c r="I50" s="30"/>
      <x:c r="J50" s="30"/>
      <x:c r="K50" s="30"/>
      <x:c r="L50" s="42" t="n">
        <x:v>0</x:v>
      </x:c>
      <x:c r="M50" s="42" t="n">
        <x:v>134670.44</x:v>
      </x:c>
    </x:row>
    <x:row r="51">
      <x:c r="A51" t="str">
        <x:v>PR-0046</x:v>
      </x:c>
      <x:c r="B51" t="str">
        <x:v>PO-7046</x:v>
      </x:c>
      <x:c r="C51" t="str">
        <x:v>Document Control</x:v>
      </x:c>
      <x:c r="D51" t="str">
        <x:v>Vendor Zeta</x:v>
      </x:c>
      <x:c r="E51" t="str">
        <x:v>Operational procurement package 046</x:v>
      </x:c>
      <x:c r="F51" s="42" t="n">
        <x:v>24377.1</x:v>
      </x:c>
      <x:c r="G51" t="str">
        <x:v>Paid</x:v>
      </x:c>
      <x:c r="H51" s="30" t="n">
        <x:v>46035</x:v>
      </x:c>
      <x:c r="I51" s="30" t="n">
        <x:v>46047</x:v>
      </x:c>
      <x:c r="J51" s="30" t="n">
        <x:v>46066</x:v>
      </x:c>
      <x:c r="K51" s="30" t="n">
        <x:v>46081</x:v>
      </x:c>
      <x:c r="L51" s="42" t="n">
        <x:v>24377.1</x:v>
      </x:c>
      <x:c r="M51" s="42" t="n">
        <x:v>0</x:v>
      </x:c>
    </x:row>
    <x:row r="52">
      <x:c r="A52" t="str">
        <x:v>PR-0047</x:v>
      </x:c>
      <x:c r="B52" t="str">
        <x:v>PO-7047</x:v>
      </x:c>
      <x:c r="C52" t="str">
        <x:v>Human Resources</x:v>
      </x:c>
      <x:c r="D52" t="str">
        <x:v>Vendor Eta</x:v>
      </x:c>
      <x:c r="E52" t="str">
        <x:v>Operational procurement package 047</x:v>
      </x:c>
      <x:c r="F52" s="42" t="n">
        <x:v>138847.96</x:v>
      </x:c>
      <x:c r="G52" t="str">
        <x:v>Received</x:v>
      </x:c>
      <x:c r="H52" s="30" t="n">
        <x:v>46211</x:v>
      </x:c>
      <x:c r="I52" s="30" t="n">
        <x:v>46221</x:v>
      </x:c>
      <x:c r="J52" s="30"/>
      <x:c r="K52" s="30"/>
      <x:c r="L52" s="42" t="n">
        <x:v>0</x:v>
      </x:c>
      <x:c r="M52" s="42" t="n">
        <x:v>138847.96</x:v>
      </x:c>
    </x:row>
    <x:row r="53">
      <x:c r="A53" t="str">
        <x:v>PR-0048</x:v>
      </x:c>
      <x:c r="B53" t="str">
        <x:v>PO-7048</x:v>
      </x:c>
      <x:c r="C53" t="str">
        <x:v>Logistics</x:v>
      </x:c>
      <x:c r="D53" t="str">
        <x:v>Vendor Alpha</x:v>
      </x:c>
      <x:c r="E53" t="str">
        <x:v>Operational procurement package 048</x:v>
      </x:c>
      <x:c r="F53" s="42" t="n">
        <x:v>178954.81</x:v>
      </x:c>
      <x:c r="G53" t="str">
        <x:v>Paid</x:v>
      </x:c>
      <x:c r="H53" s="30" t="n">
        <x:v>46156</x:v>
      </x:c>
      <x:c r="I53" s="30" t="n">
        <x:v>46165</x:v>
      </x:c>
      <x:c r="J53" s="30" t="n">
        <x:v>46182</x:v>
      </x:c>
      <x:c r="K53" s="30" t="n">
        <x:v>46193</x:v>
      </x:c>
      <x:c r="L53" s="42" t="n">
        <x:v>178954.81</x:v>
      </x:c>
      <x:c r="M53" s="42" t="n">
        <x:v>0</x:v>
      </x:c>
    </x:row>
    <x:row r="54">
      <x:c r="A54" t="str">
        <x:v>PR-0049</x:v>
      </x:c>
      <x:c r="B54" t="str">
        <x:v>PO-7049</x:v>
      </x:c>
      <x:c r="C54" t="str">
        <x:v>Human Resources</x:v>
      </x:c>
      <x:c r="D54" t="str">
        <x:v>Vendor Zeta</x:v>
      </x:c>
      <x:c r="E54" t="str">
        <x:v>Operational procurement package 049</x:v>
      </x:c>
      <x:c r="F54" s="42" t="n">
        <x:v>501088.67</x:v>
      </x:c>
      <x:c r="G54" t="str">
        <x:v>Received</x:v>
      </x:c>
      <x:c r="H54" s="30" t="n">
        <x:v>46174</x:v>
      </x:c>
      <x:c r="I54" s="30" t="n">
        <x:v>46183</x:v>
      </x:c>
      <x:c r="J54" s="30"/>
      <x:c r="K54" s="30"/>
      <x:c r="L54" s="42" t="n">
        <x:v>0</x:v>
      </x:c>
      <x:c r="M54" s="42" t="n">
        <x:v>501088.67</x:v>
      </x:c>
    </x:row>
    <x:row r="55">
      <x:c r="A55" t="str">
        <x:v>PR-0050</x:v>
      </x:c>
      <x:c r="B55" t="str">
        <x:v>PO-7050</x:v>
      </x:c>
      <x:c r="C55" t="str">
        <x:v>Warehouse</x:v>
      </x:c>
      <x:c r="D55" t="str">
        <x:v>Vendor Delta</x:v>
      </x:c>
      <x:c r="E55" t="str">
        <x:v>Operational procurement package 050</x:v>
      </x:c>
      <x:c r="F55" s="42" t="n">
        <x:v>649734.06</x:v>
      </x:c>
      <x:c r="G55" t="str">
        <x:v>PO Issued</x:v>
      </x:c>
      <x:c r="H55" s="30" t="n">
        <x:v>46044</x:v>
      </x:c>
      <x:c r="I55" s="30" t="n">
        <x:v>46062</x:v>
      </x:c>
      <x:c r="J55" s="30"/>
      <x:c r="K55" s="30"/>
      <x:c r="L55" s="42" t="n">
        <x:v>0</x:v>
      </x:c>
      <x:c r="M55" s="42" t="n">
        <x:v>649734.06</x:v>
      </x:c>
    </x:row>
    <x:row r="56">
      <x:c r="A56" t="str">
        <x:v>PR-0051</x:v>
      </x:c>
      <x:c r="B56" t="str">
        <x:v>PO-7051</x:v>
      </x:c>
      <x:c r="C56" t="str">
        <x:v>Project Administration</x:v>
      </x:c>
      <x:c r="D56" t="str">
        <x:v>Vendor Zeta</x:v>
      </x:c>
      <x:c r="E56" t="str">
        <x:v>Operational procurement package 051</x:v>
      </x:c>
      <x:c r="F56" s="42" t="n">
        <x:v>91314.2</x:v>
      </x:c>
      <x:c r="G56" t="str">
        <x:v>PO Issued</x:v>
      </x:c>
      <x:c r="H56" s="30" t="n">
        <x:v>46036</x:v>
      </x:c>
      <x:c r="I56" s="30" t="n">
        <x:v>46044</x:v>
      </x:c>
      <x:c r="J56" s="30"/>
      <x:c r="K56" s="30"/>
      <x:c r="L56" s="42" t="n">
        <x:v>0</x:v>
      </x:c>
      <x:c r="M56" s="42" t="n">
        <x:v>91314.2</x:v>
      </x:c>
    </x:row>
    <x:row r="57">
      <x:c r="A57" t="str">
        <x:v>PR-0052</x:v>
      </x:c>
      <x:c r="B57" t="str"/>
      <x:c r="C57" t="str">
        <x:v>Construction</x:v>
      </x:c>
      <x:c r="D57" t="str">
        <x:v>Vendor Theta</x:v>
      </x:c>
      <x:c r="E57" t="str">
        <x:v>Operational procurement package 052</x:v>
      </x:c>
      <x:c r="F57" s="42" t="n">
        <x:v>575313.45</x:v>
      </x:c>
      <x:c r="G57" t="str">
        <x:v>On Hold</x:v>
      </x:c>
      <x:c r="H57" s="30" t="n">
        <x:v>46192</x:v>
      </x:c>
      <x:c r="I57" s="30"/>
      <x:c r="J57" s="30"/>
      <x:c r="K57" s="30"/>
      <x:c r="L57" s="42" t="n">
        <x:v>0</x:v>
      </x:c>
      <x:c r="M57" s="42" t="n">
        <x:v>575313.45</x:v>
      </x:c>
    </x:row>
    <x:row r="58">
      <x:c r="A58" t="str">
        <x:v>PR-0053</x:v>
      </x:c>
      <x:c r="B58" t="str">
        <x:v>PO-7053</x:v>
      </x:c>
      <x:c r="C58" t="str">
        <x:v>Construction</x:v>
      </x:c>
      <x:c r="D58" t="str">
        <x:v>Vendor Gamma</x:v>
      </x:c>
      <x:c r="E58" t="str">
        <x:v>Operational procurement package 053</x:v>
      </x:c>
      <x:c r="F58" s="42" t="n">
        <x:v>339259.29</x:v>
      </x:c>
      <x:c r="G58" t="str">
        <x:v>Received</x:v>
      </x:c>
      <x:c r="H58" s="30" t="n">
        <x:v>46024</x:v>
      </x:c>
      <x:c r="I58" s="30" t="n">
        <x:v>46033</x:v>
      </x:c>
      <x:c r="J58" s="30"/>
      <x:c r="K58" s="30"/>
      <x:c r="L58" s="42" t="n">
        <x:v>0</x:v>
      </x:c>
      <x:c r="M58" s="42" t="n">
        <x:v>339259.29</x:v>
      </x:c>
    </x:row>
    <x:row r="59">
      <x:c r="A59" t="str">
        <x:v>PR-0054</x:v>
      </x:c>
      <x:c r="B59" t="str">
        <x:v>PO-7054</x:v>
      </x:c>
      <x:c r="C59" t="str">
        <x:v>Project Administration</x:v>
      </x:c>
      <x:c r="D59" t="str">
        <x:v>Vendor Eta</x:v>
      </x:c>
      <x:c r="E59" t="str">
        <x:v>Operational procurement package 054</x:v>
      </x:c>
      <x:c r="F59" s="42" t="n">
        <x:v>540842.76</x:v>
      </x:c>
      <x:c r="G59" t="str">
        <x:v>PO Issued</x:v>
      </x:c>
      <x:c r="H59" s="30" t="n">
        <x:v>46198</x:v>
      </x:c>
      <x:c r="I59" s="30" t="n">
        <x:v>46208</x:v>
      </x:c>
      <x:c r="J59" s="30"/>
      <x:c r="K59" s="30"/>
      <x:c r="L59" s="42" t="n">
        <x:v>0</x:v>
      </x:c>
      <x:c r="M59" s="42" t="n">
        <x:v>540842.76</x:v>
      </x:c>
    </x:row>
    <x:row r="60">
      <x:c r="A60" t="str">
        <x:v>PR-0055</x:v>
      </x:c>
      <x:c r="B60" t="str">
        <x:v>PO-7055</x:v>
      </x:c>
      <x:c r="C60" t="str">
        <x:v>Executive Office</x:v>
      </x:c>
      <x:c r="D60" t="str">
        <x:v>Vendor Alpha</x:v>
      </x:c>
      <x:c r="E60" t="str">
        <x:v>Operational procurement package 055</x:v>
      </x:c>
      <x:c r="F60" s="42" t="n">
        <x:v>320635.96</x:v>
      </x:c>
      <x:c r="G60" t="str">
        <x:v>PO Issued</x:v>
      </x:c>
      <x:c r="H60" s="30" t="n">
        <x:v>46183</x:v>
      </x:c>
      <x:c r="I60" s="30" t="n">
        <x:v>46193</x:v>
      </x:c>
      <x:c r="J60" s="30"/>
      <x:c r="K60" s="30"/>
      <x:c r="L60" s="42" t="n">
        <x:v>0</x:v>
      </x:c>
      <x:c r="M60" s="42" t="n">
        <x:v>320635.96</x:v>
      </x:c>
    </x:row>
    <x:row r="61">
      <x:c r="A61" t="str">
        <x:v>PR-0056</x:v>
      </x:c>
      <x:c r="B61" t="str">
        <x:v>PO-7056</x:v>
      </x:c>
      <x:c r="C61" t="str">
        <x:v>Document Control</x:v>
      </x:c>
      <x:c r="D61" t="str">
        <x:v>Vendor Zeta</x:v>
      </x:c>
      <x:c r="E61" t="str">
        <x:v>Operational procurement package 056</x:v>
      </x:c>
      <x:c r="F61" s="42" t="n">
        <x:v>171071.04</x:v>
      </x:c>
      <x:c r="G61" t="str">
        <x:v>Invoiced</x:v>
      </x:c>
      <x:c r="H61" s="30" t="n">
        <x:v>46162</x:v>
      </x:c>
      <x:c r="I61" s="30" t="n">
        <x:v>46179</x:v>
      </x:c>
      <x:c r="J61" s="30" t="n">
        <x:v>46196</x:v>
      </x:c>
      <x:c r="K61" s="30"/>
      <x:c r="L61" s="42" t="n">
        <x:v>93523.12</x:v>
      </x:c>
      <x:c r="M61" s="42" t="n">
        <x:v>77547.92000000001</x:v>
      </x:c>
    </x:row>
    <x:row r="62">
      <x:c r="A62" t="str">
        <x:v>PR-0057</x:v>
      </x:c>
      <x:c r="B62" t="str">
        <x:v>PO-7057</x:v>
      </x:c>
      <x:c r="C62" t="str">
        <x:v>Document Control</x:v>
      </x:c>
      <x:c r="D62" t="str">
        <x:v>Vendor Eta</x:v>
      </x:c>
      <x:c r="E62" t="str">
        <x:v>Operational procurement package 057</x:v>
      </x:c>
      <x:c r="F62" s="42" t="n">
        <x:v>311425.61</x:v>
      </x:c>
      <x:c r="G62" t="str">
        <x:v>Paid</x:v>
      </x:c>
      <x:c r="H62" s="30" t="n">
        <x:v>46064</x:v>
      </x:c>
      <x:c r="I62" s="30" t="n">
        <x:v>46078</x:v>
      </x:c>
      <x:c r="J62" s="30" t="n">
        <x:v>46101</x:v>
      </x:c>
      <x:c r="K62" s="30" t="n">
        <x:v>46126</x:v>
      </x:c>
      <x:c r="L62" s="42" t="n">
        <x:v>311425.61</x:v>
      </x:c>
      <x:c r="M62" s="42" t="n">
        <x:v>0</x:v>
      </x:c>
    </x:row>
    <x:row r="63">
      <x:c r="A63" t="str">
        <x:v>PR-0058</x:v>
      </x:c>
      <x:c r="B63" t="str">
        <x:v>PO-7058</x:v>
      </x:c>
      <x:c r="C63" t="str">
        <x:v>Executive Office</x:v>
      </x:c>
      <x:c r="D63" t="str">
        <x:v>Vendor Theta</x:v>
      </x:c>
      <x:c r="E63" t="str">
        <x:v>Operational procurement package 058</x:v>
      </x:c>
      <x:c r="F63" s="42" t="n">
        <x:v>274624.26</x:v>
      </x:c>
      <x:c r="G63" t="str">
        <x:v>Invoiced</x:v>
      </x:c>
      <x:c r="H63" s="30" t="n">
        <x:v>46169</x:v>
      </x:c>
      <x:c r="I63" s="30" t="n">
        <x:v>46183</x:v>
      </x:c>
      <x:c r="J63" s="30" t="n">
        <x:v>46205</x:v>
      </x:c>
      <x:c r="K63" s="30"/>
      <x:c r="L63" s="42" t="n">
        <x:v>177997.97</x:v>
      </x:c>
      <x:c r="M63" s="42" t="n">
        <x:v>96626.29000000001</x:v>
      </x:c>
    </x:row>
    <x:row r="64">
      <x:c r="A64" t="str">
        <x:v>PR-0059</x:v>
      </x:c>
      <x:c r="B64" t="str">
        <x:v>PO-7059</x:v>
      </x:c>
      <x:c r="C64" t="str">
        <x:v>Project Administration</x:v>
      </x:c>
      <x:c r="D64" t="str">
        <x:v>Vendor Zeta</x:v>
      </x:c>
      <x:c r="E64" t="str">
        <x:v>Operational procurement package 059</x:v>
      </x:c>
      <x:c r="F64" s="42" t="n">
        <x:v>587577.54</x:v>
      </x:c>
      <x:c r="G64" t="str">
        <x:v>Received</x:v>
      </x:c>
      <x:c r="H64" s="30" t="n">
        <x:v>46028</x:v>
      </x:c>
      <x:c r="I64" s="30" t="n">
        <x:v>46044</x:v>
      </x:c>
      <x:c r="J64" s="30"/>
      <x:c r="K64" s="30"/>
      <x:c r="L64" s="42" t="n">
        <x:v>0</x:v>
      </x:c>
      <x:c r="M64" s="42" t="n">
        <x:v>587577.54</x:v>
      </x:c>
    </x:row>
    <x:row r="65">
      <x:c r="A65" t="str">
        <x:v>PR-0060</x:v>
      </x:c>
      <x:c r="B65" t="str">
        <x:v>PO-7060</x:v>
      </x:c>
      <x:c r="C65" t="str">
        <x:v>Project Administration</x:v>
      </x:c>
      <x:c r="D65" t="str">
        <x:v>Vendor Epsilon</x:v>
      </x:c>
      <x:c r="E65" t="str">
        <x:v>Operational procurement package 060</x:v>
      </x:c>
      <x:c r="F65" s="42" t="n">
        <x:v>229961.45</x:v>
      </x:c>
      <x:c r="G65" t="str">
        <x:v>PO Issued</x:v>
      </x:c>
      <x:c r="H65" s="30" t="n">
        <x:v>46137</x:v>
      </x:c>
      <x:c r="I65" s="30" t="n">
        <x:v>46140</x:v>
      </x:c>
      <x:c r="J65" s="30"/>
      <x:c r="K65" s="30"/>
      <x:c r="L65" s="42" t="n">
        <x:v>0</x:v>
      </x:c>
      <x:c r="M65" s="42" t="n">
        <x:v>229961.45</x:v>
      </x:c>
    </x:row>
    <x:row r="66">
      <x:c r="A66" t="str">
        <x:v>PR-0061</x:v>
      </x:c>
      <x:c r="B66" t="str">
        <x:v>PO-7061</x:v>
      </x:c>
      <x:c r="C66" t="str">
        <x:v>Warehouse</x:v>
      </x:c>
      <x:c r="D66" t="str">
        <x:v>Vendor Epsilon</x:v>
      </x:c>
      <x:c r="E66" t="str">
        <x:v>Operational procurement package 061</x:v>
      </x:c>
      <x:c r="F66" s="42" t="n">
        <x:v>177194.21</x:v>
      </x:c>
      <x:c r="G66" t="str">
        <x:v>Invoiced</x:v>
      </x:c>
      <x:c r="H66" s="30" t="n">
        <x:v>46069</x:v>
      </x:c>
      <x:c r="I66" s="30" t="n">
        <x:v>46076</x:v>
      </x:c>
      <x:c r="J66" s="30" t="n">
        <x:v>46097</x:v>
      </x:c>
      <x:c r="K66" s="30"/>
      <x:c r="L66" s="42" t="n">
        <x:v>79292.64</x:v>
      </x:c>
      <x:c r="M66" s="42" t="n">
        <x:v>97901.56999999999</x:v>
      </x:c>
    </x:row>
    <x:row r="67">
      <x:c r="A67" t="str">
        <x:v>PR-0062</x:v>
      </x:c>
      <x:c r="B67" t="str">
        <x:v>PO-7062</x:v>
      </x:c>
      <x:c r="C67" t="str">
        <x:v>Finance</x:v>
      </x:c>
      <x:c r="D67" t="str">
        <x:v>Vendor Theta</x:v>
      </x:c>
      <x:c r="E67" t="str">
        <x:v>Operational procurement package 062</x:v>
      </x:c>
      <x:c r="F67" s="42" t="n">
        <x:v>61374.86</x:v>
      </x:c>
      <x:c r="G67" t="str">
        <x:v>PO Issued</x:v>
      </x:c>
      <x:c r="H67" s="30" t="n">
        <x:v>46138</x:v>
      </x:c>
      <x:c r="I67" s="30" t="n">
        <x:v>46153</x:v>
      </x:c>
      <x:c r="J67" s="30"/>
      <x:c r="K67" s="30"/>
      <x:c r="L67" s="42" t="n">
        <x:v>0</x:v>
      </x:c>
      <x:c r="M67" s="42" t="n">
        <x:v>61374.86</x:v>
      </x:c>
    </x:row>
    <x:row r="68">
      <x:c r="A68" t="str">
        <x:v>PR-0063</x:v>
      </x:c>
      <x:c r="B68" t="str">
        <x:v>PO-7063</x:v>
      </x:c>
      <x:c r="C68" t="str">
        <x:v>Finance</x:v>
      </x:c>
      <x:c r="D68" t="str">
        <x:v>Vendor Beta</x:v>
      </x:c>
      <x:c r="E68" t="str">
        <x:v>Operational procurement package 063</x:v>
      </x:c>
      <x:c r="F68" s="42" t="n">
        <x:v>532527.65</x:v>
      </x:c>
      <x:c r="G68" t="str">
        <x:v>PO Issued</x:v>
      </x:c>
      <x:c r="H68" s="30" t="n">
        <x:v>46211</x:v>
      </x:c>
      <x:c r="I68" s="30" t="n">
        <x:v>46217</x:v>
      </x:c>
      <x:c r="J68" s="30"/>
      <x:c r="K68" s="30"/>
      <x:c r="L68" s="42" t="n">
        <x:v>0</x:v>
      </x:c>
      <x:c r="M68" s="42" t="n">
        <x:v>532527.65</x:v>
      </x:c>
    </x:row>
    <x:row r="69">
      <x:c r="A69" t="str">
        <x:v>PR-0064</x:v>
      </x:c>
      <x:c r="B69" t="str"/>
      <x:c r="C69" t="str">
        <x:v>Fleet &amp; Transportation</x:v>
      </x:c>
      <x:c r="D69" t="str">
        <x:v>Vendor Gamma</x:v>
      </x:c>
      <x:c r="E69" t="str">
        <x:v>Operational procurement package 064</x:v>
      </x:c>
      <x:c r="F69" s="42" t="n">
        <x:v>581086.51</x:v>
      </x:c>
      <x:c r="G69" t="str">
        <x:v>PR Raised</x:v>
      </x:c>
      <x:c r="H69" s="30" t="n">
        <x:v>46168</x:v>
      </x:c>
      <x:c r="I69" s="30"/>
      <x:c r="J69" s="30"/>
      <x:c r="K69" s="30"/>
      <x:c r="L69" s="42" t="n">
        <x:v>0</x:v>
      </x:c>
      <x:c r="M69" s="42" t="n">
        <x:v>581086.51</x:v>
      </x:c>
    </x:row>
    <x:row r="70">
      <x:c r="A70" t="str">
        <x:v>PR-0065</x:v>
      </x:c>
      <x:c r="B70" t="str">
        <x:v>PO-7065</x:v>
      </x:c>
      <x:c r="C70" t="str">
        <x:v>Logistics</x:v>
      </x:c>
      <x:c r="D70" t="str">
        <x:v>Vendor Gamma</x:v>
      </x:c>
      <x:c r="E70" t="str">
        <x:v>Operational procurement package 065</x:v>
      </x:c>
      <x:c r="F70" s="42" t="n">
        <x:v>486414.13</x:v>
      </x:c>
      <x:c r="G70" t="str">
        <x:v>PO Issued</x:v>
      </x:c>
      <x:c r="H70" s="30" t="n">
        <x:v>46121</x:v>
      </x:c>
      <x:c r="I70" s="30" t="n">
        <x:v>46135</x:v>
      </x:c>
      <x:c r="J70" s="30"/>
      <x:c r="K70" s="30"/>
      <x:c r="L70" s="42" t="n">
        <x:v>0</x:v>
      </x:c>
      <x:c r="M70" s="42" t="n">
        <x:v>486414.13</x:v>
      </x:c>
    </x:row>
    <x:row r="71">
      <x:c r="A71" t="str">
        <x:v>PR-0066</x:v>
      </x:c>
      <x:c r="B71" t="str">
        <x:v>PO-7066</x:v>
      </x:c>
      <x:c r="C71" t="str">
        <x:v>Warehouse</x:v>
      </x:c>
      <x:c r="D71" t="str">
        <x:v>Vendor Alpha</x:v>
      </x:c>
      <x:c r="E71" t="str">
        <x:v>Operational procurement package 066</x:v>
      </x:c>
      <x:c r="F71" s="42" t="n">
        <x:v>339221.81</x:v>
      </x:c>
      <x:c r="G71" t="str">
        <x:v>Received</x:v>
      </x:c>
      <x:c r="H71" s="30" t="n">
        <x:v>46174</x:v>
      </x:c>
      <x:c r="I71" s="30" t="n">
        <x:v>46184</x:v>
      </x:c>
      <x:c r="J71" s="30"/>
      <x:c r="K71" s="30"/>
      <x:c r="L71" s="42" t="n">
        <x:v>0</x:v>
      </x:c>
      <x:c r="M71" s="42" t="n">
        <x:v>339221.81</x:v>
      </x:c>
    </x:row>
    <x:row r="72">
      <x:c r="A72" t="str">
        <x:v>PR-0067</x:v>
      </x:c>
      <x:c r="B72" t="str">
        <x:v>PO-7067</x:v>
      </x:c>
      <x:c r="C72" t="str">
        <x:v>Procurement</x:v>
      </x:c>
      <x:c r="D72" t="str">
        <x:v>Vendor Alpha</x:v>
      </x:c>
      <x:c r="E72" t="str">
        <x:v>Operational procurement package 067</x:v>
      </x:c>
      <x:c r="F72" s="42" t="n">
        <x:v>336493.47</x:v>
      </x:c>
      <x:c r="G72" t="str">
        <x:v>Invoiced</x:v>
      </x:c>
      <x:c r="H72" s="30" t="n">
        <x:v>46117</x:v>
      </x:c>
      <x:c r="I72" s="30" t="n">
        <x:v>46124</x:v>
      </x:c>
      <x:c r="J72" s="30" t="n">
        <x:v>46153</x:v>
      </x:c>
      <x:c r="K72" s="30"/>
      <x:c r="L72" s="42" t="n">
        <x:v>253405.12</x:v>
      </x:c>
      <x:c r="M72" s="42" t="n">
        <x:v>83088.34999999998</x:v>
      </x:c>
    </x:row>
    <x:row r="73">
      <x:c r="A73" t="str">
        <x:v>PR-0068</x:v>
      </x:c>
      <x:c r="B73" t="str">
        <x:v>PO-7068</x:v>
      </x:c>
      <x:c r="C73" t="str">
        <x:v>Construction</x:v>
      </x:c>
      <x:c r="D73" t="str">
        <x:v>Vendor Zeta</x:v>
      </x:c>
      <x:c r="E73" t="str">
        <x:v>Operational procurement package 068</x:v>
      </x:c>
      <x:c r="F73" s="42" t="n">
        <x:v>297993.61</x:v>
      </x:c>
      <x:c r="G73" t="str">
        <x:v>Invoiced</x:v>
      </x:c>
      <x:c r="H73" s="30" t="n">
        <x:v>46196</x:v>
      </x:c>
      <x:c r="I73" s="30" t="n">
        <x:v>46213</x:v>
      </x:c>
      <x:c r="J73" s="30" t="n">
        <x:v>46231</x:v>
      </x:c>
      <x:c r="K73" s="30"/>
      <x:c r="L73" s="42" t="n">
        <x:v>66024.92</x:v>
      </x:c>
      <x:c r="M73" s="42" t="n">
        <x:v>231968.69</x:v>
      </x:c>
    </x:row>
    <x:row r="74">
      <x:c r="A74" t="str">
        <x:v>PR-0069</x:v>
      </x:c>
      <x:c r="B74" t="str">
        <x:v>PO-7069</x:v>
      </x:c>
      <x:c r="C74" t="str">
        <x:v>Human Resources</x:v>
      </x:c>
      <x:c r="D74" t="str">
        <x:v>Vendor Delta</x:v>
      </x:c>
      <x:c r="E74" t="str">
        <x:v>Operational procurement package 069</x:v>
      </x:c>
      <x:c r="F74" s="42" t="n">
        <x:v>301399.15</x:v>
      </x:c>
      <x:c r="G74" t="str">
        <x:v>Received</x:v>
      </x:c>
      <x:c r="H74" s="30" t="n">
        <x:v>46141</x:v>
      </x:c>
      <x:c r="I74" s="30" t="n">
        <x:v>46159</x:v>
      </x:c>
      <x:c r="J74" s="30"/>
      <x:c r="K74" s="30"/>
      <x:c r="L74" s="42" t="n">
        <x:v>0</x:v>
      </x:c>
      <x:c r="M74" s="42" t="n">
        <x:v>301399.15</x:v>
      </x:c>
    </x:row>
    <x:row r="75">
      <x:c r="A75" t="str">
        <x:v>PR-0070</x:v>
      </x:c>
      <x:c r="B75" t="str">
        <x:v>PO-7070</x:v>
      </x:c>
      <x:c r="C75" t="str">
        <x:v>Human Resources</x:v>
      </x:c>
      <x:c r="D75" t="str">
        <x:v>Vendor Zeta</x:v>
      </x:c>
      <x:c r="E75" t="str">
        <x:v>Operational procurement package 070</x:v>
      </x:c>
      <x:c r="F75" s="42" t="n">
        <x:v>569030.92</x:v>
      </x:c>
      <x:c r="G75" t="str">
        <x:v>Paid</x:v>
      </x:c>
      <x:c r="H75" s="30" t="n">
        <x:v>46048</x:v>
      </x:c>
      <x:c r="I75" s="30" t="n">
        <x:v>46058</x:v>
      </x:c>
      <x:c r="J75" s="30" t="n">
        <x:v>46072</x:v>
      </x:c>
      <x:c r="K75" s="30" t="n">
        <x:v>46095</x:v>
      </x:c>
      <x:c r="L75" s="42" t="n">
        <x:v>569030.92</x:v>
      </x:c>
      <x:c r="M75" s="42" t="n">
        <x:v>0</x:v>
      </x:c>
    </x:row>
    <x:row r="76">
      <x:c r="A76" t="str">
        <x:v>PR-0071</x:v>
      </x:c>
      <x:c r="B76" t="str">
        <x:v>PO-7071</x:v>
      </x:c>
      <x:c r="C76" t="str">
        <x:v>Human Resources</x:v>
      </x:c>
      <x:c r="D76" t="str">
        <x:v>Vendor Epsilon</x:v>
      </x:c>
      <x:c r="E76" t="str">
        <x:v>Operational procurement package 071</x:v>
      </x:c>
      <x:c r="F76" s="42" t="n">
        <x:v>631981.44</x:v>
      </x:c>
      <x:c r="G76" t="str">
        <x:v>Invoiced</x:v>
      </x:c>
      <x:c r="H76" s="30" t="n">
        <x:v>46046</x:v>
      </x:c>
      <x:c r="I76" s="30" t="n">
        <x:v>46050</x:v>
      </x:c>
      <x:c r="J76" s="30" t="n">
        <x:v>46083</x:v>
      </x:c>
      <x:c r="K76" s="30"/>
      <x:c r="L76" s="42" t="n">
        <x:v>172726.63</x:v>
      </x:c>
      <x:c r="M76" s="42" t="n">
        <x:v>459254.80999999994</x:v>
      </x:c>
    </x:row>
    <x:row r="77">
      <x:c r="A77" t="str">
        <x:v>PR-0072</x:v>
      </x:c>
      <x:c r="B77" t="str"/>
      <x:c r="C77" t="str">
        <x:v>Project Administration</x:v>
      </x:c>
      <x:c r="D77" t="str">
        <x:v>Vendor Delta</x:v>
      </x:c>
      <x:c r="E77" t="str">
        <x:v>Operational procurement package 072</x:v>
      </x:c>
      <x:c r="F77" s="42" t="n">
        <x:v>364637.52</x:v>
      </x:c>
      <x:c r="G77" t="str">
        <x:v>PR Raised</x:v>
      </x:c>
      <x:c r="H77" s="30" t="n">
        <x:v>46035</x:v>
      </x:c>
      <x:c r="I77" s="30"/>
      <x:c r="J77" s="30"/>
      <x:c r="K77" s="30"/>
      <x:c r="L77" s="42" t="n">
        <x:v>0</x:v>
      </x:c>
      <x:c r="M77" s="42" t="n">
        <x:v>364637.52</x:v>
      </x:c>
    </x:row>
    <x:row r="78">
      <x:c r="A78" t="str">
        <x:v>PR-0073</x:v>
      </x:c>
      <x:c r="B78" t="str">
        <x:v>PO-7073</x:v>
      </x:c>
      <x:c r="C78" t="str">
        <x:v>Human Resources</x:v>
      </x:c>
      <x:c r="D78" t="str">
        <x:v>Vendor Beta</x:v>
      </x:c>
      <x:c r="E78" t="str">
        <x:v>Operational procurement package 073</x:v>
      </x:c>
      <x:c r="F78" s="42" t="n">
        <x:v>266983.9</x:v>
      </x:c>
      <x:c r="G78" t="str">
        <x:v>PO Issued</x:v>
      </x:c>
      <x:c r="H78" s="30" t="n">
        <x:v>46038</x:v>
      </x:c>
      <x:c r="I78" s="30" t="n">
        <x:v>46046</x:v>
      </x:c>
      <x:c r="J78" s="30"/>
      <x:c r="K78" s="30"/>
      <x:c r="L78" s="42" t="n">
        <x:v>0</x:v>
      </x:c>
      <x:c r="M78" s="42" t="n">
        <x:v>266983.9</x:v>
      </x:c>
    </x:row>
    <x:row r="79">
      <x:c r="A79" t="str">
        <x:v>PR-0074</x:v>
      </x:c>
      <x:c r="B79" t="str">
        <x:v>PO-7074</x:v>
      </x:c>
      <x:c r="C79" t="str">
        <x:v>Logistics</x:v>
      </x:c>
      <x:c r="D79" t="str">
        <x:v>Vendor Beta</x:v>
      </x:c>
      <x:c r="E79" t="str">
        <x:v>Operational procurement package 074</x:v>
      </x:c>
      <x:c r="F79" s="42" t="n">
        <x:v>504900.74</x:v>
      </x:c>
      <x:c r="G79" t="str">
        <x:v>Paid</x:v>
      </x:c>
      <x:c r="H79" s="30" t="n">
        <x:v>46023</x:v>
      </x:c>
      <x:c r="I79" s="30" t="n">
        <x:v>46035</x:v>
      </x:c>
      <x:c r="J79" s="30" t="n">
        <x:v>46074</x:v>
      </x:c>
      <x:c r="K79" s="30" t="n">
        <x:v>46089</x:v>
      </x:c>
      <x:c r="L79" s="42" t="n">
        <x:v>504900.74</x:v>
      </x:c>
      <x:c r="M79" s="42" t="n">
        <x:v>0</x:v>
      </x:c>
    </x:row>
    <x:row r="80">
      <x:c r="A80" t="str">
        <x:v>PR-0075</x:v>
      </x:c>
      <x:c r="B80" t="str">
        <x:v>PO-7075</x:v>
      </x:c>
      <x:c r="C80" t="str">
        <x:v>Warehouse</x:v>
      </x:c>
      <x:c r="D80" t="str">
        <x:v>Vendor Alpha</x:v>
      </x:c>
      <x:c r="E80" t="str">
        <x:v>Operational procurement package 075</x:v>
      </x:c>
      <x:c r="F80" s="42" t="n">
        <x:v>116572.97</x:v>
      </x:c>
      <x:c r="G80" t="str">
        <x:v>Paid</x:v>
      </x:c>
      <x:c r="H80" s="30" t="n">
        <x:v>46063</x:v>
      </x:c>
      <x:c r="I80" s="30" t="n">
        <x:v>46065</x:v>
      </x:c>
      <x:c r="J80" s="30" t="n">
        <x:v>46084</x:v>
      </x:c>
      <x:c r="K80" s="30" t="n">
        <x:v>46099</x:v>
      </x:c>
      <x:c r="L80" s="42" t="n">
        <x:v>116572.97</x:v>
      </x:c>
      <x:c r="M80" s="42" t="n">
        <x:v>0</x:v>
      </x:c>
    </x:row>
    <x:row r="81">
      <x:c r="A81" t="str">
        <x:v>PR-0076</x:v>
      </x:c>
      <x:c r="B81" t="str">
        <x:v>PO-7076</x:v>
      </x:c>
      <x:c r="C81" t="str">
        <x:v>Logistics</x:v>
      </x:c>
      <x:c r="D81" t="str">
        <x:v>Vendor Theta</x:v>
      </x:c>
      <x:c r="E81" t="str">
        <x:v>Operational procurement package 076</x:v>
      </x:c>
      <x:c r="F81" s="42" t="n">
        <x:v>273724.12</x:v>
      </x:c>
      <x:c r="G81" t="str">
        <x:v>Paid</x:v>
      </x:c>
      <x:c r="H81" s="30" t="n">
        <x:v>46148</x:v>
      </x:c>
      <x:c r="I81" s="30" t="n">
        <x:v>46156</x:v>
      </x:c>
      <x:c r="J81" s="30" t="n">
        <x:v>46175</x:v>
      </x:c>
      <x:c r="K81" s="30" t="n">
        <x:v>46189</x:v>
      </x:c>
      <x:c r="L81" s="42" t="n">
        <x:v>273724.12</x:v>
      </x:c>
      <x:c r="M81" s="42" t="n">
        <x:v>0</x:v>
      </x:c>
    </x:row>
    <x:row r="82">
      <x:c r="A82" t="str">
        <x:v>PR-0077</x:v>
      </x:c>
      <x:c r="B82" t="str">
        <x:v>PO-7077</x:v>
      </x:c>
      <x:c r="C82" t="str">
        <x:v>Executive Office</x:v>
      </x:c>
      <x:c r="D82" t="str">
        <x:v>Vendor Delta</x:v>
      </x:c>
      <x:c r="E82" t="str">
        <x:v>Operational procurement package 077</x:v>
      </x:c>
      <x:c r="F82" s="42" t="n">
        <x:v>20134.8</x:v>
      </x:c>
      <x:c r="G82" t="str">
        <x:v>Paid</x:v>
      </x:c>
      <x:c r="H82" s="30" t="n">
        <x:v>46059</x:v>
      </x:c>
      <x:c r="I82" s="30" t="n">
        <x:v>46064</x:v>
      </x:c>
      <x:c r="J82" s="30" t="n">
        <x:v>46108</x:v>
      </x:c>
      <x:c r="K82" s="30" t="n">
        <x:v>46137</x:v>
      </x:c>
      <x:c r="L82" s="42" t="n">
        <x:v>20134.8</x:v>
      </x:c>
      <x:c r="M82" s="42" t="n">
        <x:v>0</x:v>
      </x:c>
    </x:row>
    <x:row r="83">
      <x:c r="A83" t="str">
        <x:v>PR-0078</x:v>
      </x:c>
      <x:c r="B83" t="str"/>
      <x:c r="C83" t="str">
        <x:v>Procurement</x:v>
      </x:c>
      <x:c r="D83" t="str">
        <x:v>Vendor Zeta</x:v>
      </x:c>
      <x:c r="E83" t="str">
        <x:v>Operational procurement package 078</x:v>
      </x:c>
      <x:c r="F83" s="42" t="n">
        <x:v>511423.79</x:v>
      </x:c>
      <x:c r="G83" t="str">
        <x:v>PR Raised</x:v>
      </x:c>
      <x:c r="H83" s="30" t="n">
        <x:v>46174</x:v>
      </x:c>
      <x:c r="I83" s="30"/>
      <x:c r="J83" s="30"/>
      <x:c r="K83" s="30"/>
      <x:c r="L83" s="42" t="n">
        <x:v>0</x:v>
      </x:c>
      <x:c r="M83" s="42" t="n">
        <x:v>511423.79</x:v>
      </x:c>
    </x:row>
    <x:row r="84">
      <x:c r="A84" t="str">
        <x:v>PR-0079</x:v>
      </x:c>
      <x:c r="B84" t="str">
        <x:v>PO-7079</x:v>
      </x:c>
      <x:c r="C84" t="str">
        <x:v>Fleet &amp; Transportation</x:v>
      </x:c>
      <x:c r="D84" t="str">
        <x:v>Vendor Zeta</x:v>
      </x:c>
      <x:c r="E84" t="str">
        <x:v>Operational procurement package 079</x:v>
      </x:c>
      <x:c r="F84" s="42" t="n">
        <x:v>333511.87</x:v>
      </x:c>
      <x:c r="G84" t="str">
        <x:v>Paid</x:v>
      </x:c>
      <x:c r="H84" s="30" t="n">
        <x:v>46174</x:v>
      </x:c>
      <x:c r="I84" s="30" t="n">
        <x:v>46184</x:v>
      </x:c>
      <x:c r="J84" s="30" t="n">
        <x:v>46208</x:v>
      </x:c>
      <x:c r="K84" s="30" t="n">
        <x:v>46234</x:v>
      </x:c>
      <x:c r="L84" s="42" t="n">
        <x:v>333511.87</x:v>
      </x:c>
      <x:c r="M84" s="42" t="n">
        <x:v>0</x:v>
      </x:c>
    </x:row>
    <x:row r="85">
      <x:c r="A85" t="str">
        <x:v>PR-0080</x:v>
      </x:c>
      <x:c r="B85" t="str">
        <x:v>PO-7080</x:v>
      </x:c>
      <x:c r="C85" t="str">
        <x:v>Executive Office</x:v>
      </x:c>
      <x:c r="D85" t="str">
        <x:v>Vendor Eta</x:v>
      </x:c>
      <x:c r="E85" t="str">
        <x:v>Operational procurement package 080</x:v>
      </x:c>
      <x:c r="F85" s="42" t="n">
        <x:v>317734.39</x:v>
      </x:c>
      <x:c r="G85" t="str">
        <x:v>PO Issued</x:v>
      </x:c>
      <x:c r="H85" s="30" t="n">
        <x:v>46036</x:v>
      </x:c>
      <x:c r="I85" s="30" t="n">
        <x:v>46046</x:v>
      </x:c>
      <x:c r="J85" s="30"/>
      <x:c r="K85" s="30"/>
      <x:c r="L85" s="42" t="n">
        <x:v>0</x:v>
      </x:c>
      <x:c r="M85" s="42" t="n">
        <x:v>317734.39</x:v>
      </x:c>
    </x:row>
    <x:row r="86">
      <x:c r="A86" t="str">
        <x:v>PR-0081</x:v>
      </x:c>
      <x:c r="B86" t="str"/>
      <x:c r="C86" t="str">
        <x:v>Finance</x:v>
      </x:c>
      <x:c r="D86" t="str">
        <x:v>Vendor Alpha</x:v>
      </x:c>
      <x:c r="E86" t="str">
        <x:v>Operational procurement package 081</x:v>
      </x:c>
      <x:c r="F86" s="42" t="n">
        <x:v>341515.63</x:v>
      </x:c>
      <x:c r="G86" t="str">
        <x:v>On Hold</x:v>
      </x:c>
      <x:c r="H86" s="30" t="n">
        <x:v>46072</x:v>
      </x:c>
      <x:c r="I86" s="30"/>
      <x:c r="J86" s="30"/>
      <x:c r="K86" s="30"/>
      <x:c r="L86" s="42" t="n">
        <x:v>0</x:v>
      </x:c>
      <x:c r="M86" s="42" t="n">
        <x:v>341515.63</x:v>
      </x:c>
    </x:row>
    <x:row r="87">
      <x:c r="A87" t="str">
        <x:v>PR-0082</x:v>
      </x:c>
      <x:c r="B87" t="str">
        <x:v>PO-7082</x:v>
      </x:c>
      <x:c r="C87" t="str">
        <x:v>Project Administration</x:v>
      </x:c>
      <x:c r="D87" t="str">
        <x:v>Vendor Delta</x:v>
      </x:c>
      <x:c r="E87" t="str">
        <x:v>Operational procurement package 082</x:v>
      </x:c>
      <x:c r="F87" s="42" t="n">
        <x:v>605102.27</x:v>
      </x:c>
      <x:c r="G87" t="str">
        <x:v>Invoiced</x:v>
      </x:c>
      <x:c r="H87" s="30" t="n">
        <x:v>46137</x:v>
      </x:c>
      <x:c r="I87" s="30" t="n">
        <x:v>46144</x:v>
      </x:c>
      <x:c r="J87" s="30" t="n">
        <x:v>46167</x:v>
      </x:c>
      <x:c r="K87" s="30"/>
      <x:c r="L87" s="42" t="n">
        <x:v>208053.11</x:v>
      </x:c>
      <x:c r="M87" s="42" t="n">
        <x:v>397049.16000000003</x:v>
      </x:c>
    </x:row>
    <x:row r="88">
      <x:c r="A88" t="str">
        <x:v>PR-0083</x:v>
      </x:c>
      <x:c r="B88" t="str">
        <x:v>PO-7083</x:v>
      </x:c>
      <x:c r="C88" t="str">
        <x:v>Warehouse</x:v>
      </x:c>
      <x:c r="D88" t="str">
        <x:v>Vendor Theta</x:v>
      </x:c>
      <x:c r="E88" t="str">
        <x:v>Operational procurement package 083</x:v>
      </x:c>
      <x:c r="F88" s="42" t="n">
        <x:v>247862.52</x:v>
      </x:c>
      <x:c r="G88" t="str">
        <x:v>PO Issued</x:v>
      </x:c>
      <x:c r="H88" s="30" t="n">
        <x:v>46143</x:v>
      </x:c>
      <x:c r="I88" s="30" t="n">
        <x:v>46156</x:v>
      </x:c>
      <x:c r="J88" s="30"/>
      <x:c r="K88" s="30"/>
      <x:c r="L88" s="42" t="n">
        <x:v>0</x:v>
      </x:c>
      <x:c r="M88" s="42" t="n">
        <x:v>247862.52</x:v>
      </x:c>
    </x:row>
    <x:row r="89">
      <x:c r="A89" t="str">
        <x:v>PR-0084</x:v>
      </x:c>
      <x:c r="B89" t="str"/>
      <x:c r="C89" t="str">
        <x:v>Fleet &amp; Transportation</x:v>
      </x:c>
      <x:c r="D89" t="str">
        <x:v>Vendor Gamma</x:v>
      </x:c>
      <x:c r="E89" t="str">
        <x:v>Operational procurement package 084</x:v>
      </x:c>
      <x:c r="F89" s="42" t="n">
        <x:v>520695.49</x:v>
      </x:c>
      <x:c r="G89" t="str">
        <x:v>On Hold</x:v>
      </x:c>
      <x:c r="H89" s="30" t="n">
        <x:v>46146</x:v>
      </x:c>
      <x:c r="I89" s="30"/>
      <x:c r="J89" s="30"/>
      <x:c r="K89" s="30"/>
      <x:c r="L89" s="42" t="n">
        <x:v>0</x:v>
      </x:c>
      <x:c r="M89" s="42" t="n">
        <x:v>520695.49</x:v>
      </x:c>
    </x:row>
    <x:row r="90">
      <x:c r="A90" t="str">
        <x:v>PR-0085</x:v>
      </x:c>
      <x:c r="B90" t="str">
        <x:v>PO-7085</x:v>
      </x:c>
      <x:c r="C90" t="str">
        <x:v>Document Control</x:v>
      </x:c>
      <x:c r="D90" t="str">
        <x:v>Vendor Eta</x:v>
      </x:c>
      <x:c r="E90" t="str">
        <x:v>Operational procurement package 085</x:v>
      </x:c>
      <x:c r="F90" s="42" t="n">
        <x:v>426213.74</x:v>
      </x:c>
      <x:c r="G90" t="str">
        <x:v>PO Issued</x:v>
      </x:c>
      <x:c r="H90" s="30" t="n">
        <x:v>46096</x:v>
      </x:c>
      <x:c r="I90" s="30" t="n">
        <x:v>46112</x:v>
      </x:c>
      <x:c r="J90" s="30"/>
      <x:c r="K90" s="30"/>
      <x:c r="L90" s="42" t="n">
        <x:v>0</x:v>
      </x:c>
      <x:c r="M90" s="42" t="n">
        <x:v>426213.74</x:v>
      </x:c>
    </x:row>
    <x:row r="91">
      <x:c r="A91" t="str">
        <x:v>PR-0086</x:v>
      </x:c>
      <x:c r="B91" t="str"/>
      <x:c r="C91" t="str">
        <x:v>Finance</x:v>
      </x:c>
      <x:c r="D91" t="str">
        <x:v>Vendor Beta</x:v>
      </x:c>
      <x:c r="E91" t="str">
        <x:v>Operational procurement package 086</x:v>
      </x:c>
      <x:c r="F91" s="42" t="n">
        <x:v>292625.52</x:v>
      </x:c>
      <x:c r="G91" t="str">
        <x:v>On Hold</x:v>
      </x:c>
      <x:c r="H91" s="30" t="n">
        <x:v>46122</x:v>
      </x:c>
      <x:c r="I91" s="30"/>
      <x:c r="J91" s="30"/>
      <x:c r="K91" s="30"/>
      <x:c r="L91" s="42" t="n">
        <x:v>0</x:v>
      </x:c>
      <x:c r="M91" s="42" t="n">
        <x:v>292625.52</x:v>
      </x:c>
    </x:row>
    <x:row r="92">
      <x:c r="A92" t="str">
        <x:v>PR-0087</x:v>
      </x:c>
      <x:c r="B92" t="str">
        <x:v>PO-7087</x:v>
      </x:c>
      <x:c r="C92" t="str">
        <x:v>Executive Office</x:v>
      </x:c>
      <x:c r="D92" t="str">
        <x:v>Vendor Beta</x:v>
      </x:c>
      <x:c r="E92" t="str">
        <x:v>Operational procurement package 087</x:v>
      </x:c>
      <x:c r="F92" s="42" t="n">
        <x:v>634970.6</x:v>
      </x:c>
      <x:c r="G92" t="str">
        <x:v>Paid</x:v>
      </x:c>
      <x:c r="H92" s="30" t="n">
        <x:v>46148</x:v>
      </x:c>
      <x:c r="I92" s="30" t="n">
        <x:v>46158</x:v>
      </x:c>
      <x:c r="J92" s="30" t="n">
        <x:v>46186</x:v>
      </x:c>
      <x:c r="K92" s="30" t="n">
        <x:v>46201</x:v>
      </x:c>
      <x:c r="L92" s="42" t="n">
        <x:v>634970.6</x:v>
      </x:c>
      <x:c r="M92" s="42" t="n">
        <x:v>0</x:v>
      </x:c>
    </x:row>
    <x:row r="93">
      <x:c r="A93" t="str">
        <x:v>PR-0088</x:v>
      </x:c>
      <x:c r="B93" t="str"/>
      <x:c r="C93" t="str">
        <x:v>Warehouse</x:v>
      </x:c>
      <x:c r="D93" t="str">
        <x:v>Vendor Beta</x:v>
      </x:c>
      <x:c r="E93" t="str">
        <x:v>Operational procurement package 088</x:v>
      </x:c>
      <x:c r="F93" s="42" t="n">
        <x:v>381740.82</x:v>
      </x:c>
      <x:c r="G93" t="str">
        <x:v>On Hold</x:v>
      </x:c>
      <x:c r="H93" s="30" t="n">
        <x:v>46149</x:v>
      </x:c>
      <x:c r="I93" s="30"/>
      <x:c r="J93" s="30"/>
      <x:c r="K93" s="30"/>
      <x:c r="L93" s="42" t="n">
        <x:v>0</x:v>
      </x:c>
      <x:c r="M93" s="42" t="n">
        <x:v>381740.82</x:v>
      </x:c>
    </x:row>
    <x:row r="94">
      <x:c r="A94" t="str">
        <x:v>PR-0089</x:v>
      </x:c>
      <x:c r="B94" t="str">
        <x:v>PO-7089</x:v>
      </x:c>
      <x:c r="C94" t="str">
        <x:v>Project Administration</x:v>
      </x:c>
      <x:c r="D94" t="str">
        <x:v>Vendor Zeta</x:v>
      </x:c>
      <x:c r="E94" t="str">
        <x:v>Operational procurement package 089</x:v>
      </x:c>
      <x:c r="F94" s="42" t="n">
        <x:v>251552.71</x:v>
      </x:c>
      <x:c r="G94" t="str">
        <x:v>PO Issued</x:v>
      </x:c>
      <x:c r="H94" s="30" t="n">
        <x:v>46102</x:v>
      </x:c>
      <x:c r="I94" s="30" t="n">
        <x:v>46108</x:v>
      </x:c>
      <x:c r="J94" s="30"/>
      <x:c r="K94" s="30"/>
      <x:c r="L94" s="42" t="n">
        <x:v>0</x:v>
      </x:c>
      <x:c r="M94" s="42" t="n">
        <x:v>251552.71</x:v>
      </x:c>
    </x:row>
    <x:row r="95">
      <x:c r="A95" t="str">
        <x:v>PR-0090</x:v>
      </x:c>
      <x:c r="B95" t="str">
        <x:v>PO-7090</x:v>
      </x:c>
      <x:c r="C95" t="str">
        <x:v>Finance</x:v>
      </x:c>
      <x:c r="D95" t="str">
        <x:v>Vendor Delta</x:v>
      </x:c>
      <x:c r="E95" t="str">
        <x:v>Operational procurement package 090</x:v>
      </x:c>
      <x:c r="F95" s="42" t="n">
        <x:v>186030.65</x:v>
      </x:c>
      <x:c r="G95" t="str">
        <x:v>Paid</x:v>
      </x:c>
      <x:c r="H95" s="30" t="n">
        <x:v>46089</x:v>
      </x:c>
      <x:c r="I95" s="30" t="n">
        <x:v>46101</x:v>
      </x:c>
      <x:c r="J95" s="30" t="n">
        <x:v>46127</x:v>
      </x:c>
      <x:c r="K95" s="30" t="n">
        <x:v>46137</x:v>
      </x:c>
      <x:c r="L95" s="42" t="n">
        <x:v>186030.65</x:v>
      </x:c>
      <x:c r="M95" s="42" t="n">
        <x:v>0</x:v>
      </x:c>
    </x:row>
  </x:sheetData>
  <x:mergeCells>
    <x:mergeCell ref="A1:M2"/>
    <x:mergeCell ref="A3:M3"/>
  </x:mergeCells>
  <x:conditionalFormatting sqref="G6:G95">
    <x:cfRule type="expression" dxfId="4" priority="1">
      <x:formula>G6="Paid"</x:formula>
    </x:cfRule>
    <x:cfRule type="expression" dxfId="5" priority="2">
      <x:formula>G6="On Hold"</x:formula>
    </x:cfRule>
  </x:conditionalFormatting>
  <x:conditionalFormatting sqref="M6:M95">
    <x:cfRule type="dataBar" priority="3">
      <x:dataBar>
        <x:cfvo type="min"/>
        <x:cfvo type="max"/>
        <x:color rgb="FFC9A227"/>
      </x:dataBar>
      <x:extLst>
        <x:ext xmlns:x14="http://schemas.microsoft.com/office/spreadsheetml/2009/9/main" uri="{B025F937-C7B1-47D3-B67F-A62EFF666E3E}">
          <x14:id>{C39FFC1E-6876-3A66-271F-E3F0E594B283}</x14:id>
        </x:ext>
      </x:extLst>
    </x:cfRule>
  </x:conditionalFormatting>
  <x:dataValidations count="1">
    <x:dataValidation type="list" sqref="G6:G95">
      <x:formula1>"PR Raised,PO Issued,Received,Invoiced,Paid,On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6b4171b1ee47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39FFC1E-6876-3A66-271F-E3F0E594B283}">
            <x14:dataBar gradient="1">
              <x14:cfvo type="min"/>
              <x14:cfvo type="max"/>
              <x14:fillColor rgb="FFC9A227"/>
            </x14:dataBar>
          </x14:cfRule>
          <xm:sqref>M6:M95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3" hidden="0" customWidth="1"/>
    <x:col min="7" max="7" width="14" hidden="0" customWidth="1"/>
    <x:col min="8" max="8" width="30" hidden="0" customWidth="1"/>
  </x:cols>
  <x:sheetData>
    <x:row r="1">
      <x:c r="A1" s="10" t="str">
        <x:v>EXECUTIVE KPI SCORECARD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37" t="str">
        <x:v>Target vs Actual | Status • Variance • Management attention</x:v>
      </x:c>
      <x:c r="B3" s="37"/>
      <x:c r="C3" s="37"/>
      <x:c r="D3" s="37"/>
      <x:c r="E3" s="37"/>
      <x:c r="F3" s="37"/>
      <x:c r="G3" s="37"/>
      <x:c r="H3" s="37"/>
    </x:row>
    <x:row r="5">
      <x:c r="A5" s="23" t="str">
        <x:v>KPI</x:v>
      </x:c>
      <x:c r="B5" s="23" t="str">
        <x:v>Target</x:v>
      </x:c>
      <x:c r="C5" s="23" t="str">
        <x:v>Actual</x:v>
      </x:c>
      <x:c r="D5" s="23" t="str">
        <x:v>Variance</x:v>
      </x:c>
      <x:c r="E5" s="23" t="str">
        <x:v>Achievement %</x:v>
      </x:c>
      <x:c r="F5" s="23" t="str">
        <x:v>Direction</x:v>
      </x:c>
      <x:c r="G5" s="23" t="str">
        <x:v>Status</x:v>
      </x:c>
      <x:c r="H5" s="23" t="str">
        <x:v>Management Comment</x:v>
      </x:c>
    </x:row>
    <x:row r="6">
      <x:c r="A6" t="str">
        <x:v>Attendance Rate</x:v>
      </x:c>
      <x:c r="B6" s="40" t="n">
        <x:v>0.96</x:v>
      </x:c>
      <x:c r="C6" s="40" t="n">
        <x:f>AVERAGE('Workforce &amp; Attendance'!K6:K155)</x:f>
        <x:v>0.9128395860781732</x:v>
      </x:c>
      <x:c r="D6" s="40" t="n">
        <x:f>C6-B6</x:f>
        <x:v>-0.047160413921826794</x:v>
      </x:c>
      <x:c r="E6" s="40" t="n">
        <x:f>IF(F6="Higher",C6/B6,B6/C6)</x:f>
        <x:v>0.9508745688314304</x:v>
      </x:c>
      <x:c r="F6" t="str">
        <x:v>Higher</x:v>
      </x:c>
      <x:c r="G6" t="str">
        <x:f>IF(E6&gt;=1,"On Track",IF(E6&gt;=0.85,"Watch","Critical"))</x:f>
        <x:v>Watch</x:v>
      </x:c>
      <x:c r="H6" t="str">
        <x:f>IF(G6="On Track","Within target",IF(G6="Watch","Monitor closely","Management action required"))</x:f>
        <x:v>Monitor closely</x:v>
      </x:c>
    </x:row>
    <x:row r="7">
      <x:c r="A7" t="str">
        <x:v>Active Workforce %</x:v>
      </x:c>
      <x:c r="B7" s="40" t="n">
        <x:v>0.9</x:v>
      </x:c>
      <x:c r="C7" s="40" t="n">
        <x:f>COUNTIF('Workforce &amp; Attendance'!E6:E155,"Active")/COUNTA('Workforce &amp; Attendance'!A6:A155)</x:f>
        <x:v>0.84</x:v>
      </x:c>
      <x:c r="D7" s="40" t="n">
        <x:f>C7-B7</x:f>
        <x:v>-0.06000000000000005</x:v>
      </x:c>
      <x:c r="E7" s="40" t="n">
        <x:f>IF(F7="Higher",C7/B7,B7/C7)</x:f>
        <x:v>0.9333333333333332</x:v>
      </x:c>
      <x:c r="F7" t="str">
        <x:v>Higher</x:v>
      </x:c>
      <x:c r="G7" t="str">
        <x:f>IF(E7&gt;=1,"On Track",IF(E7&gt;=0.85,"Watch","Critical"))</x:f>
        <x:v>Watch</x:v>
      </x:c>
      <x:c r="H7" t="str">
        <x:f>IF(G7="On Track","Within target",IF(G7="Watch","Monitor closely","Management action required"))</x:f>
        <x:v>Monitor closely</x:v>
      </x:c>
    </x:row>
    <x:row r="8">
      <x:c r="A8" t="str">
        <x:v>Open Action Closure %</x:v>
      </x:c>
      <x:c r="B8" s="40" t="n">
        <x:v>0.8</x:v>
      </x:c>
      <x:c r="C8" s="40" t="n">
        <x:f>COUNTIF('Action Tracker'!F6:F125,"Completed")/COUNTA('Action Tracker'!A6:A125)</x:f>
        <x:v>0.38333333333333336</x:v>
      </x:c>
      <x:c r="D8" s="40" t="n">
        <x:f>C8-B8</x:f>
        <x:v>-0.4166666666666667</x:v>
      </x:c>
      <x:c r="E8" s="40" t="n">
        <x:f>IF(F8="Higher",C8/B8,B8/C8)</x:f>
        <x:v>0.4791666666666667</x:v>
      </x:c>
      <x:c r="F8" t="str">
        <x:v>Higher</x:v>
      </x:c>
      <x:c r="G8" t="str">
        <x:f>IF(E8&gt;=1,"On Track",IF(E8&gt;=0.85,"Watch","Critical"))</x:f>
        <x:v>Critical</x:v>
      </x:c>
      <x:c r="H8" t="str">
        <x:f>IF(G8="On Track","Within target",IF(G8="Watch","Monitor closely","Management action required"))</x:f>
        <x:v>Management action required</x:v>
      </x:c>
    </x:row>
    <x:row r="9">
      <x:c r="A9" t="str">
        <x:v>Overdue Action Rate</x:v>
      </x:c>
      <x:c r="B9" s="40" t="n">
        <x:v>0.1</x:v>
      </x:c>
      <x:c r="C9" s="40" t="n">
        <x:f>COUNTIF('Action Tracker'!L6:L125,"&gt;0")/COUNTA('Action Tracker'!A6:A125)</x:f>
        <x:v>0.5083333333333333</x:v>
      </x:c>
      <x:c r="D9" s="40" t="n">
        <x:f>C9-B9</x:f>
        <x:v>0.4083333333333333</x:v>
      </x:c>
      <x:c r="E9" s="40" t="n">
        <x:f>IF(F9="Higher",C9/B9,B9/C9)</x:f>
        <x:v>0.19672131147540986</x:v>
      </x:c>
      <x:c r="F9" t="str">
        <x:v>Lower</x:v>
      </x:c>
      <x:c r="G9" t="str">
        <x:f>IF(E9&gt;=1,"On Track",IF(E9&gt;=0.85,"Watch","Critical"))</x:f>
        <x:v>Critical</x:v>
      </x:c>
      <x:c r="H9" t="str">
        <x:f>IF(G9="On Track","Within target",IF(G9="Watch","Monitor closely","Management action required"))</x:f>
        <x:v>Management action required</x:v>
      </x:c>
    </x:row>
    <x:row r="10">
      <x:c r="A10" t="str">
        <x:v>Procurement Paid %</x:v>
      </x:c>
      <x:c r="B10" s="40" t="n">
        <x:v>0.75</x:v>
      </x:c>
      <x:c r="C10" s="40" t="n">
        <x:f>SUM('Procurement &amp; Payment'!L6:L95)/SUM('Procurement &amp; Payment'!F6:F95)</x:f>
        <x:v>0.31357627657422205</x:v>
      </x:c>
      <x:c r="D10" s="40" t="n">
        <x:f>C10-B10</x:f>
        <x:v>-0.43642372342577795</x:v>
      </x:c>
      <x:c r="E10" s="40" t="n">
        <x:f>IF(F10="Higher",C10/B10,B10/C10)</x:f>
        <x:v>0.41810170209896275</x:v>
      </x:c>
      <x:c r="F10" t="str">
        <x:v>Higher</x:v>
      </x:c>
      <x:c r="G10" t="str">
        <x:f>IF(E10&gt;=1,"On Track",IF(E10&gt;=0.85,"Watch","Critical"))</x:f>
        <x:v>Critical</x:v>
      </x:c>
      <x:c r="H10" t="str">
        <x:f>IF(G10="On Track","Within target",IF(G10="Watch","Monitor closely","Management action required"))</x:f>
        <x:v>Management action required</x:v>
      </x:c>
    </x:row>
    <x:row r="11">
      <x:c r="A11" t="str">
        <x:v>OT Exception Rate</x:v>
      </x:c>
      <x:c r="B11" s="40" t="n">
        <x:v>0.15</x:v>
      </x:c>
      <x:c r="C11" s="40" t="n">
        <x:f>COUNTIF('Workforce &amp; Attendance'!J6:J155,"&gt;51")/COUNTA('Workforce &amp; Attendance'!A6:A155)</x:f>
        <x:v>0.06666666666666667</x:v>
      </x:c>
      <x:c r="D11" s="40" t="n">
        <x:f>C11-B11</x:f>
        <x:v>-0.08333333333333333</x:v>
      </x:c>
      <x:c r="E11" s="40" t="n">
        <x:f>IF(F11="Higher",C11/B11,B11/C11)</x:f>
        <x:v>2.25</x:v>
      </x:c>
      <x:c r="F11" t="str">
        <x:v>Lower</x:v>
      </x:c>
      <x:c r="G11" t="str">
        <x:f>IF(E11&gt;=1,"On Track",IF(E11&gt;=0.85,"Watch","Critical"))</x:f>
        <x:v>On Track</x:v>
      </x:c>
      <x:c r="H11" t="str">
        <x:f>IF(G11="On Track","Within target",IF(G11="Watch","Monitor closely","Management action required"))</x:f>
        <x:v>Within target</x:v>
      </x:c>
    </x:row>
  </x:sheetData>
  <x:mergeCells>
    <x:mergeCell ref="A1:H2"/>
    <x:mergeCell ref="A3:H3"/>
  </x:mergeCells>
  <x:conditionalFormatting sqref="G6:G11">
    <x:cfRule type="expression" dxfId="6" priority="1">
      <x:formula>G6="On Track"</x:formula>
    </x:cfRule>
    <x:cfRule type="expression" dxfId="7" priority="2">
      <x:formula>G6="Watch"</x:formula>
    </x:cfRule>
    <x:cfRule type="expression" dxfId="8" priority="3">
      <x:formula>G6="Critical"</x:formula>
    </x:cfRule>
  </x:conditionalFormatting>
  <x:conditionalFormatting sqref="E6:E11">
    <x:cfRule type="dataBar" priority="4">
      <x:dataBar>
        <x:cfvo type="min"/>
        <x:cfvo type="max"/>
        <x:color rgb="FF2F80ED"/>
      </x:dataBar>
      <x:extLst>
        <x:ext xmlns:x14="http://schemas.microsoft.com/office/spreadsheetml/2009/9/main" uri="{B025F937-C7B1-47D3-B67F-A62EFF666E3E}">
          <x14:id>{887928CB-8B67-74F3-4187-85AD8F88BDE0}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87928CB-8B67-74F3-4187-85AD8F88BDE0}">
            <x14:dataBar gradient="1">
              <x14:cfvo type="min"/>
              <x14:cfvo type="max"/>
              <x14:fillColor rgb="FF2F80ED"/>
            </x14:dataBar>
          </x14:cfRule>
          <xm:sqref>E6:E11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4" t="str">
        <x:v>Departments</x:v>
      </x:c>
      <x:c r="B1" s="4" t="str">
        <x:v>Owners</x:v>
      </x:c>
      <x:c r="C1" s="4" t="str">
        <x:v>Priority</x:v>
      </x:c>
      <x:c r="D1" s="4" t="str">
        <x:v>Action Status</x:v>
      </x:c>
      <x:c r="E1" s="4" t="str">
        <x:v>Sites</x:v>
      </x:c>
      <x:c r="F1" s="4" t="str">
        <x:v>Procurement Status</x:v>
      </x:c>
    </x:row>
    <x:row r="2">
      <x:c r="A2" t="str">
        <x:v>Construction</x:v>
      </x:c>
      <x:c r="B2" t="str">
        <x:v>Project Manager</x:v>
      </x:c>
      <x:c r="C2" t="str">
        <x:v>Critical</x:v>
      </x:c>
      <x:c r="D2" t="str">
        <x:v>Open</x:v>
      </x:c>
      <x:c r="E2" t="str">
        <x:v>Head Office</x:v>
      </x:c>
      <x:c r="F2" t="str">
        <x:v>PR Raised</x:v>
      </x:c>
    </x:row>
    <x:row r="3">
      <x:c r="A3" t="str">
        <x:v>Logistics</x:v>
      </x:c>
      <x:c r="B3" t="str">
        <x:v>Admin Manager</x:v>
      </x:c>
      <x:c r="C3" t="str">
        <x:v>High</x:v>
      </x:c>
      <x:c r="D3" t="str">
        <x:v>In Progress</x:v>
      </x:c>
      <x:c r="E3" t="str">
        <x:v>Base Camp</x:v>
      </x:c>
      <x:c r="F3" t="str">
        <x:v>PO Issued</x:v>
      </x:c>
    </x:row>
    <x:row r="4">
      <x:c r="A4" t="str">
        <x:v>Fleet &amp; Transportation</x:v>
      </x:c>
      <x:c r="B4" t="str">
        <x:v>Logistics Manager</x:v>
      </x:c>
      <x:c r="C4" t="str">
        <x:v>Medium</x:v>
      </x:c>
      <x:c r="D4" t="str">
        <x:v>Completed</x:v>
      </x:c>
      <x:c r="E4" t="str">
        <x:v>West Site</x:v>
      </x:c>
      <x:c r="F4" t="str">
        <x:v>Received</x:v>
      </x:c>
    </x:row>
    <x:row r="5">
      <x:c r="A5" t="str">
        <x:v>Project Administration</x:v>
      </x:c>
      <x:c r="B5" t="str">
        <x:v>HR Manager</x:v>
      </x:c>
      <x:c r="C5" t="str">
        <x:v>Low</x:v>
      </x:c>
      <x:c r="D5" t="str">
        <x:v>On Hold</x:v>
      </x:c>
      <x:c r="E5" t="str">
        <x:v>East Site</x:v>
      </x:c>
      <x:c r="F5" t="str">
        <x:v>Invoiced</x:v>
      </x:c>
    </x:row>
    <x:row r="6">
      <x:c r="A6" t="str">
        <x:v>Warehouse</x:v>
      </x:c>
      <x:c r="B6" t="str">
        <x:v>Procurement Lead</x:v>
      </x:c>
      <x:c r="C6"/>
      <x:c r="D6"/>
      <x:c r="E6" t="str">
        <x:v>Warehouse</x:v>
      </x:c>
      <x:c r="F6" t="str">
        <x:v>Paid</x:v>
      </x:c>
    </x:row>
    <x:row r="7">
      <x:c r="A7" t="str">
        <x:v>Procurement</x:v>
      </x:c>
      <x:c r="B7" t="str">
        <x:v>Finance Lead</x:v>
      </x:c>
      <x:c r="C7"/>
      <x:c r="D7"/>
      <x:c r="E7" t="str">
        <x:v>Segment Factory</x:v>
      </x:c>
      <x:c r="F7" t="str">
        <x:v>On Hold</x:v>
      </x:c>
    </x:row>
    <x:row r="8">
      <x:c r="A8" t="str">
        <x:v>Document Control</x:v>
      </x:c>
      <x:c r="B8" t="str">
        <x:v>Document Controller</x:v>
      </x:c>
      <x:c r="C8"/>
      <x:c r="D8"/>
      <x:c r="E8"/>
      <x:c r="F8"/>
    </x:row>
    <x:row r="9">
      <x:c r="A9" t="str">
        <x:v>Finance</x:v>
      </x:c>
      <x:c r="B9" t="str">
        <x:v>Fleet Supervisor</x:v>
      </x:c>
      <x:c r="C9"/>
      <x:c r="D9"/>
      <x:c r="E9"/>
      <x:c r="F9"/>
    </x:row>
    <x:row r="10">
      <x:c r="A10" t="str">
        <x:v>Human Resources</x:v>
      </x:c>
      <x:c r="B10" t="str">
        <x:v>Site Administrator</x:v>
      </x:c>
      <x:c r="C10"/>
      <x:c r="D10"/>
      <x:c r="E10"/>
      <x:c r="F10"/>
    </x:row>
    <x:row r="11">
      <x:c r="A11" t="str">
        <x:v>Executive Office</x:v>
      </x:c>
      <x:c r="B11" t="str">
        <x:v>Executive Office</x:v>
      </x:c>
      <x:c r="C11"/>
      <x:c r="D11"/>
      <x:c r="E11"/>
      <x:c r="F11"/>
    </x:row>
    <x:row r="12">
      <x:c r="A12"/>
      <x:c r="B12"/>
      <x:c r="C12"/>
      <x:c r="D12"/>
      <x:c r="E12"/>
      <x:c r="F12"/>
    </x:row>
  </x:sheetData>
  <x:pageMargins left="0.7" right="0.7" top="0.75" bottom="0.75" header="0.3" footer="0.3"/>
</x:worksheet>
</file>