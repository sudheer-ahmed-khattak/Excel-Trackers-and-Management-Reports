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Search" sheetId="2" state="visible" r:id="rId2"/>
    <sheet xmlns:r="http://schemas.openxmlformats.org/officeDocument/2006/relationships" name="Master Data" sheetId="3" state="visible" r:id="rId3"/>
  </sheets>
  <definedNames>
    <definedName name="_xlnm.Print_Area" localSheetId="0">'Dashboard'!$A$1:$N$32</definedName>
    <definedName name="_xlnm._FilterDatabase" localSheetId="2" hidden="1">'Master Data'!$A$4:$L$154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-mmm-yyyy"/>
    <numFmt numFmtId="166" formatCode="mmm yyyy"/>
  </numFmts>
  <fonts count="22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i val="1"/>
      <color rgb="005B6B82"/>
      <sz val="10"/>
    </font>
    <font>
      <name val="Calibri"/>
      <b val="1"/>
      <color rgb="00FFFFFF"/>
      <sz val="11"/>
    </font>
    <font>
      <name val="Calibri"/>
      <color rgb="001B2433"/>
      <sz val="10.5"/>
    </font>
    <font>
      <b val="1"/>
      <color rgb="002A2D34"/>
      <sz val="12"/>
    </font>
    <font>
      <b val="1"/>
      <sz val="12"/>
    </font>
    <font>
      <i val="1"/>
      <color rgb="005B6B82"/>
    </font>
    <font>
      <name val="Calibri"/>
      <b val="1"/>
      <color rgb="002A2D34"/>
      <sz val="11"/>
    </font>
    <font>
      <name val="Calibri"/>
      <b val="1"/>
      <color rgb="00F1F2F4"/>
      <sz val="22"/>
    </font>
    <font>
      <name val="Calibri"/>
      <color rgb="009AA0AC"/>
      <sz val="10"/>
    </font>
    <font>
      <name val="Calibri"/>
      <b val="1"/>
      <color rgb="009AA0AC"/>
      <sz val="9"/>
    </font>
    <font>
      <name val="Calibri"/>
      <b val="1"/>
      <color rgb="00F1F2F4"/>
      <sz val="26"/>
    </font>
    <font>
      <name val="Calibri"/>
      <color rgb="009AA0AC"/>
      <sz val="9"/>
    </font>
    <font>
      <name val="Calibri"/>
      <b val="1"/>
      <color rgb="002EC4A6"/>
      <sz val="26"/>
    </font>
    <font>
      <name val="Calibri"/>
      <b val="1"/>
      <color rgb="00EF6F5E"/>
      <sz val="26"/>
    </font>
    <font>
      <name val="Calibri"/>
      <b val="1"/>
      <color rgb="00F2B84B"/>
      <sz val="26"/>
    </font>
    <font>
      <name val="Calibri"/>
      <b val="1"/>
      <color rgb="00F2B84B"/>
      <sz val="10"/>
    </font>
    <font>
      <name val="Calibri"/>
      <color rgb="00F1F2F4"/>
      <sz val="10"/>
    </font>
    <font>
      <name val="Calibri"/>
      <color rgb="00EF6F5E"/>
      <sz val="10"/>
    </font>
    <font>
      <name val="Calibri"/>
      <color rgb="002EC4A6"/>
      <sz val="10"/>
    </font>
    <font>
      <name val="Calibri"/>
      <b val="1"/>
      <color rgb="00F1F2F4"/>
      <sz val="10"/>
    </font>
  </fonts>
  <fills count="10">
    <fill>
      <patternFill/>
    </fill>
    <fill>
      <patternFill patternType="gray125"/>
    </fill>
    <fill>
      <patternFill patternType="solid">
        <fgColor rgb="002A2D34"/>
      </patternFill>
    </fill>
    <fill>
      <patternFill patternType="solid">
        <fgColor rgb="00F2B84B"/>
      </patternFill>
    </fill>
    <fill>
      <patternFill patternType="solid">
        <fgColor rgb="00F5F5F7"/>
      </patternFill>
    </fill>
    <fill>
      <patternFill patternType="solid">
        <fgColor rgb="00FFF4C2"/>
      </patternFill>
    </fill>
    <fill>
      <patternFill patternType="solid">
        <fgColor rgb="00FFF9E6"/>
      </patternFill>
    </fill>
    <fill>
      <patternFill patternType="solid">
        <fgColor rgb="001C1E23"/>
      </patternFill>
    </fill>
    <fill>
      <patternFill patternType="solid">
        <fgColor rgb="00272A31"/>
      </patternFill>
    </fill>
    <fill>
      <patternFill patternType="solid">
        <fgColor rgb="003A3E48"/>
      </patternFill>
    </fill>
  </fills>
  <borders count="12">
    <border>
      <left/>
      <right/>
      <top/>
      <bottom/>
      <diagonal/>
    </border>
    <border>
      <left style="thin">
        <color rgb="00D9DEE8"/>
      </left>
      <right style="thin">
        <color rgb="00D9DEE8"/>
      </right>
      <top style="thin">
        <color rgb="00D9DEE8"/>
      </top>
      <bottom style="thin">
        <color rgb="00D9DEE8"/>
      </bottom>
    </border>
    <border>
      <left style="medium">
        <color rgb="00F2B84B"/>
      </left>
      <right style="medium">
        <color rgb="00F2B84B"/>
      </right>
      <top style="medium">
        <color rgb="00F2B84B"/>
      </top>
      <bottom style="medium">
        <color rgb="00F2B84B"/>
      </bottom>
    </border>
    <border>
      <bottom style="medium">
        <color rgb="00F2B84B"/>
      </bottom>
    </border>
    <border>
      <left style="thick">
        <color rgb="00F1F2F4"/>
      </left>
      <top style="thin">
        <color rgb="00272A31"/>
      </top>
      <bottom style="thin">
        <color rgb="00272A31"/>
      </bottom>
    </border>
    <border>
      <top style="thin">
        <color rgb="00272A31"/>
      </top>
      <bottom style="thin">
        <color rgb="00272A31"/>
      </bottom>
    </border>
    <border>
      <right style="thick">
        <color rgb="001C1E23"/>
      </right>
      <top style="thin">
        <color rgb="00272A31"/>
      </top>
      <bottom style="thin">
        <color rgb="00272A31"/>
      </bottom>
    </border>
    <border>
      <left style="thick">
        <color rgb="002EC4A6"/>
      </left>
      <top style="thin">
        <color rgb="00272A31"/>
      </top>
      <bottom style="thin">
        <color rgb="00272A31"/>
      </bottom>
    </border>
    <border>
      <left style="thick">
        <color rgb="00EF6F5E"/>
      </left>
      <top style="thin">
        <color rgb="00272A31"/>
      </top>
      <bottom style="thin">
        <color rgb="00272A31"/>
      </bottom>
    </border>
    <border>
      <left style="thick">
        <color rgb="00F2B84B"/>
      </left>
      <top style="thin">
        <color rgb="00272A31"/>
      </top>
      <bottom style="thin">
        <color rgb="00272A31"/>
      </bottom>
    </border>
    <border>
      <bottom style="thin">
        <color rgb="00F2B84B"/>
      </bottom>
    </border>
    <border>
      <bottom style="thin">
        <color rgb="003A3E48"/>
      </bottom>
    </border>
  </borders>
  <cellStyleXfs count="1">
    <xf numFmtId="0" fontId="0" fillId="0" borderId="0"/>
  </cellStyleXfs>
  <cellXfs count="48">
    <xf numFmtId="0" fontId="0" fillId="0" borderId="0" pivotButton="0" quotePrefix="0" xfId="0"/>
    <xf numFmtId="0" fontId="0" fillId="7" borderId="0" pivotButton="0" quotePrefix="0" xfId="0"/>
    <xf numFmtId="0" fontId="9" fillId="7" borderId="0" applyAlignment="1" pivotButton="0" quotePrefix="0" xfId="0">
      <alignment vertical="center"/>
    </xf>
    <xf numFmtId="0" fontId="10" fillId="7" borderId="0" applyAlignment="1" pivotButton="0" quotePrefix="0" xfId="0">
      <alignment vertical="center"/>
    </xf>
    <xf numFmtId="0" fontId="0" fillId="7" borderId="3" pivotButton="0" quotePrefix="0" xfId="0"/>
    <xf numFmtId="0" fontId="11" fillId="8" borderId="4" applyAlignment="1" pivotButton="0" quotePrefix="0" xfId="0">
      <alignment horizontal="left" vertical="bottom" indent="1"/>
    </xf>
    <xf numFmtId="0" fontId="0" fillId="8" borderId="5" pivotButton="0" quotePrefix="0" xfId="0"/>
    <xf numFmtId="0" fontId="0" fillId="8" borderId="6" pivotButton="0" quotePrefix="0" xfId="0"/>
    <xf numFmtId="0" fontId="11" fillId="8" borderId="7" applyAlignment="1" pivotButton="0" quotePrefix="0" xfId="0">
      <alignment horizontal="left" vertical="bottom" indent="1"/>
    </xf>
    <xf numFmtId="0" fontId="11" fillId="8" borderId="8" applyAlignment="1" pivotButton="0" quotePrefix="0" xfId="0">
      <alignment horizontal="left" vertical="bottom" indent="1"/>
    </xf>
    <xf numFmtId="0" fontId="11" fillId="8" borderId="9" applyAlignment="1" pivotButton="0" quotePrefix="0" xfId="0">
      <alignment horizontal="left" vertical="bottom" indent="1"/>
    </xf>
    <xf numFmtId="0" fontId="12" fillId="8" borderId="4" applyAlignment="1" pivotButton="0" quotePrefix="0" xfId="0">
      <alignment horizontal="left" vertical="center" indent="1"/>
    </xf>
    <xf numFmtId="0" fontId="14" fillId="8" borderId="7" applyAlignment="1" pivotButton="0" quotePrefix="0" xfId="0">
      <alignment horizontal="left" vertical="center" indent="1"/>
    </xf>
    <xf numFmtId="0" fontId="15" fillId="8" borderId="8" applyAlignment="1" pivotButton="0" quotePrefix="0" xfId="0">
      <alignment horizontal="left" vertical="center" indent="1"/>
    </xf>
    <xf numFmtId="0" fontId="16" fillId="8" borderId="9" applyAlignment="1" pivotButton="0" quotePrefix="0" xfId="0">
      <alignment horizontal="left" vertical="center" indent="1"/>
    </xf>
    <xf numFmtId="0" fontId="13" fillId="8" borderId="4" applyAlignment="1" pivotButton="0" quotePrefix="0" xfId="0">
      <alignment horizontal="left" vertical="top" indent="1"/>
    </xf>
    <xf numFmtId="0" fontId="13" fillId="8" borderId="7" applyAlignment="1" pivotButton="0" quotePrefix="0" xfId="0">
      <alignment horizontal="left" vertical="top" indent="1"/>
    </xf>
    <xf numFmtId="0" fontId="13" fillId="8" borderId="8" applyAlignment="1" pivotButton="0" quotePrefix="0" xfId="0">
      <alignment horizontal="left" vertical="top" indent="1"/>
    </xf>
    <xf numFmtId="0" fontId="13" fillId="8" borderId="9" applyAlignment="1" pivotButton="0" quotePrefix="0" xfId="0">
      <alignment horizontal="left" vertical="top" indent="1"/>
    </xf>
    <xf numFmtId="0" fontId="17" fillId="7" borderId="0" pivotButton="0" quotePrefix="0" xfId="0"/>
    <xf numFmtId="0" fontId="17" fillId="8" borderId="0" applyAlignment="1" pivotButton="0" quotePrefix="0" xfId="0">
      <alignment horizontal="left" vertical="center" indent="1"/>
    </xf>
    <xf numFmtId="0" fontId="0" fillId="8" borderId="0" pivotButton="0" quotePrefix="0" xfId="0"/>
    <xf numFmtId="0" fontId="17" fillId="8" borderId="10" applyAlignment="1" pivotButton="0" quotePrefix="0" xfId="0">
      <alignment horizontal="center" vertical="center" wrapText="1"/>
    </xf>
    <xf numFmtId="166" fontId="18" fillId="7" borderId="11" applyAlignment="1" pivotButton="0" quotePrefix="0" xfId="0">
      <alignment horizontal="center" vertical="center"/>
    </xf>
    <xf numFmtId="0" fontId="19" fillId="7" borderId="11" applyAlignment="1" pivotButton="0" quotePrefix="0" xfId="0">
      <alignment horizontal="center" vertical="center"/>
    </xf>
    <xf numFmtId="0" fontId="20" fillId="7" borderId="11" applyAlignment="1" pivotButton="0" quotePrefix="0" xfId="0">
      <alignment horizontal="center" vertical="center"/>
    </xf>
    <xf numFmtId="0" fontId="21" fillId="7" borderId="11" applyAlignment="1" pivotButton="0" quotePrefix="0" xfId="0">
      <alignment horizontal="center" vertical="center"/>
    </xf>
    <xf numFmtId="0" fontId="17" fillId="9" borderId="11" applyAlignment="1" pivotButton="0" quotePrefix="0" xfId="0">
      <alignment horizontal="center" vertical="center"/>
    </xf>
    <xf numFmtId="0" fontId="17" fillId="8" borderId="10" applyAlignment="1" pivotButton="0" quotePrefix="0" xfId="0">
      <alignment horizontal="left" vertical="center" wrapText="1"/>
    </xf>
    <xf numFmtId="0" fontId="18" fillId="7" borderId="11" applyAlignment="1" pivotButton="0" quotePrefix="0" xfId="0">
      <alignment horizontal="left" vertical="center" indent="1"/>
    </xf>
    <xf numFmtId="0" fontId="18" fillId="7" borderId="11" applyAlignment="1" pivotButton="0" quotePrefix="0" xfId="0">
      <alignment horizontal="center" vertical="center"/>
    </xf>
    <xf numFmtId="0" fontId="1" fillId="2" borderId="0" applyAlignment="1" pivotButton="0" quotePrefix="0" xfId="0">
      <alignment horizontal="left" vertical="center" indent="1"/>
    </xf>
    <xf numFmtId="0" fontId="0" fillId="2" borderId="0" pivotButton="0" quotePrefix="0" xfId="0"/>
    <xf numFmtId="0" fontId="2" fillId="0" borderId="0" applyAlignment="1" pivotButton="0" quotePrefix="0" xfId="0">
      <alignment vertical="center" indent="1"/>
    </xf>
    <xf numFmtId="0" fontId="0" fillId="3" borderId="0" pivotButton="0" quotePrefix="0" xfId="0"/>
    <xf numFmtId="0" fontId="5" fillId="0" borderId="0" applyAlignment="1" pivotButton="0" quotePrefix="0" xfId="0">
      <alignment horizontal="right" vertical="center"/>
    </xf>
    <xf numFmtId="0" fontId="6" fillId="5" borderId="2" pivotButton="0" quotePrefix="0" xfId="0"/>
    <xf numFmtId="0" fontId="7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8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165" fontId="4" fillId="0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left" vertical="center"/>
    </xf>
    <xf numFmtId="165" fontId="4" fillId="4" borderId="1" applyAlignment="1" pivotButton="0" quotePrefix="0" xfId="0">
      <alignment horizontal="center" vertical="center"/>
    </xf>
  </cellXfs>
  <cellStyles count="1">
    <cellStyle name="Normal" xfId="0" builtinId="0" hidden="0"/>
  </cellStyles>
  <dxfs count="2">
    <dxf>
      <font>
        <b val="1"/>
        <color rgb="001E7B45"/>
      </font>
      <fill>
        <patternFill patternType="solid">
          <fgColor rgb="00DFF3E4"/>
        </patternFill>
      </fill>
    </dxf>
    <dxf>
      <font>
        <b val="1"/>
        <color rgb="00B3261E"/>
      </font>
      <fill>
        <patternFill patternType="solid">
          <fgColor rgb="00FBE3E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barChart>
        <barDir val="col"/>
        <grouping val="stacked"/>
        <ser>
          <idx val="0"/>
          <order val="0"/>
          <tx>
            <strRef>
              <f>'Dashboard'!C11</f>
            </strRef>
          </tx>
          <spPr>
            <a:solidFill xmlns:a="http://schemas.openxmlformats.org/drawingml/2006/main">
              <a:srgbClr val="EF6F5E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'Dashboard'!$B$12:$B$19</f>
            </numRef>
          </cat>
          <val>
            <numRef>
              <f>'Dashboard'!$C$12:$C$19</f>
            </numRef>
          </val>
        </ser>
        <ser>
          <idx val="1"/>
          <order val="1"/>
          <tx>
            <strRef>
              <f>'Dashboard'!D11</f>
            </strRef>
          </tx>
          <spPr>
            <a:solidFill xmlns:a="http://schemas.openxmlformats.org/drawingml/2006/main">
              <a:srgbClr val="2EC4A6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'Dashboard'!$B$12:$B$19</f>
            </numRef>
          </cat>
          <val>
            <numRef>
              <f>'Dashboard'!$D$12:$D$19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numFmt formatCode="mmm" sourceLinked="0"/>
        <majorTickMark val="none"/>
        <minorTickMark val="none"/>
        <spPr>
          <a:ln xmlns:a="http://schemas.openxmlformats.org/drawingml/2006/main">
            <a:solidFill>
              <a:srgbClr val="3A3E4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9AA0AC"/>
                </a:solidFill>
              </a:defRPr>
            </a:pPr>
            <a:r>
              <a:t/>
            </a:r>
            <a:endParaRPr sz="900" b="0">
              <a:solidFill>
                <a:srgbClr val="9AA0AC"/>
              </a:solidFill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>
              <a:solidFill>
                <a:srgbClr val="3A3E48"/>
              </a:solidFill>
              <a:prstDash val="solid"/>
            </a:ln>
          </spPr>
        </majorGridlines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9AA0AC"/>
                </a:solidFill>
              </a:defRPr>
            </a:pPr>
            <a:r>
              <a:t/>
            </a:r>
            <a:endParaRPr sz="900" b="0">
              <a:solidFill>
                <a:srgbClr val="9AA0AC"/>
              </a:solidFill>
            </a:endParaRPr>
          </a:p>
        </txPr>
        <crossAx val="10"/>
      </valAx>
      <spPr>
        <a:solidFill xmlns:a="http://schemas.openxmlformats.org/drawingml/2006/main">
          <a:srgbClr val="272A31"/>
        </a:solidFill>
        <a:ln xmlns:a="http://schemas.openxmlformats.org/drawingml/2006/main">
          <a:noFill/>
          <a:prstDash val="solid"/>
        </a:ln>
      </spPr>
    </plotArea>
    <legend>
      <legendPos val="b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F1F2F4"/>
              </a:solidFill>
            </a:defRPr>
          </a:pPr>
          <a:r>
            <a:t/>
          </a:r>
          <a:endParaRPr sz="900" b="0">
            <a:solidFill>
              <a:srgbClr val="F1F2F4"/>
            </a:solidFill>
          </a:endParaRPr>
        </a:p>
      </txPr>
    </legend>
    <plotVisOnly val="1"/>
    <dispBlanksAs val="gap"/>
  </chart>
  <spPr>
    <a:solidFill xmlns:a="http://schemas.openxmlformats.org/drawingml/2006/main">
      <a:srgbClr val="272A31"/>
    </a:solidFill>
    <a:ln xmlns:a="http://schemas.openxmlformats.org/drawingml/2006/main">
      <a:solidFill>
        <a:srgbClr val="272A31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6</col>
      <colOff>0</colOff>
      <row>11</row>
      <rowOff>0</rowOff>
    </from>
    <ext cx="4896000" cy="2015999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40000</xdr:colOff>
      <xdr:row>3</xdr:row>
      <xdr:rowOff>20000</xdr:rowOff>
    </xdr:from>
    <xdr:to>
      <xdr:col>7</xdr:col>
      <xdr:colOff>0</xdr:colOff>
      <xdr:row>5</xdr:row>
      <xdr:rowOff>0</xdr:rowOff>
    </xdr:to>
    <xdr:sp macro="[0]!UpdateRecords" textlink="">
      <xdr:nvSpPr>
        <xdr:cNvPr id="2" name="UpdateButton"/>
        <xdr:cNvSpPr/>
      </xdr:nvSpPr>
      <xdr:spPr>
        <a:prstGeom prst="roundRect">
          <a:avLst/>
        </a:prstGeom>
        <a:solidFill>
          <a:srgbClr val="F2B84B"/>
        </a:solidFill>
        <a:ln w="12700">
          <a:solidFill>
            <a:srgbClr val="2A2D34"/>
          </a:solidFill>
        </a:ln>
      </xdr:spPr>
      <xdr:txBody>
        <a:bodyPr vertOverflow="clip" horzOverflow="clip" anchor="ctr"/>
        <a:lstStyle/>
        <a:p>
          <a:pPr algn="ctr"/>
          <a:r>
            <a:rPr lang="en-US" sz="1300" b="1">
              <a:solidFill>
                <a:srgbClr val="2A2D34"/>
              </a:solidFill>
            </a:rPr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?xml version="1.0" encoding="UTF-8" standalone="yes"?>
<Relationships xmlns="http://schemas.openxmlformats.org/package/2006/relationships"><Relationship Id="rIdBtn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4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2" customWidth="1" min="14" max="14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34" customHeight="1">
      <c r="A2" s="1" t="n"/>
      <c r="B2" s="2" t="inlineStr">
        <is>
          <t>Manpower Release &amp; Extension Dashboard</t>
        </is>
      </c>
      <c r="N2" s="1" t="n"/>
    </row>
    <row r="3" ht="18" customHeight="1">
      <c r="A3" s="1" t="n"/>
      <c r="B3" s="3" t="inlineStr">
        <is>
          <t>Coastal Tunnel Package (CTP)  •  Desert Horizon JV  •  Client: Coastal Gateway Development Authority  •  Demo data</t>
        </is>
      </c>
      <c r="N3" s="1" t="n"/>
    </row>
    <row r="4" ht="6" customHeight="1">
      <c r="A4" s="1" t="n"/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1" t="n"/>
    </row>
    <row r="5">
      <c r="A5" s="1" t="n"/>
      <c r="B5" s="1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</row>
    <row r="6" ht="20" customHeight="1">
      <c r="A6" s="1" t="n"/>
      <c r="B6" s="5" t="inlineStr">
        <is>
          <t>TOTAL MANPOWER</t>
        </is>
      </c>
      <c r="C6" s="6" t="n"/>
      <c r="D6" s="7" t="n"/>
      <c r="E6" s="8" t="inlineStr">
        <is>
          <t>ACTIVE ON SITE</t>
        </is>
      </c>
      <c r="F6" s="6" t="n"/>
      <c r="G6" s="7" t="n"/>
      <c r="H6" s="9" t="inlineStr">
        <is>
          <t>RELEASED</t>
        </is>
      </c>
      <c r="I6" s="6" t="n"/>
      <c r="J6" s="7" t="n"/>
      <c r="K6" s="10" t="inlineStr">
        <is>
          <t>RELEASING THIS MONTH</t>
        </is>
      </c>
      <c r="L6" s="6" t="n"/>
      <c r="M6" s="7" t="n"/>
      <c r="N6" s="1" t="n"/>
    </row>
    <row r="7" ht="38" customHeight="1">
      <c r="A7" s="1" t="n"/>
      <c r="B7" s="11">
        <f>COUNTA('Master Data'!$A$5:$A$500)</f>
        <v/>
      </c>
      <c r="C7" s="6" t="n"/>
      <c r="D7" s="7" t="n"/>
      <c r="E7" s="12">
        <f>COUNTIF('Master Data'!$J$5:$J$500,"Active")</f>
        <v/>
      </c>
      <c r="F7" s="6" t="n"/>
      <c r="G7" s="7" t="n"/>
      <c r="H7" s="13">
        <f>COUNTIF('Master Data'!$J$5:$J$500,"Released")</f>
        <v/>
      </c>
      <c r="I7" s="6" t="n"/>
      <c r="J7" s="7" t="n"/>
      <c r="K7" s="14">
        <f>COUNTIFS('Master Data'!$J$5:$J$500,"Active",'Master Data'!$K$5:$K$500,"&lt;="&amp;EOMONTH(TODAY(),0))</f>
        <v/>
      </c>
      <c r="L7" s="6" t="n"/>
      <c r="M7" s="7" t="n"/>
      <c r="N7" s="1" t="n"/>
    </row>
    <row r="8" ht="18" customHeight="1">
      <c r="A8" s="1" t="n"/>
      <c r="B8" s="15" t="inlineStr">
        <is>
          <t>On the master list</t>
        </is>
      </c>
      <c r="C8" s="6" t="n"/>
      <c r="D8" s="7" t="n"/>
      <c r="E8" s="16" t="inlineStr">
        <is>
          <t>Currently mobilised</t>
        </is>
      </c>
      <c r="F8" s="6" t="n"/>
      <c r="G8" s="7" t="n"/>
      <c r="H8" s="17" t="inlineStr">
        <is>
          <t>Demobilised to date</t>
        </is>
      </c>
      <c r="I8" s="6" t="n"/>
      <c r="J8" s="7" t="n"/>
      <c r="K8" s="18" t="inlineStr">
        <is>
          <t>Due before month end</t>
        </is>
      </c>
      <c r="L8" s="6" t="n"/>
      <c r="M8" s="7" t="n"/>
      <c r="N8" s="1" t="n"/>
    </row>
    <row r="9">
      <c r="A9" s="1" t="n"/>
      <c r="B9" s="1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</row>
    <row r="10">
      <c r="A10" s="1" t="n"/>
      <c r="B10" s="19" t="inlineStr">
        <is>
          <t>MONTHLY RELEASE PLAN</t>
        </is>
      </c>
      <c r="C10" s="1" t="n"/>
      <c r="D10" s="1" t="n"/>
      <c r="E10" s="1" t="n"/>
      <c r="F10" s="1" t="n"/>
      <c r="G10" s="20" t="inlineStr">
        <is>
          <t>RELEASES BY MONTH</t>
        </is>
      </c>
      <c r="H10" s="21" t="n"/>
      <c r="I10" s="21" t="n"/>
      <c r="J10" s="21" t="n"/>
      <c r="K10" s="21" t="n"/>
      <c r="L10" s="21" t="n"/>
      <c r="M10" s="21" t="n"/>
      <c r="N10" s="1" t="n"/>
    </row>
    <row r="11">
      <c r="A11" s="1" t="n"/>
      <c r="B11" s="22" t="inlineStr">
        <is>
          <t>Month</t>
        </is>
      </c>
      <c r="C11" s="22" t="inlineStr">
        <is>
          <t>Released</t>
        </is>
      </c>
      <c r="D11" s="22" t="inlineStr">
        <is>
          <t>Planned</t>
        </is>
      </c>
      <c r="E11" s="22" t="inlineStr">
        <is>
          <t>Total</t>
        </is>
      </c>
      <c r="F11" s="1" t="n"/>
      <c r="G11" s="21" t="n"/>
      <c r="H11" s="21" t="n"/>
      <c r="I11" s="21" t="n"/>
      <c r="J11" s="21" t="n"/>
      <c r="K11" s="21" t="n"/>
      <c r="L11" s="21" t="n"/>
      <c r="M11" s="21" t="n"/>
      <c r="N11" s="1" t="n"/>
    </row>
    <row r="12">
      <c r="A12" s="1" t="n"/>
      <c r="B12" s="23" t="n">
        <v>46143</v>
      </c>
      <c r="C12" s="24">
        <f>COUNTIFS('Master Data'!$J$5:$J$500,"Released",'Master Data'!$K$5:$K$500,"&gt;="&amp;B12,'Master Data'!$K$5:$K$500,"&lt;="&amp;EOMONTH(B12,0))</f>
        <v/>
      </c>
      <c r="D12" s="25">
        <f>COUNTIFS('Master Data'!$J$5:$J$500,"Active",'Master Data'!$K$5:$K$500,"&gt;="&amp;B12,'Master Data'!$K$5:$K$500,"&lt;="&amp;EOMONTH(B12,0))</f>
        <v/>
      </c>
      <c r="E12" s="26">
        <f>C12+D12</f>
        <v/>
      </c>
      <c r="F12" s="1" t="n"/>
      <c r="G12" s="21" t="n"/>
      <c r="H12" s="21" t="n"/>
      <c r="I12" s="21" t="n"/>
      <c r="J12" s="21" t="n"/>
      <c r="K12" s="21" t="n"/>
      <c r="L12" s="21" t="n"/>
      <c r="M12" s="21" t="n"/>
      <c r="N12" s="1" t="n"/>
    </row>
    <row r="13">
      <c r="A13" s="1" t="n"/>
      <c r="B13" s="23" t="n">
        <v>46174</v>
      </c>
      <c r="C13" s="24">
        <f>COUNTIFS('Master Data'!$J$5:$J$500,"Released",'Master Data'!$K$5:$K$500,"&gt;="&amp;B13,'Master Data'!$K$5:$K$500,"&lt;="&amp;EOMONTH(B13,0))</f>
        <v/>
      </c>
      <c r="D13" s="25">
        <f>COUNTIFS('Master Data'!$J$5:$J$500,"Active",'Master Data'!$K$5:$K$500,"&gt;="&amp;B13,'Master Data'!$K$5:$K$500,"&lt;="&amp;EOMONTH(B13,0))</f>
        <v/>
      </c>
      <c r="E13" s="26">
        <f>C13+D13</f>
        <v/>
      </c>
      <c r="F13" s="1" t="n"/>
      <c r="G13" s="21" t="n"/>
      <c r="H13" s="21" t="n"/>
      <c r="I13" s="21" t="n"/>
      <c r="J13" s="21" t="n"/>
      <c r="K13" s="21" t="n"/>
      <c r="L13" s="21" t="n"/>
      <c r="M13" s="21" t="n"/>
      <c r="N13" s="1" t="n"/>
    </row>
    <row r="14">
      <c r="A14" s="1" t="n"/>
      <c r="B14" s="23" t="n">
        <v>46204</v>
      </c>
      <c r="C14" s="24">
        <f>COUNTIFS('Master Data'!$J$5:$J$500,"Released",'Master Data'!$K$5:$K$500,"&gt;="&amp;B14,'Master Data'!$K$5:$K$500,"&lt;="&amp;EOMONTH(B14,0))</f>
        <v/>
      </c>
      <c r="D14" s="25">
        <f>COUNTIFS('Master Data'!$J$5:$J$500,"Active",'Master Data'!$K$5:$K$500,"&gt;="&amp;B14,'Master Data'!$K$5:$K$500,"&lt;="&amp;EOMONTH(B14,0))</f>
        <v/>
      </c>
      <c r="E14" s="26">
        <f>C14+D14</f>
        <v/>
      </c>
      <c r="F14" s="1" t="n"/>
      <c r="G14" s="21" t="n"/>
      <c r="H14" s="21" t="n"/>
      <c r="I14" s="21" t="n"/>
      <c r="J14" s="21" t="n"/>
      <c r="K14" s="21" t="n"/>
      <c r="L14" s="21" t="n"/>
      <c r="M14" s="21" t="n"/>
      <c r="N14" s="1" t="n"/>
    </row>
    <row r="15">
      <c r="A15" s="1" t="n"/>
      <c r="B15" s="23" t="n">
        <v>46235</v>
      </c>
      <c r="C15" s="24">
        <f>COUNTIFS('Master Data'!$J$5:$J$500,"Released",'Master Data'!$K$5:$K$500,"&gt;="&amp;B15,'Master Data'!$K$5:$K$500,"&lt;="&amp;EOMONTH(B15,0))</f>
        <v/>
      </c>
      <c r="D15" s="25">
        <f>COUNTIFS('Master Data'!$J$5:$J$500,"Active",'Master Data'!$K$5:$K$500,"&gt;="&amp;B15,'Master Data'!$K$5:$K$500,"&lt;="&amp;EOMONTH(B15,0))</f>
        <v/>
      </c>
      <c r="E15" s="26">
        <f>C15+D15</f>
        <v/>
      </c>
      <c r="F15" s="1" t="n"/>
      <c r="G15" s="21" t="n"/>
      <c r="H15" s="21" t="n"/>
      <c r="I15" s="21" t="n"/>
      <c r="J15" s="21" t="n"/>
      <c r="K15" s="21" t="n"/>
      <c r="L15" s="21" t="n"/>
      <c r="M15" s="21" t="n"/>
      <c r="N15" s="1" t="n"/>
    </row>
    <row r="16">
      <c r="A16" s="1" t="n"/>
      <c r="B16" s="23" t="n">
        <v>46266</v>
      </c>
      <c r="C16" s="24">
        <f>COUNTIFS('Master Data'!$J$5:$J$500,"Released",'Master Data'!$K$5:$K$500,"&gt;="&amp;B16,'Master Data'!$K$5:$K$500,"&lt;="&amp;EOMONTH(B16,0))</f>
        <v/>
      </c>
      <c r="D16" s="25">
        <f>COUNTIFS('Master Data'!$J$5:$J$500,"Active",'Master Data'!$K$5:$K$500,"&gt;="&amp;B16,'Master Data'!$K$5:$K$500,"&lt;="&amp;EOMONTH(B16,0))</f>
        <v/>
      </c>
      <c r="E16" s="26">
        <f>C16+D16</f>
        <v/>
      </c>
      <c r="F16" s="1" t="n"/>
      <c r="G16" s="21" t="n"/>
      <c r="H16" s="21" t="n"/>
      <c r="I16" s="21" t="n"/>
      <c r="J16" s="21" t="n"/>
      <c r="K16" s="21" t="n"/>
      <c r="L16" s="21" t="n"/>
      <c r="M16" s="21" t="n"/>
      <c r="N16" s="1" t="n"/>
    </row>
    <row r="17">
      <c r="A17" s="1" t="n"/>
      <c r="B17" s="23" t="n">
        <v>46296</v>
      </c>
      <c r="C17" s="24">
        <f>COUNTIFS('Master Data'!$J$5:$J$500,"Released",'Master Data'!$K$5:$K$500,"&gt;="&amp;B17,'Master Data'!$K$5:$K$500,"&lt;="&amp;EOMONTH(B17,0))</f>
        <v/>
      </c>
      <c r="D17" s="25">
        <f>COUNTIFS('Master Data'!$J$5:$J$500,"Active",'Master Data'!$K$5:$K$500,"&gt;="&amp;B17,'Master Data'!$K$5:$K$500,"&lt;="&amp;EOMONTH(B17,0))</f>
        <v/>
      </c>
      <c r="E17" s="26">
        <f>C17+D17</f>
        <v/>
      </c>
      <c r="F17" s="1" t="n"/>
      <c r="G17" s="21" t="n"/>
      <c r="H17" s="21" t="n"/>
      <c r="I17" s="21" t="n"/>
      <c r="J17" s="21" t="n"/>
      <c r="K17" s="21" t="n"/>
      <c r="L17" s="21" t="n"/>
      <c r="M17" s="21" t="n"/>
      <c r="N17" s="1" t="n"/>
    </row>
    <row r="18">
      <c r="A18" s="1" t="n"/>
      <c r="B18" s="23" t="n">
        <v>46327</v>
      </c>
      <c r="C18" s="24">
        <f>COUNTIFS('Master Data'!$J$5:$J$500,"Released",'Master Data'!$K$5:$K$500,"&gt;="&amp;B18,'Master Data'!$K$5:$K$500,"&lt;="&amp;EOMONTH(B18,0))</f>
        <v/>
      </c>
      <c r="D18" s="25">
        <f>COUNTIFS('Master Data'!$J$5:$J$500,"Active",'Master Data'!$K$5:$K$500,"&gt;="&amp;B18,'Master Data'!$K$5:$K$500,"&lt;="&amp;EOMONTH(B18,0))</f>
        <v/>
      </c>
      <c r="E18" s="26">
        <f>C18+D18</f>
        <v/>
      </c>
      <c r="F18" s="1" t="n"/>
      <c r="G18" s="21" t="n"/>
      <c r="H18" s="21" t="n"/>
      <c r="I18" s="21" t="n"/>
      <c r="J18" s="21" t="n"/>
      <c r="K18" s="21" t="n"/>
      <c r="L18" s="21" t="n"/>
      <c r="M18" s="21" t="n"/>
      <c r="N18" s="1" t="n"/>
    </row>
    <row r="19">
      <c r="A19" s="1" t="n"/>
      <c r="B19" s="23" t="n">
        <v>46357</v>
      </c>
      <c r="C19" s="24">
        <f>COUNTIFS('Master Data'!$J$5:$J$500,"Released",'Master Data'!$K$5:$K$500,"&gt;="&amp;B19,'Master Data'!$K$5:$K$500,"&lt;="&amp;EOMONTH(B19,0))</f>
        <v/>
      </c>
      <c r="D19" s="25">
        <f>COUNTIFS('Master Data'!$J$5:$J$500,"Active",'Master Data'!$K$5:$K$500,"&gt;="&amp;B19,'Master Data'!$K$5:$K$500,"&lt;="&amp;EOMONTH(B19,0))</f>
        <v/>
      </c>
      <c r="E19" s="26">
        <f>C19+D19</f>
        <v/>
      </c>
      <c r="F19" s="1" t="n"/>
      <c r="G19" s="21" t="n"/>
      <c r="H19" s="21" t="n"/>
      <c r="I19" s="21" t="n"/>
      <c r="J19" s="21" t="n"/>
      <c r="K19" s="21" t="n"/>
      <c r="L19" s="21" t="n"/>
      <c r="M19" s="21" t="n"/>
      <c r="N19" s="1" t="n"/>
    </row>
    <row r="20">
      <c r="A20" s="1" t="n"/>
      <c r="B20" s="27" t="inlineStr">
        <is>
          <t>Total</t>
        </is>
      </c>
      <c r="C20" s="27">
        <f>SUM(C12:C19)</f>
        <v/>
      </c>
      <c r="D20" s="27">
        <f>SUM(D12:D19)</f>
        <v/>
      </c>
      <c r="E20" s="27">
        <f>SUM(E12:E19)</f>
        <v/>
      </c>
      <c r="F20" s="1" t="n"/>
      <c r="G20" s="21" t="n"/>
      <c r="H20" s="21" t="n"/>
      <c r="I20" s="21" t="n"/>
      <c r="J20" s="21" t="n"/>
      <c r="K20" s="21" t="n"/>
      <c r="L20" s="21" t="n"/>
      <c r="M20" s="21" t="n"/>
      <c r="N20" s="1" t="n"/>
    </row>
    <row r="21">
      <c r="A21" s="1" t="n"/>
      <c r="B21" s="1" t="n"/>
      <c r="C21" s="1" t="n"/>
      <c r="D21" s="1" t="n"/>
      <c r="E21" s="1" t="n"/>
      <c r="F21" s="1" t="n"/>
      <c r="G21" s="21" t="n"/>
      <c r="H21" s="21" t="n"/>
      <c r="I21" s="21" t="n"/>
      <c r="J21" s="21" t="n"/>
      <c r="K21" s="21" t="n"/>
      <c r="L21" s="21" t="n"/>
      <c r="M21" s="21" t="n"/>
      <c r="N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A23" s="1" t="n"/>
      <c r="B23" s="19" t="inlineStr">
        <is>
          <t>BY DEPARTMENT</t>
        </is>
      </c>
      <c r="C23" s="1" t="n"/>
      <c r="D23" s="1" t="n"/>
      <c r="E23" s="1" t="n"/>
      <c r="F23" s="1" t="n"/>
      <c r="G23" s="1" t="n"/>
      <c r="H23" s="19" t="inlineStr">
        <is>
          <t>BY SPONSORSHIP</t>
        </is>
      </c>
      <c r="I23" s="1" t="n"/>
      <c r="J23" s="1" t="n"/>
      <c r="K23" s="1" t="n"/>
      <c r="L23" s="1" t="n"/>
      <c r="M23" s="1" t="n"/>
      <c r="N23" s="1" t="n"/>
    </row>
    <row r="24">
      <c r="A24" s="1" t="n"/>
      <c r="B24" s="28" t="inlineStr">
        <is>
          <t>Department</t>
        </is>
      </c>
      <c r="C24" s="22" t="inlineStr">
        <is>
          <t>Active</t>
        </is>
      </c>
      <c r="D24" s="22" t="inlineStr">
        <is>
          <t>Released</t>
        </is>
      </c>
      <c r="E24" s="22" t="inlineStr">
        <is>
          <t>Total</t>
        </is>
      </c>
      <c r="F24" s="1" t="n"/>
      <c r="G24" s="1" t="n"/>
      <c r="H24" s="28" t="inlineStr">
        <is>
          <t>Sponsorship</t>
        </is>
      </c>
      <c r="I24" s="22" t="n"/>
      <c r="J24" s="22" t="n"/>
      <c r="K24" s="22" t="inlineStr">
        <is>
          <t>Active</t>
        </is>
      </c>
      <c r="L24" s="22" t="inlineStr">
        <is>
          <t>Released</t>
        </is>
      </c>
      <c r="M24" s="22" t="inlineStr">
        <is>
          <t>Total</t>
        </is>
      </c>
      <c r="N24" s="1" t="n"/>
    </row>
    <row r="25">
      <c r="A25" s="1" t="n"/>
      <c r="B25" s="29" t="inlineStr">
        <is>
          <t>Tunnelling</t>
        </is>
      </c>
      <c r="C25" s="25">
        <f>COUNTIFS('Master Data'!$D$5:$D$500,$B25,'Master Data'!$J$5:$J$500,"Active")</f>
        <v/>
      </c>
      <c r="D25" s="24">
        <f>COUNTIFS('Master Data'!$D$5:$D$500,$B25,'Master Data'!$J$5:$J$500,"Released")</f>
        <v/>
      </c>
      <c r="E25" s="26">
        <f>C25+D25</f>
        <v/>
      </c>
      <c r="F25" s="1" t="n"/>
      <c r="G25" s="1" t="n"/>
      <c r="H25" s="29" t="inlineStr">
        <is>
          <t>Desert Horizon Contracting</t>
        </is>
      </c>
      <c r="I25" s="30" t="n"/>
      <c r="J25" s="30" t="n"/>
      <c r="K25" s="25">
        <f>COUNTIFS('Master Data'!$H$5:$H$500,$H25,'Master Data'!$J$5:$J$500,"Active")</f>
        <v/>
      </c>
      <c r="L25" s="24">
        <f>COUNTIFS('Master Data'!$H$5:$H$500,$H25,'Master Data'!$J$5:$J$500,"Released")</f>
        <v/>
      </c>
      <c r="M25" s="26">
        <f>K25+L25</f>
        <v/>
      </c>
      <c r="N25" s="1" t="n"/>
    </row>
    <row r="26">
      <c r="A26" s="1" t="n"/>
      <c r="B26" s="29" t="inlineStr">
        <is>
          <t>Logistics</t>
        </is>
      </c>
      <c r="C26" s="25">
        <f>COUNTIFS('Master Data'!$D$5:$D$500,$B26,'Master Data'!$J$5:$J$500,"Active")</f>
        <v/>
      </c>
      <c r="D26" s="24">
        <f>COUNTIFS('Master Data'!$D$5:$D$500,$B26,'Master Data'!$J$5:$J$500,"Released")</f>
        <v/>
      </c>
      <c r="E26" s="26">
        <f>C26+D26</f>
        <v/>
      </c>
      <c r="F26" s="1" t="n"/>
      <c r="G26" s="1" t="n"/>
      <c r="H26" s="29" t="inlineStr">
        <is>
          <t>Anatolian Build Co.</t>
        </is>
      </c>
      <c r="I26" s="30" t="n"/>
      <c r="J26" s="30" t="n"/>
      <c r="K26" s="25">
        <f>COUNTIFS('Master Data'!$H$5:$H$500,$H26,'Master Data'!$J$5:$J$500,"Active")</f>
        <v/>
      </c>
      <c r="L26" s="24">
        <f>COUNTIFS('Master Data'!$H$5:$H$500,$H26,'Master Data'!$J$5:$J$500,"Released")</f>
        <v/>
      </c>
      <c r="M26" s="26">
        <f>K26+L26</f>
        <v/>
      </c>
      <c r="N26" s="1" t="n"/>
    </row>
    <row r="27">
      <c r="A27" s="1" t="n"/>
      <c r="B27" s="29" t="inlineStr">
        <is>
          <t>QA/QC</t>
        </is>
      </c>
      <c r="C27" s="25">
        <f>COUNTIFS('Master Data'!$D$5:$D$500,$B27,'Master Data'!$J$5:$J$500,"Active")</f>
        <v/>
      </c>
      <c r="D27" s="24">
        <f>COUNTIFS('Master Data'!$D$5:$D$500,$B27,'Master Data'!$J$5:$J$500,"Released")</f>
        <v/>
      </c>
      <c r="E27" s="26">
        <f>C27+D27</f>
        <v/>
      </c>
      <c r="F27" s="1" t="n"/>
      <c r="G27" s="1" t="n"/>
      <c r="H27" s="29" t="inlineStr">
        <is>
          <t>Gulf Manpower Services</t>
        </is>
      </c>
      <c r="I27" s="30" t="n"/>
      <c r="J27" s="30" t="n"/>
      <c r="K27" s="25">
        <f>COUNTIFS('Master Data'!$H$5:$H$500,$H27,'Master Data'!$J$5:$J$500,"Active")</f>
        <v/>
      </c>
      <c r="L27" s="24">
        <f>COUNTIFS('Master Data'!$H$5:$H$500,$H27,'Master Data'!$J$5:$J$500,"Released")</f>
        <v/>
      </c>
      <c r="M27" s="26">
        <f>K27+L27</f>
        <v/>
      </c>
      <c r="N27" s="1" t="n"/>
    </row>
    <row r="28">
      <c r="A28" s="1" t="n"/>
      <c r="B28" s="29" t="inlineStr">
        <is>
          <t>HSE</t>
        </is>
      </c>
      <c r="C28" s="25">
        <f>COUNTIFS('Master Data'!$D$5:$D$500,$B28,'Master Data'!$J$5:$J$500,"Active")</f>
        <v/>
      </c>
      <c r="D28" s="24">
        <f>COUNTIFS('Master Data'!$D$5:$D$500,$B28,'Master Data'!$J$5:$J$500,"Released")</f>
        <v/>
      </c>
      <c r="E28" s="26">
        <f>C28+D28</f>
        <v/>
      </c>
      <c r="F28" s="1" t="n"/>
      <c r="G28" s="1" t="n"/>
      <c r="H28" s="29" t="inlineStr">
        <is>
          <t>Red Sea Rental Solutions</t>
        </is>
      </c>
      <c r="I28" s="30" t="n"/>
      <c r="J28" s="30" t="n"/>
      <c r="K28" s="25">
        <f>COUNTIFS('Master Data'!$H$5:$H$500,$H28,'Master Data'!$J$5:$J$500,"Active")</f>
        <v/>
      </c>
      <c r="L28" s="24">
        <f>COUNTIFS('Master Data'!$H$5:$H$500,$H28,'Master Data'!$J$5:$J$500,"Released")</f>
        <v/>
      </c>
      <c r="M28" s="26">
        <f>K28+L28</f>
        <v/>
      </c>
      <c r="N28" s="1" t="n"/>
    </row>
    <row r="29">
      <c r="A29" s="1" t="n"/>
      <c r="B29" s="29" t="inlineStr">
        <is>
          <t>Mechanical</t>
        </is>
      </c>
      <c r="C29" s="25">
        <f>COUNTIFS('Master Data'!$D$5:$D$500,$B29,'Master Data'!$J$5:$J$500,"Active")</f>
        <v/>
      </c>
      <c r="D29" s="24">
        <f>COUNTIFS('Master Data'!$D$5:$D$500,$B29,'Master Data'!$J$5:$J$500,"Released")</f>
        <v/>
      </c>
      <c r="E29" s="26">
        <f>C29+D29</f>
        <v/>
      </c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A30" s="1" t="n"/>
      <c r="B30" s="29" t="inlineStr">
        <is>
          <t>Administration</t>
        </is>
      </c>
      <c r="C30" s="25">
        <f>COUNTIFS('Master Data'!$D$5:$D$500,$B30,'Master Data'!$J$5:$J$500,"Active")</f>
        <v/>
      </c>
      <c r="D30" s="24">
        <f>COUNTIFS('Master Data'!$D$5:$D$500,$B30,'Master Data'!$J$5:$J$500,"Released")</f>
        <v/>
      </c>
      <c r="E30" s="26">
        <f>C30+D30</f>
        <v/>
      </c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</sheetData>
  <mergeCells count="19">
    <mergeCell ref="B2:M2"/>
    <mergeCell ref="B8:D8"/>
    <mergeCell ref="H7:J7"/>
    <mergeCell ref="E6:G6"/>
    <mergeCell ref="K8:M8"/>
    <mergeCell ref="H28:J28"/>
    <mergeCell ref="H27:J27"/>
    <mergeCell ref="E7:G7"/>
    <mergeCell ref="B6:D6"/>
    <mergeCell ref="K7:M7"/>
    <mergeCell ref="H24:J24"/>
    <mergeCell ref="K6:M6"/>
    <mergeCell ref="H8:J8"/>
    <mergeCell ref="H26:J26"/>
    <mergeCell ref="B7:D7"/>
    <mergeCell ref="B3:M3"/>
    <mergeCell ref="E8:G8"/>
    <mergeCell ref="H25:J25"/>
    <mergeCell ref="H6:J6"/>
  </mergeCells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 fitToPage="1"/>
  </sheetPr>
  <dimension ref="A1:K56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11" customWidth="1" min="1" max="1"/>
    <col width="24" customWidth="1" min="2" max="2"/>
    <col width="13" customWidth="1" min="3" max="3"/>
    <col width="15" customWidth="1" min="4" max="4"/>
    <col width="27" customWidth="1" min="5" max="5"/>
    <col width="11" customWidth="1" min="6" max="6"/>
    <col width="14" customWidth="1" min="7" max="7"/>
    <col width="13" customWidth="1" min="8" max="8"/>
    <col width="16" customWidth="1" min="9" max="9"/>
    <col hidden="1" width="13" customWidth="1" min="11" max="11"/>
  </cols>
  <sheetData>
    <row r="1" ht="36" customHeight="1">
      <c r="A1" s="31" t="inlineStr">
        <is>
          <t>Employee Search &amp; Update</t>
        </is>
      </c>
      <c r="B1" s="32" t="n"/>
      <c r="C1" s="32" t="n"/>
      <c r="D1" s="32" t="n"/>
      <c r="E1" s="32" t="n"/>
      <c r="F1" s="32" t="n"/>
      <c r="G1" s="32" t="n"/>
      <c r="H1" s="32" t="n"/>
      <c r="I1" s="32" t="n"/>
      <c r="J1" s="32" t="n"/>
      <c r="K1" s="32" t="n"/>
    </row>
    <row r="2">
      <c r="A2" s="33" t="inlineStr">
        <is>
          <t>Type a name, ID, department, sponsorship or status in the yellow box  •  Enter New Status / New Release Date and press UPDATE</t>
        </is>
      </c>
    </row>
    <row r="3" ht="4" customHeight="1">
      <c r="A3" s="34" t="n"/>
      <c r="B3" s="34" t="n"/>
      <c r="C3" s="34" t="n"/>
      <c r="D3" s="34" t="n"/>
      <c r="E3" s="34" t="n"/>
      <c r="F3" s="34" t="n"/>
      <c r="G3" s="34" t="n"/>
      <c r="H3" s="34" t="n"/>
      <c r="I3" s="34" t="n"/>
      <c r="J3" s="34" t="n"/>
      <c r="K3" s="34" t="n"/>
    </row>
    <row r="4" ht="26" customHeight="1">
      <c r="B4" s="35" t="inlineStr">
        <is>
          <t>Search:</t>
        </is>
      </c>
      <c r="C4" s="36" t="inlineStr"/>
      <c r="D4" s="37">
        <f>IF($C$4="","Type to search",COUNT('Master Data'!$N$5:$N$500)&amp;" result(s)")</f>
        <v/>
      </c>
    </row>
    <row r="6">
      <c r="A6" s="38" t="inlineStr">
        <is>
          <t>Emp ID</t>
        </is>
      </c>
      <c r="B6" s="38" t="inlineStr">
        <is>
          <t>Employee Name</t>
        </is>
      </c>
      <c r="C6" s="38" t="inlineStr">
        <is>
          <t>Nationality</t>
        </is>
      </c>
      <c r="D6" s="38" t="inlineStr">
        <is>
          <t>Department</t>
        </is>
      </c>
      <c r="E6" s="38" t="inlineStr">
        <is>
          <t>Sponsorship</t>
        </is>
      </c>
      <c r="F6" s="38" t="inlineStr">
        <is>
          <t>Status</t>
        </is>
      </c>
      <c r="G6" s="38" t="inlineStr">
        <is>
          <t>Release Date</t>
        </is>
      </c>
      <c r="H6" s="39" t="inlineStr">
        <is>
          <t>New Status</t>
        </is>
      </c>
      <c r="I6" s="39" t="inlineStr">
        <is>
          <t>New Release Date</t>
        </is>
      </c>
    </row>
    <row r="7">
      <c r="A7" s="40">
        <f>IF($K7="","",INDEX('Master Data'!$A:$A,$K7))</f>
        <v/>
      </c>
      <c r="B7" s="41">
        <f>IF($K7="","",INDEX('Master Data'!$B:$B,$K7))</f>
        <v/>
      </c>
      <c r="C7" s="40">
        <f>IF($K7="","",INDEX('Master Data'!$C:$C,$K7))</f>
        <v/>
      </c>
      <c r="D7" s="41">
        <f>IF($K7="","",INDEX('Master Data'!$D:$D,$K7))</f>
        <v/>
      </c>
      <c r="E7" s="41">
        <f>IF($K7="","",INDEX('Master Data'!$H:$H,$K7))</f>
        <v/>
      </c>
      <c r="F7" s="40">
        <f>IF($K7="","",INDEX('Master Data'!$J:$J,$K7))</f>
        <v/>
      </c>
      <c r="G7" s="42">
        <f>IF($K7="","",INDEX('Master Data'!$K:$K,$K7))</f>
        <v/>
      </c>
      <c r="H7" s="43" t="n"/>
      <c r="I7" s="44" t="n"/>
      <c r="K7">
        <f>IFERROR(SMALL('Master Data'!$N$5:$N$500,ROW()-6),"")</f>
        <v/>
      </c>
    </row>
    <row r="8">
      <c r="A8" s="40">
        <f>IF($K8="","",INDEX('Master Data'!$A:$A,$K8))</f>
        <v/>
      </c>
      <c r="B8" s="41">
        <f>IF($K8="","",INDEX('Master Data'!$B:$B,$K8))</f>
        <v/>
      </c>
      <c r="C8" s="40">
        <f>IF($K8="","",INDEX('Master Data'!$C:$C,$K8))</f>
        <v/>
      </c>
      <c r="D8" s="41">
        <f>IF($K8="","",INDEX('Master Data'!$D:$D,$K8))</f>
        <v/>
      </c>
      <c r="E8" s="41">
        <f>IF($K8="","",INDEX('Master Data'!$H:$H,$K8))</f>
        <v/>
      </c>
      <c r="F8" s="40">
        <f>IF($K8="","",INDEX('Master Data'!$J:$J,$K8))</f>
        <v/>
      </c>
      <c r="G8" s="42">
        <f>IF($K8="","",INDEX('Master Data'!$K:$K,$K8))</f>
        <v/>
      </c>
      <c r="H8" s="43" t="n"/>
      <c r="I8" s="44" t="n"/>
      <c r="K8">
        <f>IFERROR(SMALL('Master Data'!$N$5:$N$500,ROW()-6),"")</f>
        <v/>
      </c>
    </row>
    <row r="9">
      <c r="A9" s="40">
        <f>IF($K9="","",INDEX('Master Data'!$A:$A,$K9))</f>
        <v/>
      </c>
      <c r="B9" s="41">
        <f>IF($K9="","",INDEX('Master Data'!$B:$B,$K9))</f>
        <v/>
      </c>
      <c r="C9" s="40">
        <f>IF($K9="","",INDEX('Master Data'!$C:$C,$K9))</f>
        <v/>
      </c>
      <c r="D9" s="41">
        <f>IF($K9="","",INDEX('Master Data'!$D:$D,$K9))</f>
        <v/>
      </c>
      <c r="E9" s="41">
        <f>IF($K9="","",INDEX('Master Data'!$H:$H,$K9))</f>
        <v/>
      </c>
      <c r="F9" s="40">
        <f>IF($K9="","",INDEX('Master Data'!$J:$J,$K9))</f>
        <v/>
      </c>
      <c r="G9" s="42">
        <f>IF($K9="","",INDEX('Master Data'!$K:$K,$K9))</f>
        <v/>
      </c>
      <c r="H9" s="43" t="n"/>
      <c r="I9" s="44" t="n"/>
      <c r="K9">
        <f>IFERROR(SMALL('Master Data'!$N$5:$N$500,ROW()-6),"")</f>
        <v/>
      </c>
    </row>
    <row r="10">
      <c r="A10" s="40">
        <f>IF($K10="","",INDEX('Master Data'!$A:$A,$K10))</f>
        <v/>
      </c>
      <c r="B10" s="41">
        <f>IF($K10="","",INDEX('Master Data'!$B:$B,$K10))</f>
        <v/>
      </c>
      <c r="C10" s="40">
        <f>IF($K10="","",INDEX('Master Data'!$C:$C,$K10))</f>
        <v/>
      </c>
      <c r="D10" s="41">
        <f>IF($K10="","",INDEX('Master Data'!$D:$D,$K10))</f>
        <v/>
      </c>
      <c r="E10" s="41">
        <f>IF($K10="","",INDEX('Master Data'!$H:$H,$K10))</f>
        <v/>
      </c>
      <c r="F10" s="40">
        <f>IF($K10="","",INDEX('Master Data'!$J:$J,$K10))</f>
        <v/>
      </c>
      <c r="G10" s="42">
        <f>IF($K10="","",INDEX('Master Data'!$K:$K,$K10))</f>
        <v/>
      </c>
      <c r="H10" s="43" t="n"/>
      <c r="I10" s="44" t="n"/>
      <c r="K10">
        <f>IFERROR(SMALL('Master Data'!$N$5:$N$500,ROW()-6),"")</f>
        <v/>
      </c>
    </row>
    <row r="11">
      <c r="A11" s="40">
        <f>IF($K11="","",INDEX('Master Data'!$A:$A,$K11))</f>
        <v/>
      </c>
      <c r="B11" s="41">
        <f>IF($K11="","",INDEX('Master Data'!$B:$B,$K11))</f>
        <v/>
      </c>
      <c r="C11" s="40">
        <f>IF($K11="","",INDEX('Master Data'!$C:$C,$K11))</f>
        <v/>
      </c>
      <c r="D11" s="41">
        <f>IF($K11="","",INDEX('Master Data'!$D:$D,$K11))</f>
        <v/>
      </c>
      <c r="E11" s="41">
        <f>IF($K11="","",INDEX('Master Data'!$H:$H,$K11))</f>
        <v/>
      </c>
      <c r="F11" s="40">
        <f>IF($K11="","",INDEX('Master Data'!$J:$J,$K11))</f>
        <v/>
      </c>
      <c r="G11" s="42">
        <f>IF($K11="","",INDEX('Master Data'!$K:$K,$K11))</f>
        <v/>
      </c>
      <c r="H11" s="43" t="n"/>
      <c r="I11" s="44" t="n"/>
      <c r="K11">
        <f>IFERROR(SMALL('Master Data'!$N$5:$N$500,ROW()-6),"")</f>
        <v/>
      </c>
    </row>
    <row r="12">
      <c r="A12" s="40">
        <f>IF($K12="","",INDEX('Master Data'!$A:$A,$K12))</f>
        <v/>
      </c>
      <c r="B12" s="41">
        <f>IF($K12="","",INDEX('Master Data'!$B:$B,$K12))</f>
        <v/>
      </c>
      <c r="C12" s="40">
        <f>IF($K12="","",INDEX('Master Data'!$C:$C,$K12))</f>
        <v/>
      </c>
      <c r="D12" s="41">
        <f>IF($K12="","",INDEX('Master Data'!$D:$D,$K12))</f>
        <v/>
      </c>
      <c r="E12" s="41">
        <f>IF($K12="","",INDEX('Master Data'!$H:$H,$K12))</f>
        <v/>
      </c>
      <c r="F12" s="40">
        <f>IF($K12="","",INDEX('Master Data'!$J:$J,$K12))</f>
        <v/>
      </c>
      <c r="G12" s="42">
        <f>IF($K12="","",INDEX('Master Data'!$K:$K,$K12))</f>
        <v/>
      </c>
      <c r="H12" s="43" t="n"/>
      <c r="I12" s="44" t="n"/>
      <c r="K12">
        <f>IFERROR(SMALL('Master Data'!$N$5:$N$500,ROW()-6),"")</f>
        <v/>
      </c>
    </row>
    <row r="13">
      <c r="A13" s="40">
        <f>IF($K13="","",INDEX('Master Data'!$A:$A,$K13))</f>
        <v/>
      </c>
      <c r="B13" s="41">
        <f>IF($K13="","",INDEX('Master Data'!$B:$B,$K13))</f>
        <v/>
      </c>
      <c r="C13" s="40">
        <f>IF($K13="","",INDEX('Master Data'!$C:$C,$K13))</f>
        <v/>
      </c>
      <c r="D13" s="41">
        <f>IF($K13="","",INDEX('Master Data'!$D:$D,$K13))</f>
        <v/>
      </c>
      <c r="E13" s="41">
        <f>IF($K13="","",INDEX('Master Data'!$H:$H,$K13))</f>
        <v/>
      </c>
      <c r="F13" s="40">
        <f>IF($K13="","",INDEX('Master Data'!$J:$J,$K13))</f>
        <v/>
      </c>
      <c r="G13" s="42">
        <f>IF($K13="","",INDEX('Master Data'!$K:$K,$K13))</f>
        <v/>
      </c>
      <c r="H13" s="43" t="n"/>
      <c r="I13" s="44" t="n"/>
      <c r="K13">
        <f>IFERROR(SMALL('Master Data'!$N$5:$N$500,ROW()-6),"")</f>
        <v/>
      </c>
    </row>
    <row r="14">
      <c r="A14" s="40">
        <f>IF($K14="","",INDEX('Master Data'!$A:$A,$K14))</f>
        <v/>
      </c>
      <c r="B14" s="41">
        <f>IF($K14="","",INDEX('Master Data'!$B:$B,$K14))</f>
        <v/>
      </c>
      <c r="C14" s="40">
        <f>IF($K14="","",INDEX('Master Data'!$C:$C,$K14))</f>
        <v/>
      </c>
      <c r="D14" s="41">
        <f>IF($K14="","",INDEX('Master Data'!$D:$D,$K14))</f>
        <v/>
      </c>
      <c r="E14" s="41">
        <f>IF($K14="","",INDEX('Master Data'!$H:$H,$K14))</f>
        <v/>
      </c>
      <c r="F14" s="40">
        <f>IF($K14="","",INDEX('Master Data'!$J:$J,$K14))</f>
        <v/>
      </c>
      <c r="G14" s="42">
        <f>IF($K14="","",INDEX('Master Data'!$K:$K,$K14))</f>
        <v/>
      </c>
      <c r="H14" s="43" t="n"/>
      <c r="I14" s="44" t="n"/>
      <c r="K14">
        <f>IFERROR(SMALL('Master Data'!$N$5:$N$500,ROW()-6),"")</f>
        <v/>
      </c>
    </row>
    <row r="15">
      <c r="A15" s="40">
        <f>IF($K15="","",INDEX('Master Data'!$A:$A,$K15))</f>
        <v/>
      </c>
      <c r="B15" s="41">
        <f>IF($K15="","",INDEX('Master Data'!$B:$B,$K15))</f>
        <v/>
      </c>
      <c r="C15" s="40">
        <f>IF($K15="","",INDEX('Master Data'!$C:$C,$K15))</f>
        <v/>
      </c>
      <c r="D15" s="41">
        <f>IF($K15="","",INDEX('Master Data'!$D:$D,$K15))</f>
        <v/>
      </c>
      <c r="E15" s="41">
        <f>IF($K15="","",INDEX('Master Data'!$H:$H,$K15))</f>
        <v/>
      </c>
      <c r="F15" s="40">
        <f>IF($K15="","",INDEX('Master Data'!$J:$J,$K15))</f>
        <v/>
      </c>
      <c r="G15" s="42">
        <f>IF($K15="","",INDEX('Master Data'!$K:$K,$K15))</f>
        <v/>
      </c>
      <c r="H15" s="43" t="n"/>
      <c r="I15" s="44" t="n"/>
      <c r="K15">
        <f>IFERROR(SMALL('Master Data'!$N$5:$N$500,ROW()-6),"")</f>
        <v/>
      </c>
    </row>
    <row r="16">
      <c r="A16" s="40">
        <f>IF($K16="","",INDEX('Master Data'!$A:$A,$K16))</f>
        <v/>
      </c>
      <c r="B16" s="41">
        <f>IF($K16="","",INDEX('Master Data'!$B:$B,$K16))</f>
        <v/>
      </c>
      <c r="C16" s="40">
        <f>IF($K16="","",INDEX('Master Data'!$C:$C,$K16))</f>
        <v/>
      </c>
      <c r="D16" s="41">
        <f>IF($K16="","",INDEX('Master Data'!$D:$D,$K16))</f>
        <v/>
      </c>
      <c r="E16" s="41">
        <f>IF($K16="","",INDEX('Master Data'!$H:$H,$K16))</f>
        <v/>
      </c>
      <c r="F16" s="40">
        <f>IF($K16="","",INDEX('Master Data'!$J:$J,$K16))</f>
        <v/>
      </c>
      <c r="G16" s="42">
        <f>IF($K16="","",INDEX('Master Data'!$K:$K,$K16))</f>
        <v/>
      </c>
      <c r="H16" s="43" t="n"/>
      <c r="I16" s="44" t="n"/>
      <c r="K16">
        <f>IFERROR(SMALL('Master Data'!$N$5:$N$500,ROW()-6),"")</f>
        <v/>
      </c>
    </row>
    <row r="17">
      <c r="A17" s="40">
        <f>IF($K17="","",INDEX('Master Data'!$A:$A,$K17))</f>
        <v/>
      </c>
      <c r="B17" s="41">
        <f>IF($K17="","",INDEX('Master Data'!$B:$B,$K17))</f>
        <v/>
      </c>
      <c r="C17" s="40">
        <f>IF($K17="","",INDEX('Master Data'!$C:$C,$K17))</f>
        <v/>
      </c>
      <c r="D17" s="41">
        <f>IF($K17="","",INDEX('Master Data'!$D:$D,$K17))</f>
        <v/>
      </c>
      <c r="E17" s="41">
        <f>IF($K17="","",INDEX('Master Data'!$H:$H,$K17))</f>
        <v/>
      </c>
      <c r="F17" s="40">
        <f>IF($K17="","",INDEX('Master Data'!$J:$J,$K17))</f>
        <v/>
      </c>
      <c r="G17" s="42">
        <f>IF($K17="","",INDEX('Master Data'!$K:$K,$K17))</f>
        <v/>
      </c>
      <c r="H17" s="43" t="n"/>
      <c r="I17" s="44" t="n"/>
      <c r="K17">
        <f>IFERROR(SMALL('Master Data'!$N$5:$N$500,ROW()-6),"")</f>
        <v/>
      </c>
    </row>
    <row r="18">
      <c r="A18" s="40">
        <f>IF($K18="","",INDEX('Master Data'!$A:$A,$K18))</f>
        <v/>
      </c>
      <c r="B18" s="41">
        <f>IF($K18="","",INDEX('Master Data'!$B:$B,$K18))</f>
        <v/>
      </c>
      <c r="C18" s="40">
        <f>IF($K18="","",INDEX('Master Data'!$C:$C,$K18))</f>
        <v/>
      </c>
      <c r="D18" s="41">
        <f>IF($K18="","",INDEX('Master Data'!$D:$D,$K18))</f>
        <v/>
      </c>
      <c r="E18" s="41">
        <f>IF($K18="","",INDEX('Master Data'!$H:$H,$K18))</f>
        <v/>
      </c>
      <c r="F18" s="40">
        <f>IF($K18="","",INDEX('Master Data'!$J:$J,$K18))</f>
        <v/>
      </c>
      <c r="G18" s="42">
        <f>IF($K18="","",INDEX('Master Data'!$K:$K,$K18))</f>
        <v/>
      </c>
      <c r="H18" s="43" t="n"/>
      <c r="I18" s="44" t="n"/>
      <c r="K18">
        <f>IFERROR(SMALL('Master Data'!$N$5:$N$500,ROW()-6),"")</f>
        <v/>
      </c>
    </row>
    <row r="19">
      <c r="A19" s="40">
        <f>IF($K19="","",INDEX('Master Data'!$A:$A,$K19))</f>
        <v/>
      </c>
      <c r="B19" s="41">
        <f>IF($K19="","",INDEX('Master Data'!$B:$B,$K19))</f>
        <v/>
      </c>
      <c r="C19" s="40">
        <f>IF($K19="","",INDEX('Master Data'!$C:$C,$K19))</f>
        <v/>
      </c>
      <c r="D19" s="41">
        <f>IF($K19="","",INDEX('Master Data'!$D:$D,$K19))</f>
        <v/>
      </c>
      <c r="E19" s="41">
        <f>IF($K19="","",INDEX('Master Data'!$H:$H,$K19))</f>
        <v/>
      </c>
      <c r="F19" s="40">
        <f>IF($K19="","",INDEX('Master Data'!$J:$J,$K19))</f>
        <v/>
      </c>
      <c r="G19" s="42">
        <f>IF($K19="","",INDEX('Master Data'!$K:$K,$K19))</f>
        <v/>
      </c>
      <c r="H19" s="43" t="n"/>
      <c r="I19" s="44" t="n"/>
      <c r="K19">
        <f>IFERROR(SMALL('Master Data'!$N$5:$N$500,ROW()-6),"")</f>
        <v/>
      </c>
    </row>
    <row r="20">
      <c r="A20" s="40">
        <f>IF($K20="","",INDEX('Master Data'!$A:$A,$K20))</f>
        <v/>
      </c>
      <c r="B20" s="41">
        <f>IF($K20="","",INDEX('Master Data'!$B:$B,$K20))</f>
        <v/>
      </c>
      <c r="C20" s="40">
        <f>IF($K20="","",INDEX('Master Data'!$C:$C,$K20))</f>
        <v/>
      </c>
      <c r="D20" s="41">
        <f>IF($K20="","",INDEX('Master Data'!$D:$D,$K20))</f>
        <v/>
      </c>
      <c r="E20" s="41">
        <f>IF($K20="","",INDEX('Master Data'!$H:$H,$K20))</f>
        <v/>
      </c>
      <c r="F20" s="40">
        <f>IF($K20="","",INDEX('Master Data'!$J:$J,$K20))</f>
        <v/>
      </c>
      <c r="G20" s="42">
        <f>IF($K20="","",INDEX('Master Data'!$K:$K,$K20))</f>
        <v/>
      </c>
      <c r="H20" s="43" t="n"/>
      <c r="I20" s="44" t="n"/>
      <c r="K20">
        <f>IFERROR(SMALL('Master Data'!$N$5:$N$500,ROW()-6),"")</f>
        <v/>
      </c>
    </row>
    <row r="21">
      <c r="A21" s="40">
        <f>IF($K21="","",INDEX('Master Data'!$A:$A,$K21))</f>
        <v/>
      </c>
      <c r="B21" s="41">
        <f>IF($K21="","",INDEX('Master Data'!$B:$B,$K21))</f>
        <v/>
      </c>
      <c r="C21" s="40">
        <f>IF($K21="","",INDEX('Master Data'!$C:$C,$K21))</f>
        <v/>
      </c>
      <c r="D21" s="41">
        <f>IF($K21="","",INDEX('Master Data'!$D:$D,$K21))</f>
        <v/>
      </c>
      <c r="E21" s="41">
        <f>IF($K21="","",INDEX('Master Data'!$H:$H,$K21))</f>
        <v/>
      </c>
      <c r="F21" s="40">
        <f>IF($K21="","",INDEX('Master Data'!$J:$J,$K21))</f>
        <v/>
      </c>
      <c r="G21" s="42">
        <f>IF($K21="","",INDEX('Master Data'!$K:$K,$K21))</f>
        <v/>
      </c>
      <c r="H21" s="43" t="n"/>
      <c r="I21" s="44" t="n"/>
      <c r="K21">
        <f>IFERROR(SMALL('Master Data'!$N$5:$N$500,ROW()-6),"")</f>
        <v/>
      </c>
    </row>
    <row r="22">
      <c r="A22" s="40">
        <f>IF($K22="","",INDEX('Master Data'!$A:$A,$K22))</f>
        <v/>
      </c>
      <c r="B22" s="41">
        <f>IF($K22="","",INDEX('Master Data'!$B:$B,$K22))</f>
        <v/>
      </c>
      <c r="C22" s="40">
        <f>IF($K22="","",INDEX('Master Data'!$C:$C,$K22))</f>
        <v/>
      </c>
      <c r="D22" s="41">
        <f>IF($K22="","",INDEX('Master Data'!$D:$D,$K22))</f>
        <v/>
      </c>
      <c r="E22" s="41">
        <f>IF($K22="","",INDEX('Master Data'!$H:$H,$K22))</f>
        <v/>
      </c>
      <c r="F22" s="40">
        <f>IF($K22="","",INDEX('Master Data'!$J:$J,$K22))</f>
        <v/>
      </c>
      <c r="G22" s="42">
        <f>IF($K22="","",INDEX('Master Data'!$K:$K,$K22))</f>
        <v/>
      </c>
      <c r="H22" s="43" t="n"/>
      <c r="I22" s="44" t="n"/>
      <c r="K22">
        <f>IFERROR(SMALL('Master Data'!$N$5:$N$500,ROW()-6),"")</f>
        <v/>
      </c>
    </row>
    <row r="23">
      <c r="A23" s="40">
        <f>IF($K23="","",INDEX('Master Data'!$A:$A,$K23))</f>
        <v/>
      </c>
      <c r="B23" s="41">
        <f>IF($K23="","",INDEX('Master Data'!$B:$B,$K23))</f>
        <v/>
      </c>
      <c r="C23" s="40">
        <f>IF($K23="","",INDEX('Master Data'!$C:$C,$K23))</f>
        <v/>
      </c>
      <c r="D23" s="41">
        <f>IF($K23="","",INDEX('Master Data'!$D:$D,$K23))</f>
        <v/>
      </c>
      <c r="E23" s="41">
        <f>IF($K23="","",INDEX('Master Data'!$H:$H,$K23))</f>
        <v/>
      </c>
      <c r="F23" s="40">
        <f>IF($K23="","",INDEX('Master Data'!$J:$J,$K23))</f>
        <v/>
      </c>
      <c r="G23" s="42">
        <f>IF($K23="","",INDEX('Master Data'!$K:$K,$K23))</f>
        <v/>
      </c>
      <c r="H23" s="43" t="n"/>
      <c r="I23" s="44" t="n"/>
      <c r="K23">
        <f>IFERROR(SMALL('Master Data'!$N$5:$N$500,ROW()-6),"")</f>
        <v/>
      </c>
    </row>
    <row r="24">
      <c r="A24" s="40">
        <f>IF($K24="","",INDEX('Master Data'!$A:$A,$K24))</f>
        <v/>
      </c>
      <c r="B24" s="41">
        <f>IF($K24="","",INDEX('Master Data'!$B:$B,$K24))</f>
        <v/>
      </c>
      <c r="C24" s="40">
        <f>IF($K24="","",INDEX('Master Data'!$C:$C,$K24))</f>
        <v/>
      </c>
      <c r="D24" s="41">
        <f>IF($K24="","",INDEX('Master Data'!$D:$D,$K24))</f>
        <v/>
      </c>
      <c r="E24" s="41">
        <f>IF($K24="","",INDEX('Master Data'!$H:$H,$K24))</f>
        <v/>
      </c>
      <c r="F24" s="40">
        <f>IF($K24="","",INDEX('Master Data'!$J:$J,$K24))</f>
        <v/>
      </c>
      <c r="G24" s="42">
        <f>IF($K24="","",INDEX('Master Data'!$K:$K,$K24))</f>
        <v/>
      </c>
      <c r="H24" s="43" t="n"/>
      <c r="I24" s="44" t="n"/>
      <c r="K24">
        <f>IFERROR(SMALL('Master Data'!$N$5:$N$500,ROW()-6),"")</f>
        <v/>
      </c>
    </row>
    <row r="25">
      <c r="A25" s="40">
        <f>IF($K25="","",INDEX('Master Data'!$A:$A,$K25))</f>
        <v/>
      </c>
      <c r="B25" s="41">
        <f>IF($K25="","",INDEX('Master Data'!$B:$B,$K25))</f>
        <v/>
      </c>
      <c r="C25" s="40">
        <f>IF($K25="","",INDEX('Master Data'!$C:$C,$K25))</f>
        <v/>
      </c>
      <c r="D25" s="41">
        <f>IF($K25="","",INDEX('Master Data'!$D:$D,$K25))</f>
        <v/>
      </c>
      <c r="E25" s="41">
        <f>IF($K25="","",INDEX('Master Data'!$H:$H,$K25))</f>
        <v/>
      </c>
      <c r="F25" s="40">
        <f>IF($K25="","",INDEX('Master Data'!$J:$J,$K25))</f>
        <v/>
      </c>
      <c r="G25" s="42">
        <f>IF($K25="","",INDEX('Master Data'!$K:$K,$K25))</f>
        <v/>
      </c>
      <c r="H25" s="43" t="n"/>
      <c r="I25" s="44" t="n"/>
      <c r="K25">
        <f>IFERROR(SMALL('Master Data'!$N$5:$N$500,ROW()-6),"")</f>
        <v/>
      </c>
    </row>
    <row r="26">
      <c r="A26" s="40">
        <f>IF($K26="","",INDEX('Master Data'!$A:$A,$K26))</f>
        <v/>
      </c>
      <c r="B26" s="41">
        <f>IF($K26="","",INDEX('Master Data'!$B:$B,$K26))</f>
        <v/>
      </c>
      <c r="C26" s="40">
        <f>IF($K26="","",INDEX('Master Data'!$C:$C,$K26))</f>
        <v/>
      </c>
      <c r="D26" s="41">
        <f>IF($K26="","",INDEX('Master Data'!$D:$D,$K26))</f>
        <v/>
      </c>
      <c r="E26" s="41">
        <f>IF($K26="","",INDEX('Master Data'!$H:$H,$K26))</f>
        <v/>
      </c>
      <c r="F26" s="40">
        <f>IF($K26="","",INDEX('Master Data'!$J:$J,$K26))</f>
        <v/>
      </c>
      <c r="G26" s="42">
        <f>IF($K26="","",INDEX('Master Data'!$K:$K,$K26))</f>
        <v/>
      </c>
      <c r="H26" s="43" t="n"/>
      <c r="I26" s="44" t="n"/>
      <c r="K26">
        <f>IFERROR(SMALL('Master Data'!$N$5:$N$500,ROW()-6),"")</f>
        <v/>
      </c>
    </row>
    <row r="27">
      <c r="A27" s="40">
        <f>IF($K27="","",INDEX('Master Data'!$A:$A,$K27))</f>
        <v/>
      </c>
      <c r="B27" s="41">
        <f>IF($K27="","",INDEX('Master Data'!$B:$B,$K27))</f>
        <v/>
      </c>
      <c r="C27" s="40">
        <f>IF($K27="","",INDEX('Master Data'!$C:$C,$K27))</f>
        <v/>
      </c>
      <c r="D27" s="41">
        <f>IF($K27="","",INDEX('Master Data'!$D:$D,$K27))</f>
        <v/>
      </c>
      <c r="E27" s="41">
        <f>IF($K27="","",INDEX('Master Data'!$H:$H,$K27))</f>
        <v/>
      </c>
      <c r="F27" s="40">
        <f>IF($K27="","",INDEX('Master Data'!$J:$J,$K27))</f>
        <v/>
      </c>
      <c r="G27" s="42">
        <f>IF($K27="","",INDEX('Master Data'!$K:$K,$K27))</f>
        <v/>
      </c>
      <c r="H27" s="43" t="n"/>
      <c r="I27" s="44" t="n"/>
      <c r="K27">
        <f>IFERROR(SMALL('Master Data'!$N$5:$N$500,ROW()-6),"")</f>
        <v/>
      </c>
    </row>
    <row r="28">
      <c r="A28" s="40">
        <f>IF($K28="","",INDEX('Master Data'!$A:$A,$K28))</f>
        <v/>
      </c>
      <c r="B28" s="41">
        <f>IF($K28="","",INDEX('Master Data'!$B:$B,$K28))</f>
        <v/>
      </c>
      <c r="C28" s="40">
        <f>IF($K28="","",INDEX('Master Data'!$C:$C,$K28))</f>
        <v/>
      </c>
      <c r="D28" s="41">
        <f>IF($K28="","",INDEX('Master Data'!$D:$D,$K28))</f>
        <v/>
      </c>
      <c r="E28" s="41">
        <f>IF($K28="","",INDEX('Master Data'!$H:$H,$K28))</f>
        <v/>
      </c>
      <c r="F28" s="40">
        <f>IF($K28="","",INDEX('Master Data'!$J:$J,$K28))</f>
        <v/>
      </c>
      <c r="G28" s="42">
        <f>IF($K28="","",INDEX('Master Data'!$K:$K,$K28))</f>
        <v/>
      </c>
      <c r="H28" s="43" t="n"/>
      <c r="I28" s="44" t="n"/>
      <c r="K28">
        <f>IFERROR(SMALL('Master Data'!$N$5:$N$500,ROW()-6),"")</f>
        <v/>
      </c>
    </row>
    <row r="29">
      <c r="A29" s="40">
        <f>IF($K29="","",INDEX('Master Data'!$A:$A,$K29))</f>
        <v/>
      </c>
      <c r="B29" s="41">
        <f>IF($K29="","",INDEX('Master Data'!$B:$B,$K29))</f>
        <v/>
      </c>
      <c r="C29" s="40">
        <f>IF($K29="","",INDEX('Master Data'!$C:$C,$K29))</f>
        <v/>
      </c>
      <c r="D29" s="41">
        <f>IF($K29="","",INDEX('Master Data'!$D:$D,$K29))</f>
        <v/>
      </c>
      <c r="E29" s="41">
        <f>IF($K29="","",INDEX('Master Data'!$H:$H,$K29))</f>
        <v/>
      </c>
      <c r="F29" s="40">
        <f>IF($K29="","",INDEX('Master Data'!$J:$J,$K29))</f>
        <v/>
      </c>
      <c r="G29" s="42">
        <f>IF($K29="","",INDEX('Master Data'!$K:$K,$K29))</f>
        <v/>
      </c>
      <c r="H29" s="43" t="n"/>
      <c r="I29" s="44" t="n"/>
      <c r="K29">
        <f>IFERROR(SMALL('Master Data'!$N$5:$N$500,ROW()-6),"")</f>
        <v/>
      </c>
    </row>
    <row r="30">
      <c r="A30" s="40">
        <f>IF($K30="","",INDEX('Master Data'!$A:$A,$K30))</f>
        <v/>
      </c>
      <c r="B30" s="41">
        <f>IF($K30="","",INDEX('Master Data'!$B:$B,$K30))</f>
        <v/>
      </c>
      <c r="C30" s="40">
        <f>IF($K30="","",INDEX('Master Data'!$C:$C,$K30))</f>
        <v/>
      </c>
      <c r="D30" s="41">
        <f>IF($K30="","",INDEX('Master Data'!$D:$D,$K30))</f>
        <v/>
      </c>
      <c r="E30" s="41">
        <f>IF($K30="","",INDEX('Master Data'!$H:$H,$K30))</f>
        <v/>
      </c>
      <c r="F30" s="40">
        <f>IF($K30="","",INDEX('Master Data'!$J:$J,$K30))</f>
        <v/>
      </c>
      <c r="G30" s="42">
        <f>IF($K30="","",INDEX('Master Data'!$K:$K,$K30))</f>
        <v/>
      </c>
      <c r="H30" s="43" t="n"/>
      <c r="I30" s="44" t="n"/>
      <c r="K30">
        <f>IFERROR(SMALL('Master Data'!$N$5:$N$500,ROW()-6),"")</f>
        <v/>
      </c>
    </row>
    <row r="31">
      <c r="A31" s="40">
        <f>IF($K31="","",INDEX('Master Data'!$A:$A,$K31))</f>
        <v/>
      </c>
      <c r="B31" s="41">
        <f>IF($K31="","",INDEX('Master Data'!$B:$B,$K31))</f>
        <v/>
      </c>
      <c r="C31" s="40">
        <f>IF($K31="","",INDEX('Master Data'!$C:$C,$K31))</f>
        <v/>
      </c>
      <c r="D31" s="41">
        <f>IF($K31="","",INDEX('Master Data'!$D:$D,$K31))</f>
        <v/>
      </c>
      <c r="E31" s="41">
        <f>IF($K31="","",INDEX('Master Data'!$H:$H,$K31))</f>
        <v/>
      </c>
      <c r="F31" s="40">
        <f>IF($K31="","",INDEX('Master Data'!$J:$J,$K31))</f>
        <v/>
      </c>
      <c r="G31" s="42">
        <f>IF($K31="","",INDEX('Master Data'!$K:$K,$K31))</f>
        <v/>
      </c>
      <c r="H31" s="43" t="n"/>
      <c r="I31" s="44" t="n"/>
      <c r="K31">
        <f>IFERROR(SMALL('Master Data'!$N$5:$N$500,ROW()-6),"")</f>
        <v/>
      </c>
    </row>
    <row r="32">
      <c r="A32" s="40">
        <f>IF($K32="","",INDEX('Master Data'!$A:$A,$K32))</f>
        <v/>
      </c>
      <c r="B32" s="41">
        <f>IF($K32="","",INDEX('Master Data'!$B:$B,$K32))</f>
        <v/>
      </c>
      <c r="C32" s="40">
        <f>IF($K32="","",INDEX('Master Data'!$C:$C,$K32))</f>
        <v/>
      </c>
      <c r="D32" s="41">
        <f>IF($K32="","",INDEX('Master Data'!$D:$D,$K32))</f>
        <v/>
      </c>
      <c r="E32" s="41">
        <f>IF($K32="","",INDEX('Master Data'!$H:$H,$K32))</f>
        <v/>
      </c>
      <c r="F32" s="40">
        <f>IF($K32="","",INDEX('Master Data'!$J:$J,$K32))</f>
        <v/>
      </c>
      <c r="G32" s="42">
        <f>IF($K32="","",INDEX('Master Data'!$K:$K,$K32))</f>
        <v/>
      </c>
      <c r="H32" s="43" t="n"/>
      <c r="I32" s="44" t="n"/>
      <c r="K32">
        <f>IFERROR(SMALL('Master Data'!$N$5:$N$500,ROW()-6),"")</f>
        <v/>
      </c>
    </row>
    <row r="33">
      <c r="A33" s="40">
        <f>IF($K33="","",INDEX('Master Data'!$A:$A,$K33))</f>
        <v/>
      </c>
      <c r="B33" s="41">
        <f>IF($K33="","",INDEX('Master Data'!$B:$B,$K33))</f>
        <v/>
      </c>
      <c r="C33" s="40">
        <f>IF($K33="","",INDEX('Master Data'!$C:$C,$K33))</f>
        <v/>
      </c>
      <c r="D33" s="41">
        <f>IF($K33="","",INDEX('Master Data'!$D:$D,$K33))</f>
        <v/>
      </c>
      <c r="E33" s="41">
        <f>IF($K33="","",INDEX('Master Data'!$H:$H,$K33))</f>
        <v/>
      </c>
      <c r="F33" s="40">
        <f>IF($K33="","",INDEX('Master Data'!$J:$J,$K33))</f>
        <v/>
      </c>
      <c r="G33" s="42">
        <f>IF($K33="","",INDEX('Master Data'!$K:$K,$K33))</f>
        <v/>
      </c>
      <c r="H33" s="43" t="n"/>
      <c r="I33" s="44" t="n"/>
      <c r="K33">
        <f>IFERROR(SMALL('Master Data'!$N$5:$N$500,ROW()-6),"")</f>
        <v/>
      </c>
    </row>
    <row r="34">
      <c r="A34" s="40">
        <f>IF($K34="","",INDEX('Master Data'!$A:$A,$K34))</f>
        <v/>
      </c>
      <c r="B34" s="41">
        <f>IF($K34="","",INDEX('Master Data'!$B:$B,$K34))</f>
        <v/>
      </c>
      <c r="C34" s="40">
        <f>IF($K34="","",INDEX('Master Data'!$C:$C,$K34))</f>
        <v/>
      </c>
      <c r="D34" s="41">
        <f>IF($K34="","",INDEX('Master Data'!$D:$D,$K34))</f>
        <v/>
      </c>
      <c r="E34" s="41">
        <f>IF($K34="","",INDEX('Master Data'!$H:$H,$K34))</f>
        <v/>
      </c>
      <c r="F34" s="40">
        <f>IF($K34="","",INDEX('Master Data'!$J:$J,$K34))</f>
        <v/>
      </c>
      <c r="G34" s="42">
        <f>IF($K34="","",INDEX('Master Data'!$K:$K,$K34))</f>
        <v/>
      </c>
      <c r="H34" s="43" t="n"/>
      <c r="I34" s="44" t="n"/>
      <c r="K34">
        <f>IFERROR(SMALL('Master Data'!$N$5:$N$500,ROW()-6),"")</f>
        <v/>
      </c>
    </row>
    <row r="35">
      <c r="A35" s="40">
        <f>IF($K35="","",INDEX('Master Data'!$A:$A,$K35))</f>
        <v/>
      </c>
      <c r="B35" s="41">
        <f>IF($K35="","",INDEX('Master Data'!$B:$B,$K35))</f>
        <v/>
      </c>
      <c r="C35" s="40">
        <f>IF($K35="","",INDEX('Master Data'!$C:$C,$K35))</f>
        <v/>
      </c>
      <c r="D35" s="41">
        <f>IF($K35="","",INDEX('Master Data'!$D:$D,$K35))</f>
        <v/>
      </c>
      <c r="E35" s="41">
        <f>IF($K35="","",INDEX('Master Data'!$H:$H,$K35))</f>
        <v/>
      </c>
      <c r="F35" s="40">
        <f>IF($K35="","",INDEX('Master Data'!$J:$J,$K35))</f>
        <v/>
      </c>
      <c r="G35" s="42">
        <f>IF($K35="","",INDEX('Master Data'!$K:$K,$K35))</f>
        <v/>
      </c>
      <c r="H35" s="43" t="n"/>
      <c r="I35" s="44" t="n"/>
      <c r="K35">
        <f>IFERROR(SMALL('Master Data'!$N$5:$N$500,ROW()-6),"")</f>
        <v/>
      </c>
    </row>
    <row r="36">
      <c r="A36" s="40">
        <f>IF($K36="","",INDEX('Master Data'!$A:$A,$K36))</f>
        <v/>
      </c>
      <c r="B36" s="41">
        <f>IF($K36="","",INDEX('Master Data'!$B:$B,$K36))</f>
        <v/>
      </c>
      <c r="C36" s="40">
        <f>IF($K36="","",INDEX('Master Data'!$C:$C,$K36))</f>
        <v/>
      </c>
      <c r="D36" s="41">
        <f>IF($K36="","",INDEX('Master Data'!$D:$D,$K36))</f>
        <v/>
      </c>
      <c r="E36" s="41">
        <f>IF($K36="","",INDEX('Master Data'!$H:$H,$K36))</f>
        <v/>
      </c>
      <c r="F36" s="40">
        <f>IF($K36="","",INDEX('Master Data'!$J:$J,$K36))</f>
        <v/>
      </c>
      <c r="G36" s="42">
        <f>IF($K36="","",INDEX('Master Data'!$K:$K,$K36))</f>
        <v/>
      </c>
      <c r="H36" s="43" t="n"/>
      <c r="I36" s="44" t="n"/>
      <c r="K36">
        <f>IFERROR(SMALL('Master Data'!$N$5:$N$500,ROW()-6),"")</f>
        <v/>
      </c>
    </row>
    <row r="37">
      <c r="A37" s="40">
        <f>IF($K37="","",INDEX('Master Data'!$A:$A,$K37))</f>
        <v/>
      </c>
      <c r="B37" s="41">
        <f>IF($K37="","",INDEX('Master Data'!$B:$B,$K37))</f>
        <v/>
      </c>
      <c r="C37" s="40">
        <f>IF($K37="","",INDEX('Master Data'!$C:$C,$K37))</f>
        <v/>
      </c>
      <c r="D37" s="41">
        <f>IF($K37="","",INDEX('Master Data'!$D:$D,$K37))</f>
        <v/>
      </c>
      <c r="E37" s="41">
        <f>IF($K37="","",INDEX('Master Data'!$H:$H,$K37))</f>
        <v/>
      </c>
      <c r="F37" s="40">
        <f>IF($K37="","",INDEX('Master Data'!$J:$J,$K37))</f>
        <v/>
      </c>
      <c r="G37" s="42">
        <f>IF($K37="","",INDEX('Master Data'!$K:$K,$K37))</f>
        <v/>
      </c>
      <c r="H37" s="43" t="n"/>
      <c r="I37" s="44" t="n"/>
      <c r="K37">
        <f>IFERROR(SMALL('Master Data'!$N$5:$N$500,ROW()-6),"")</f>
        <v/>
      </c>
    </row>
    <row r="38">
      <c r="A38" s="40">
        <f>IF($K38="","",INDEX('Master Data'!$A:$A,$K38))</f>
        <v/>
      </c>
      <c r="B38" s="41">
        <f>IF($K38="","",INDEX('Master Data'!$B:$B,$K38))</f>
        <v/>
      </c>
      <c r="C38" s="40">
        <f>IF($K38="","",INDEX('Master Data'!$C:$C,$K38))</f>
        <v/>
      </c>
      <c r="D38" s="41">
        <f>IF($K38="","",INDEX('Master Data'!$D:$D,$K38))</f>
        <v/>
      </c>
      <c r="E38" s="41">
        <f>IF($K38="","",INDEX('Master Data'!$H:$H,$K38))</f>
        <v/>
      </c>
      <c r="F38" s="40">
        <f>IF($K38="","",INDEX('Master Data'!$J:$J,$K38))</f>
        <v/>
      </c>
      <c r="G38" s="42">
        <f>IF($K38="","",INDEX('Master Data'!$K:$K,$K38))</f>
        <v/>
      </c>
      <c r="H38" s="43" t="n"/>
      <c r="I38" s="44" t="n"/>
      <c r="K38">
        <f>IFERROR(SMALL('Master Data'!$N$5:$N$500,ROW()-6),"")</f>
        <v/>
      </c>
    </row>
    <row r="39">
      <c r="A39" s="40">
        <f>IF($K39="","",INDEX('Master Data'!$A:$A,$K39))</f>
        <v/>
      </c>
      <c r="B39" s="41">
        <f>IF($K39="","",INDEX('Master Data'!$B:$B,$K39))</f>
        <v/>
      </c>
      <c r="C39" s="40">
        <f>IF($K39="","",INDEX('Master Data'!$C:$C,$K39))</f>
        <v/>
      </c>
      <c r="D39" s="41">
        <f>IF($K39="","",INDEX('Master Data'!$D:$D,$K39))</f>
        <v/>
      </c>
      <c r="E39" s="41">
        <f>IF($K39="","",INDEX('Master Data'!$H:$H,$K39))</f>
        <v/>
      </c>
      <c r="F39" s="40">
        <f>IF($K39="","",INDEX('Master Data'!$J:$J,$K39))</f>
        <v/>
      </c>
      <c r="G39" s="42">
        <f>IF($K39="","",INDEX('Master Data'!$K:$K,$K39))</f>
        <v/>
      </c>
      <c r="H39" s="43" t="n"/>
      <c r="I39" s="44" t="n"/>
      <c r="K39">
        <f>IFERROR(SMALL('Master Data'!$N$5:$N$500,ROW()-6),"")</f>
        <v/>
      </c>
    </row>
    <row r="40">
      <c r="A40" s="40">
        <f>IF($K40="","",INDEX('Master Data'!$A:$A,$K40))</f>
        <v/>
      </c>
      <c r="B40" s="41">
        <f>IF($K40="","",INDEX('Master Data'!$B:$B,$K40))</f>
        <v/>
      </c>
      <c r="C40" s="40">
        <f>IF($K40="","",INDEX('Master Data'!$C:$C,$K40))</f>
        <v/>
      </c>
      <c r="D40" s="41">
        <f>IF($K40="","",INDEX('Master Data'!$D:$D,$K40))</f>
        <v/>
      </c>
      <c r="E40" s="41">
        <f>IF($K40="","",INDEX('Master Data'!$H:$H,$K40))</f>
        <v/>
      </c>
      <c r="F40" s="40">
        <f>IF($K40="","",INDEX('Master Data'!$J:$J,$K40))</f>
        <v/>
      </c>
      <c r="G40" s="42">
        <f>IF($K40="","",INDEX('Master Data'!$K:$K,$K40))</f>
        <v/>
      </c>
      <c r="H40" s="43" t="n"/>
      <c r="I40" s="44" t="n"/>
      <c r="K40">
        <f>IFERROR(SMALL('Master Data'!$N$5:$N$500,ROW()-6),"")</f>
        <v/>
      </c>
    </row>
    <row r="41">
      <c r="A41" s="40">
        <f>IF($K41="","",INDEX('Master Data'!$A:$A,$K41))</f>
        <v/>
      </c>
      <c r="B41" s="41">
        <f>IF($K41="","",INDEX('Master Data'!$B:$B,$K41))</f>
        <v/>
      </c>
      <c r="C41" s="40">
        <f>IF($K41="","",INDEX('Master Data'!$C:$C,$K41))</f>
        <v/>
      </c>
      <c r="D41" s="41">
        <f>IF($K41="","",INDEX('Master Data'!$D:$D,$K41))</f>
        <v/>
      </c>
      <c r="E41" s="41">
        <f>IF($K41="","",INDEX('Master Data'!$H:$H,$K41))</f>
        <v/>
      </c>
      <c r="F41" s="40">
        <f>IF($K41="","",INDEX('Master Data'!$J:$J,$K41))</f>
        <v/>
      </c>
      <c r="G41" s="42">
        <f>IF($K41="","",INDEX('Master Data'!$K:$K,$K41))</f>
        <v/>
      </c>
      <c r="H41" s="43" t="n"/>
      <c r="I41" s="44" t="n"/>
      <c r="K41">
        <f>IFERROR(SMALL('Master Data'!$N$5:$N$500,ROW()-6),"")</f>
        <v/>
      </c>
    </row>
    <row r="42">
      <c r="A42" s="40">
        <f>IF($K42="","",INDEX('Master Data'!$A:$A,$K42))</f>
        <v/>
      </c>
      <c r="B42" s="41">
        <f>IF($K42="","",INDEX('Master Data'!$B:$B,$K42))</f>
        <v/>
      </c>
      <c r="C42" s="40">
        <f>IF($K42="","",INDEX('Master Data'!$C:$C,$K42))</f>
        <v/>
      </c>
      <c r="D42" s="41">
        <f>IF($K42="","",INDEX('Master Data'!$D:$D,$K42))</f>
        <v/>
      </c>
      <c r="E42" s="41">
        <f>IF($K42="","",INDEX('Master Data'!$H:$H,$K42))</f>
        <v/>
      </c>
      <c r="F42" s="40">
        <f>IF($K42="","",INDEX('Master Data'!$J:$J,$K42))</f>
        <v/>
      </c>
      <c r="G42" s="42">
        <f>IF($K42="","",INDEX('Master Data'!$K:$K,$K42))</f>
        <v/>
      </c>
      <c r="H42" s="43" t="n"/>
      <c r="I42" s="44" t="n"/>
      <c r="K42">
        <f>IFERROR(SMALL('Master Data'!$N$5:$N$500,ROW()-6),"")</f>
        <v/>
      </c>
    </row>
    <row r="43">
      <c r="A43" s="40">
        <f>IF($K43="","",INDEX('Master Data'!$A:$A,$K43))</f>
        <v/>
      </c>
      <c r="B43" s="41">
        <f>IF($K43="","",INDEX('Master Data'!$B:$B,$K43))</f>
        <v/>
      </c>
      <c r="C43" s="40">
        <f>IF($K43="","",INDEX('Master Data'!$C:$C,$K43))</f>
        <v/>
      </c>
      <c r="D43" s="41">
        <f>IF($K43="","",INDEX('Master Data'!$D:$D,$K43))</f>
        <v/>
      </c>
      <c r="E43" s="41">
        <f>IF($K43="","",INDEX('Master Data'!$H:$H,$K43))</f>
        <v/>
      </c>
      <c r="F43" s="40">
        <f>IF($K43="","",INDEX('Master Data'!$J:$J,$K43))</f>
        <v/>
      </c>
      <c r="G43" s="42">
        <f>IF($K43="","",INDEX('Master Data'!$K:$K,$K43))</f>
        <v/>
      </c>
      <c r="H43" s="43" t="n"/>
      <c r="I43" s="44" t="n"/>
      <c r="K43">
        <f>IFERROR(SMALL('Master Data'!$N$5:$N$500,ROW()-6),"")</f>
        <v/>
      </c>
    </row>
    <row r="44">
      <c r="A44" s="40">
        <f>IF($K44="","",INDEX('Master Data'!$A:$A,$K44))</f>
        <v/>
      </c>
      <c r="B44" s="41">
        <f>IF($K44="","",INDEX('Master Data'!$B:$B,$K44))</f>
        <v/>
      </c>
      <c r="C44" s="40">
        <f>IF($K44="","",INDEX('Master Data'!$C:$C,$K44))</f>
        <v/>
      </c>
      <c r="D44" s="41">
        <f>IF($K44="","",INDEX('Master Data'!$D:$D,$K44))</f>
        <v/>
      </c>
      <c r="E44" s="41">
        <f>IF($K44="","",INDEX('Master Data'!$H:$H,$K44))</f>
        <v/>
      </c>
      <c r="F44" s="40">
        <f>IF($K44="","",INDEX('Master Data'!$J:$J,$K44))</f>
        <v/>
      </c>
      <c r="G44" s="42">
        <f>IF($K44="","",INDEX('Master Data'!$K:$K,$K44))</f>
        <v/>
      </c>
      <c r="H44" s="43" t="n"/>
      <c r="I44" s="44" t="n"/>
      <c r="K44">
        <f>IFERROR(SMALL('Master Data'!$N$5:$N$500,ROW()-6),"")</f>
        <v/>
      </c>
    </row>
    <row r="45">
      <c r="A45" s="40">
        <f>IF($K45="","",INDEX('Master Data'!$A:$A,$K45))</f>
        <v/>
      </c>
      <c r="B45" s="41">
        <f>IF($K45="","",INDEX('Master Data'!$B:$B,$K45))</f>
        <v/>
      </c>
      <c r="C45" s="40">
        <f>IF($K45="","",INDEX('Master Data'!$C:$C,$K45))</f>
        <v/>
      </c>
      <c r="D45" s="41">
        <f>IF($K45="","",INDEX('Master Data'!$D:$D,$K45))</f>
        <v/>
      </c>
      <c r="E45" s="41">
        <f>IF($K45="","",INDEX('Master Data'!$H:$H,$K45))</f>
        <v/>
      </c>
      <c r="F45" s="40">
        <f>IF($K45="","",INDEX('Master Data'!$J:$J,$K45))</f>
        <v/>
      </c>
      <c r="G45" s="42">
        <f>IF($K45="","",INDEX('Master Data'!$K:$K,$K45))</f>
        <v/>
      </c>
      <c r="H45" s="43" t="n"/>
      <c r="I45" s="44" t="n"/>
      <c r="K45">
        <f>IFERROR(SMALL('Master Data'!$N$5:$N$500,ROW()-6),"")</f>
        <v/>
      </c>
    </row>
    <row r="46">
      <c r="A46" s="40">
        <f>IF($K46="","",INDEX('Master Data'!$A:$A,$K46))</f>
        <v/>
      </c>
      <c r="B46" s="41">
        <f>IF($K46="","",INDEX('Master Data'!$B:$B,$K46))</f>
        <v/>
      </c>
      <c r="C46" s="40">
        <f>IF($K46="","",INDEX('Master Data'!$C:$C,$K46))</f>
        <v/>
      </c>
      <c r="D46" s="41">
        <f>IF($K46="","",INDEX('Master Data'!$D:$D,$K46))</f>
        <v/>
      </c>
      <c r="E46" s="41">
        <f>IF($K46="","",INDEX('Master Data'!$H:$H,$K46))</f>
        <v/>
      </c>
      <c r="F46" s="40">
        <f>IF($K46="","",INDEX('Master Data'!$J:$J,$K46))</f>
        <v/>
      </c>
      <c r="G46" s="42">
        <f>IF($K46="","",INDEX('Master Data'!$K:$K,$K46))</f>
        <v/>
      </c>
      <c r="H46" s="43" t="n"/>
      <c r="I46" s="44" t="n"/>
      <c r="K46">
        <f>IFERROR(SMALL('Master Data'!$N$5:$N$500,ROW()-6),"")</f>
        <v/>
      </c>
    </row>
    <row r="47">
      <c r="A47" s="40">
        <f>IF($K47="","",INDEX('Master Data'!$A:$A,$K47))</f>
        <v/>
      </c>
      <c r="B47" s="41">
        <f>IF($K47="","",INDEX('Master Data'!$B:$B,$K47))</f>
        <v/>
      </c>
      <c r="C47" s="40">
        <f>IF($K47="","",INDEX('Master Data'!$C:$C,$K47))</f>
        <v/>
      </c>
      <c r="D47" s="41">
        <f>IF($K47="","",INDEX('Master Data'!$D:$D,$K47))</f>
        <v/>
      </c>
      <c r="E47" s="41">
        <f>IF($K47="","",INDEX('Master Data'!$H:$H,$K47))</f>
        <v/>
      </c>
      <c r="F47" s="40">
        <f>IF($K47="","",INDEX('Master Data'!$J:$J,$K47))</f>
        <v/>
      </c>
      <c r="G47" s="42">
        <f>IF($K47="","",INDEX('Master Data'!$K:$K,$K47))</f>
        <v/>
      </c>
      <c r="H47" s="43" t="n"/>
      <c r="I47" s="44" t="n"/>
      <c r="K47">
        <f>IFERROR(SMALL('Master Data'!$N$5:$N$500,ROW()-6),"")</f>
        <v/>
      </c>
    </row>
    <row r="48">
      <c r="A48" s="40">
        <f>IF($K48="","",INDEX('Master Data'!$A:$A,$K48))</f>
        <v/>
      </c>
      <c r="B48" s="41">
        <f>IF($K48="","",INDEX('Master Data'!$B:$B,$K48))</f>
        <v/>
      </c>
      <c r="C48" s="40">
        <f>IF($K48="","",INDEX('Master Data'!$C:$C,$K48))</f>
        <v/>
      </c>
      <c r="D48" s="41">
        <f>IF($K48="","",INDEX('Master Data'!$D:$D,$K48))</f>
        <v/>
      </c>
      <c r="E48" s="41">
        <f>IF($K48="","",INDEX('Master Data'!$H:$H,$K48))</f>
        <v/>
      </c>
      <c r="F48" s="40">
        <f>IF($K48="","",INDEX('Master Data'!$J:$J,$K48))</f>
        <v/>
      </c>
      <c r="G48" s="42">
        <f>IF($K48="","",INDEX('Master Data'!$K:$K,$K48))</f>
        <v/>
      </c>
      <c r="H48" s="43" t="n"/>
      <c r="I48" s="44" t="n"/>
      <c r="K48">
        <f>IFERROR(SMALL('Master Data'!$N$5:$N$500,ROW()-6),"")</f>
        <v/>
      </c>
    </row>
    <row r="49">
      <c r="A49" s="40">
        <f>IF($K49="","",INDEX('Master Data'!$A:$A,$K49))</f>
        <v/>
      </c>
      <c r="B49" s="41">
        <f>IF($K49="","",INDEX('Master Data'!$B:$B,$K49))</f>
        <v/>
      </c>
      <c r="C49" s="40">
        <f>IF($K49="","",INDEX('Master Data'!$C:$C,$K49))</f>
        <v/>
      </c>
      <c r="D49" s="41">
        <f>IF($K49="","",INDEX('Master Data'!$D:$D,$K49))</f>
        <v/>
      </c>
      <c r="E49" s="41">
        <f>IF($K49="","",INDEX('Master Data'!$H:$H,$K49))</f>
        <v/>
      </c>
      <c r="F49" s="40">
        <f>IF($K49="","",INDEX('Master Data'!$J:$J,$K49))</f>
        <v/>
      </c>
      <c r="G49" s="42">
        <f>IF($K49="","",INDEX('Master Data'!$K:$K,$K49))</f>
        <v/>
      </c>
      <c r="H49" s="43" t="n"/>
      <c r="I49" s="44" t="n"/>
      <c r="K49">
        <f>IFERROR(SMALL('Master Data'!$N$5:$N$500,ROW()-6),"")</f>
        <v/>
      </c>
    </row>
    <row r="50">
      <c r="A50" s="40">
        <f>IF($K50="","",INDEX('Master Data'!$A:$A,$K50))</f>
        <v/>
      </c>
      <c r="B50" s="41">
        <f>IF($K50="","",INDEX('Master Data'!$B:$B,$K50))</f>
        <v/>
      </c>
      <c r="C50" s="40">
        <f>IF($K50="","",INDEX('Master Data'!$C:$C,$K50))</f>
        <v/>
      </c>
      <c r="D50" s="41">
        <f>IF($K50="","",INDEX('Master Data'!$D:$D,$K50))</f>
        <v/>
      </c>
      <c r="E50" s="41">
        <f>IF($K50="","",INDEX('Master Data'!$H:$H,$K50))</f>
        <v/>
      </c>
      <c r="F50" s="40">
        <f>IF($K50="","",INDEX('Master Data'!$J:$J,$K50))</f>
        <v/>
      </c>
      <c r="G50" s="42">
        <f>IF($K50="","",INDEX('Master Data'!$K:$K,$K50))</f>
        <v/>
      </c>
      <c r="H50" s="43" t="n"/>
      <c r="I50" s="44" t="n"/>
      <c r="K50">
        <f>IFERROR(SMALL('Master Data'!$N$5:$N$500,ROW()-6),"")</f>
        <v/>
      </c>
    </row>
    <row r="51">
      <c r="A51" s="40">
        <f>IF($K51="","",INDEX('Master Data'!$A:$A,$K51))</f>
        <v/>
      </c>
      <c r="B51" s="41">
        <f>IF($K51="","",INDEX('Master Data'!$B:$B,$K51))</f>
        <v/>
      </c>
      <c r="C51" s="40">
        <f>IF($K51="","",INDEX('Master Data'!$C:$C,$K51))</f>
        <v/>
      </c>
      <c r="D51" s="41">
        <f>IF($K51="","",INDEX('Master Data'!$D:$D,$K51))</f>
        <v/>
      </c>
      <c r="E51" s="41">
        <f>IF($K51="","",INDEX('Master Data'!$H:$H,$K51))</f>
        <v/>
      </c>
      <c r="F51" s="40">
        <f>IF($K51="","",INDEX('Master Data'!$J:$J,$K51))</f>
        <v/>
      </c>
      <c r="G51" s="42">
        <f>IF($K51="","",INDEX('Master Data'!$K:$K,$K51))</f>
        <v/>
      </c>
      <c r="H51" s="43" t="n"/>
      <c r="I51" s="44" t="n"/>
      <c r="K51">
        <f>IFERROR(SMALL('Master Data'!$N$5:$N$500,ROW()-6),"")</f>
        <v/>
      </c>
    </row>
    <row r="52">
      <c r="A52" s="40">
        <f>IF($K52="","",INDEX('Master Data'!$A:$A,$K52))</f>
        <v/>
      </c>
      <c r="B52" s="41">
        <f>IF($K52="","",INDEX('Master Data'!$B:$B,$K52))</f>
        <v/>
      </c>
      <c r="C52" s="40">
        <f>IF($K52="","",INDEX('Master Data'!$C:$C,$K52))</f>
        <v/>
      </c>
      <c r="D52" s="41">
        <f>IF($K52="","",INDEX('Master Data'!$D:$D,$K52))</f>
        <v/>
      </c>
      <c r="E52" s="41">
        <f>IF($K52="","",INDEX('Master Data'!$H:$H,$K52))</f>
        <v/>
      </c>
      <c r="F52" s="40">
        <f>IF($K52="","",INDEX('Master Data'!$J:$J,$K52))</f>
        <v/>
      </c>
      <c r="G52" s="42">
        <f>IF($K52="","",INDEX('Master Data'!$K:$K,$K52))</f>
        <v/>
      </c>
      <c r="H52" s="43" t="n"/>
      <c r="I52" s="44" t="n"/>
      <c r="K52">
        <f>IFERROR(SMALL('Master Data'!$N$5:$N$500,ROW()-6),"")</f>
        <v/>
      </c>
    </row>
    <row r="53">
      <c r="A53" s="40">
        <f>IF($K53="","",INDEX('Master Data'!$A:$A,$K53))</f>
        <v/>
      </c>
      <c r="B53" s="41">
        <f>IF($K53="","",INDEX('Master Data'!$B:$B,$K53))</f>
        <v/>
      </c>
      <c r="C53" s="40">
        <f>IF($K53="","",INDEX('Master Data'!$C:$C,$K53))</f>
        <v/>
      </c>
      <c r="D53" s="41">
        <f>IF($K53="","",INDEX('Master Data'!$D:$D,$K53))</f>
        <v/>
      </c>
      <c r="E53" s="41">
        <f>IF($K53="","",INDEX('Master Data'!$H:$H,$K53))</f>
        <v/>
      </c>
      <c r="F53" s="40">
        <f>IF($K53="","",INDEX('Master Data'!$J:$J,$K53))</f>
        <v/>
      </c>
      <c r="G53" s="42">
        <f>IF($K53="","",INDEX('Master Data'!$K:$K,$K53))</f>
        <v/>
      </c>
      <c r="H53" s="43" t="n"/>
      <c r="I53" s="44" t="n"/>
      <c r="K53">
        <f>IFERROR(SMALL('Master Data'!$N$5:$N$500,ROW()-6),"")</f>
        <v/>
      </c>
    </row>
    <row r="54">
      <c r="A54" s="40">
        <f>IF($K54="","",INDEX('Master Data'!$A:$A,$K54))</f>
        <v/>
      </c>
      <c r="B54" s="41">
        <f>IF($K54="","",INDEX('Master Data'!$B:$B,$K54))</f>
        <v/>
      </c>
      <c r="C54" s="40">
        <f>IF($K54="","",INDEX('Master Data'!$C:$C,$K54))</f>
        <v/>
      </c>
      <c r="D54" s="41">
        <f>IF($K54="","",INDEX('Master Data'!$D:$D,$K54))</f>
        <v/>
      </c>
      <c r="E54" s="41">
        <f>IF($K54="","",INDEX('Master Data'!$H:$H,$K54))</f>
        <v/>
      </c>
      <c r="F54" s="40">
        <f>IF($K54="","",INDEX('Master Data'!$J:$J,$K54))</f>
        <v/>
      </c>
      <c r="G54" s="42">
        <f>IF($K54="","",INDEX('Master Data'!$K:$K,$K54))</f>
        <v/>
      </c>
      <c r="H54" s="43" t="n"/>
      <c r="I54" s="44" t="n"/>
      <c r="K54">
        <f>IFERROR(SMALL('Master Data'!$N$5:$N$500,ROW()-6),"")</f>
        <v/>
      </c>
    </row>
    <row r="55">
      <c r="A55" s="40">
        <f>IF($K55="","",INDEX('Master Data'!$A:$A,$K55))</f>
        <v/>
      </c>
      <c r="B55" s="41">
        <f>IF($K55="","",INDEX('Master Data'!$B:$B,$K55))</f>
        <v/>
      </c>
      <c r="C55" s="40">
        <f>IF($K55="","",INDEX('Master Data'!$C:$C,$K55))</f>
        <v/>
      </c>
      <c r="D55" s="41">
        <f>IF($K55="","",INDEX('Master Data'!$D:$D,$K55))</f>
        <v/>
      </c>
      <c r="E55" s="41">
        <f>IF($K55="","",INDEX('Master Data'!$H:$H,$K55))</f>
        <v/>
      </c>
      <c r="F55" s="40">
        <f>IF($K55="","",INDEX('Master Data'!$J:$J,$K55))</f>
        <v/>
      </c>
      <c r="G55" s="42">
        <f>IF($K55="","",INDEX('Master Data'!$K:$K,$K55))</f>
        <v/>
      </c>
      <c r="H55" s="43" t="n"/>
      <c r="I55" s="44" t="n"/>
      <c r="K55">
        <f>IFERROR(SMALL('Master Data'!$N$5:$N$500,ROW()-6),"")</f>
        <v/>
      </c>
    </row>
    <row r="56">
      <c r="A56" s="40">
        <f>IF($K56="","",INDEX('Master Data'!$A:$A,$K56))</f>
        <v/>
      </c>
      <c r="B56" s="41">
        <f>IF($K56="","",INDEX('Master Data'!$B:$B,$K56))</f>
        <v/>
      </c>
      <c r="C56" s="40">
        <f>IF($K56="","",INDEX('Master Data'!$C:$C,$K56))</f>
        <v/>
      </c>
      <c r="D56" s="41">
        <f>IF($K56="","",INDEX('Master Data'!$D:$D,$K56))</f>
        <v/>
      </c>
      <c r="E56" s="41">
        <f>IF($K56="","",INDEX('Master Data'!$H:$H,$K56))</f>
        <v/>
      </c>
      <c r="F56" s="40">
        <f>IF($K56="","",INDEX('Master Data'!$J:$J,$K56))</f>
        <v/>
      </c>
      <c r="G56" s="42">
        <f>IF($K56="","",INDEX('Master Data'!$K:$K,$K56))</f>
        <v/>
      </c>
      <c r="H56" s="43" t="n"/>
      <c r="I56" s="44" t="n"/>
      <c r="K56">
        <f>IFERROR(SMALL('Master Data'!$N$5:$N$500,ROW()-6),"")</f>
        <v/>
      </c>
    </row>
  </sheetData>
  <mergeCells count="2">
    <mergeCell ref="A2:K2"/>
    <mergeCell ref="A1:K1"/>
  </mergeCells>
  <conditionalFormatting sqref="F7:F56">
    <cfRule type="cellIs" priority="1" operator="equal" dxfId="0">
      <formula>"Active"</formula>
    </cfRule>
    <cfRule type="cellIs" priority="2" operator="equal" dxfId="1">
      <formula>"Released"</formula>
    </cfRule>
  </conditionalFormatting>
  <dataValidations count="2">
    <dataValidation sqref="H7:H56" showDropDown="0" showInputMessage="0" showErrorMessage="0" allowBlank="1" type="list">
      <formula1>"Active,Released"</formula1>
    </dataValidation>
    <dataValidation sqref="I7:I56" showDropDown="0" showInputMessage="0" showErrorMessage="0" allowBlank="1" error="Enter a valid date" type="date" operator="greaterThan">
      <formula1>44927</formula1>
    </dataValidation>
  </dataValidations>
  <pageMargins left="0.75" right="0.75" top="1" bottom="1" header="0.5" footer="0.5"/>
  <pageSetup orientation="landscape" fitToHeight="0" fitToWidth="1"/>
  <drawing r:id="rIdBtn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N154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4" customWidth="1" min="2" max="2"/>
    <col width="13" customWidth="1" min="3" max="3"/>
    <col width="15" customWidth="1" min="4" max="4"/>
    <col width="20" customWidth="1" min="5" max="5"/>
    <col width="10" customWidth="1" min="6" max="6"/>
    <col width="13" customWidth="1" min="7" max="7"/>
    <col width="27" customWidth="1" min="8" max="8"/>
    <col width="13" customWidth="1" min="9" max="9"/>
    <col width="11" customWidth="1" min="10" max="10"/>
    <col width="13" customWidth="1" min="11" max="11"/>
    <col width="40" customWidth="1" min="12" max="12"/>
    <col hidden="1" width="13" customWidth="1" min="14" max="14"/>
  </cols>
  <sheetData>
    <row r="1" ht="36" customHeight="1">
      <c r="A1" s="31" t="inlineStr">
        <is>
          <t>Manpower Master Data</t>
        </is>
      </c>
      <c r="B1" s="32" t="n"/>
      <c r="C1" s="32" t="n"/>
      <c r="D1" s="32" t="n"/>
      <c r="E1" s="32" t="n"/>
      <c r="F1" s="32" t="n"/>
      <c r="G1" s="32" t="n"/>
      <c r="H1" s="32" t="n"/>
      <c r="I1" s="32" t="n"/>
      <c r="J1" s="32" t="n"/>
      <c r="K1" s="32" t="n"/>
      <c r="L1" s="32" t="n"/>
    </row>
    <row r="2">
      <c r="A2" s="33" t="inlineStr">
        <is>
          <t>Coastal Tunnel Package (CTP) – Desert Horizon JV  •  Demo data: all names, IDs and companies are fictional</t>
        </is>
      </c>
    </row>
    <row r="3" ht="4" customHeight="1">
      <c r="A3" s="34" t="n"/>
      <c r="B3" s="34" t="n"/>
      <c r="C3" s="34" t="n"/>
      <c r="D3" s="34" t="n"/>
      <c r="E3" s="34" t="n"/>
      <c r="F3" s="34" t="n"/>
      <c r="G3" s="34" t="n"/>
      <c r="H3" s="34" t="n"/>
      <c r="I3" s="34" t="n"/>
      <c r="J3" s="34" t="n"/>
      <c r="K3" s="34" t="n"/>
      <c r="L3" s="34" t="n"/>
    </row>
    <row r="4">
      <c r="A4" s="38" t="inlineStr">
        <is>
          <t>Emp ID</t>
        </is>
      </c>
      <c r="B4" s="38" t="inlineStr">
        <is>
          <t>Employee Name</t>
        </is>
      </c>
      <c r="C4" s="38" t="inlineStr">
        <is>
          <t>Nationality</t>
        </is>
      </c>
      <c r="D4" s="38" t="inlineStr">
        <is>
          <t>Department</t>
        </is>
      </c>
      <c r="E4" s="38" t="inlineStr">
        <is>
          <t>Designation</t>
        </is>
      </c>
      <c r="F4" s="38" t="inlineStr">
        <is>
          <t>Category</t>
        </is>
      </c>
      <c r="G4" s="38" t="inlineStr">
        <is>
          <t>Collar</t>
        </is>
      </c>
      <c r="H4" s="38" t="inlineStr">
        <is>
          <t>Sponsorship</t>
        </is>
      </c>
      <c r="I4" s="38" t="inlineStr">
        <is>
          <t>Join Date</t>
        </is>
      </c>
      <c r="J4" s="38" t="inlineStr">
        <is>
          <t>Status</t>
        </is>
      </c>
      <c r="K4" s="38" t="inlineStr">
        <is>
          <t>Release Date</t>
        </is>
      </c>
      <c r="L4" s="38" t="inlineStr">
        <is>
          <t>Notes / Update Log</t>
        </is>
      </c>
    </row>
    <row r="5">
      <c r="A5" s="45" t="inlineStr">
        <is>
          <t>EMP-1001</t>
        </is>
      </c>
      <c r="B5" s="46" t="inlineStr">
        <is>
          <t>Imran Rahman</t>
        </is>
      </c>
      <c r="C5" s="45" t="inlineStr">
        <is>
          <t>Pakistan</t>
        </is>
      </c>
      <c r="D5" s="46" t="inlineStr">
        <is>
          <t>Mechanical</t>
        </is>
      </c>
      <c r="E5" s="46" t="inlineStr">
        <is>
          <t>Electrician</t>
        </is>
      </c>
      <c r="F5" s="45" t="inlineStr">
        <is>
          <t>Staff</t>
        </is>
      </c>
      <c r="G5" s="45" t="inlineStr">
        <is>
          <t>White Collar</t>
        </is>
      </c>
      <c r="H5" s="46" t="inlineStr">
        <is>
          <t>Desert Horizon Contracting</t>
        </is>
      </c>
      <c r="I5" s="47" t="n">
        <v>45681</v>
      </c>
      <c r="J5" s="45" t="inlineStr">
        <is>
          <t>Released</t>
        </is>
      </c>
      <c r="K5" s="47" t="n">
        <v>46169</v>
      </c>
      <c r="L5" s="46" t="inlineStr"/>
      <c r="N5">
        <f>IF(Search!$C$4="","",IF(ISNUMBER(SEARCH(Search!$C$4,A5&amp;" "&amp;B5&amp;" "&amp;D5&amp;" "&amp;H5&amp;" "&amp;J5)),ROW(),""))</f>
        <v/>
      </c>
    </row>
    <row r="6">
      <c r="A6" s="40" t="inlineStr">
        <is>
          <t>EMP-1002</t>
        </is>
      </c>
      <c r="B6" s="41" t="inlineStr">
        <is>
          <t>Samir Haider</t>
        </is>
      </c>
      <c r="C6" s="40" t="inlineStr">
        <is>
          <t>Egypt</t>
        </is>
      </c>
      <c r="D6" s="41" t="inlineStr">
        <is>
          <t>QA/QC</t>
        </is>
      </c>
      <c r="E6" s="41" t="inlineStr">
        <is>
          <t>QC Inspector</t>
        </is>
      </c>
      <c r="F6" s="40" t="inlineStr">
        <is>
          <t>Staff</t>
        </is>
      </c>
      <c r="G6" s="40" t="inlineStr">
        <is>
          <t>White Collar</t>
        </is>
      </c>
      <c r="H6" s="41" t="inlineStr">
        <is>
          <t>Desert Horizon Contracting</t>
        </is>
      </c>
      <c r="I6" s="42" t="n">
        <v>45150</v>
      </c>
      <c r="J6" s="40" t="inlineStr">
        <is>
          <t>Released</t>
        </is>
      </c>
      <c r="K6" s="42" t="n">
        <v>46202</v>
      </c>
      <c r="L6" s="41" t="inlineStr"/>
      <c r="N6">
        <f>IF(Search!$C$4="","",IF(ISNUMBER(SEARCH(Search!$C$4,A6&amp;" "&amp;B6&amp;" "&amp;D6&amp;" "&amp;H6&amp;" "&amp;J6)),ROW(),""))</f>
        <v/>
      </c>
    </row>
    <row r="7">
      <c r="A7" s="45" t="inlineStr">
        <is>
          <t>EMP-1003</t>
        </is>
      </c>
      <c r="B7" s="46" t="inlineStr">
        <is>
          <t>Ramon Nasser</t>
        </is>
      </c>
      <c r="C7" s="45" t="inlineStr">
        <is>
          <t>Philippines</t>
        </is>
      </c>
      <c r="D7" s="46" t="inlineStr">
        <is>
          <t>Tunnelling</t>
        </is>
      </c>
      <c r="E7" s="46" t="inlineStr">
        <is>
          <t>Segment Erector</t>
        </is>
      </c>
      <c r="F7" s="45" t="inlineStr">
        <is>
          <t>Labor</t>
        </is>
      </c>
      <c r="G7" s="45" t="inlineStr">
        <is>
          <t>Blue Collar</t>
        </is>
      </c>
      <c r="H7" s="46" t="inlineStr">
        <is>
          <t>Gulf Manpower Services</t>
        </is>
      </c>
      <c r="I7" s="47" t="n">
        <v>45645</v>
      </c>
      <c r="J7" s="45" t="inlineStr">
        <is>
          <t>Released</t>
        </is>
      </c>
      <c r="K7" s="47" t="n">
        <v>46282</v>
      </c>
      <c r="L7" s="46" t="inlineStr"/>
      <c r="N7">
        <f>IF(Search!$C$4="","",IF(ISNUMBER(SEARCH(Search!$C$4,A7&amp;" "&amp;B7&amp;" "&amp;D7&amp;" "&amp;H7&amp;" "&amp;J7)),ROW(),""))</f>
        <v/>
      </c>
    </row>
    <row r="8">
      <c r="A8" s="40" t="inlineStr">
        <is>
          <t>EMP-1004</t>
        </is>
      </c>
      <c r="B8" s="41" t="inlineStr">
        <is>
          <t>Ravi Akhtar</t>
        </is>
      </c>
      <c r="C8" s="40" t="inlineStr">
        <is>
          <t>India</t>
        </is>
      </c>
      <c r="D8" s="41" t="inlineStr">
        <is>
          <t>Logistics</t>
        </is>
      </c>
      <c r="E8" s="41" t="inlineStr">
        <is>
          <t>Storekeeper</t>
        </is>
      </c>
      <c r="F8" s="40" t="inlineStr">
        <is>
          <t>Labor</t>
        </is>
      </c>
      <c r="G8" s="40" t="inlineStr">
        <is>
          <t>Blue Collar</t>
        </is>
      </c>
      <c r="H8" s="41" t="inlineStr">
        <is>
          <t>Gulf Manpower Services</t>
        </is>
      </c>
      <c r="I8" s="42" t="n">
        <v>44933</v>
      </c>
      <c r="J8" s="40" t="inlineStr">
        <is>
          <t>Active</t>
        </is>
      </c>
      <c r="K8" s="42" t="n">
        <v>46337</v>
      </c>
      <c r="L8" s="41" t="inlineStr"/>
      <c r="N8">
        <f>IF(Search!$C$4="","",IF(ISNUMBER(SEARCH(Search!$C$4,A8&amp;" "&amp;B8&amp;" "&amp;D8&amp;" "&amp;H8&amp;" "&amp;J8)),ROW(),""))</f>
        <v/>
      </c>
    </row>
    <row r="9">
      <c r="A9" s="45" t="inlineStr">
        <is>
          <t>EMP-1005</t>
        </is>
      </c>
      <c r="B9" s="46" t="inlineStr">
        <is>
          <t>Suresh Kurt</t>
        </is>
      </c>
      <c r="C9" s="45" t="inlineStr">
        <is>
          <t>India</t>
        </is>
      </c>
      <c r="D9" s="46" t="inlineStr">
        <is>
          <t>Logistics</t>
        </is>
      </c>
      <c r="E9" s="46" t="inlineStr">
        <is>
          <t>Fleet Coordinator</t>
        </is>
      </c>
      <c r="F9" s="45" t="inlineStr">
        <is>
          <t>Staff</t>
        </is>
      </c>
      <c r="G9" s="45" t="inlineStr">
        <is>
          <t>White Collar</t>
        </is>
      </c>
      <c r="H9" s="46" t="inlineStr">
        <is>
          <t>Red Sea Rental Solutions</t>
        </is>
      </c>
      <c r="I9" s="47" t="n">
        <v>45271</v>
      </c>
      <c r="J9" s="45" t="inlineStr">
        <is>
          <t>Released</t>
        </is>
      </c>
      <c r="K9" s="47" t="n">
        <v>46169</v>
      </c>
      <c r="L9" s="46" t="inlineStr"/>
      <c r="N9">
        <f>IF(Search!$C$4="","",IF(ISNUMBER(SEARCH(Search!$C$4,A9&amp;" "&amp;B9&amp;" "&amp;D9&amp;" "&amp;H9&amp;" "&amp;J9)),ROW(),""))</f>
        <v/>
      </c>
    </row>
    <row r="10">
      <c r="A10" s="40" t="inlineStr">
        <is>
          <t>EMP-1006</t>
        </is>
      </c>
      <c r="B10" s="41" t="inlineStr">
        <is>
          <t>Tariq Menon</t>
        </is>
      </c>
      <c r="C10" s="40" t="inlineStr">
        <is>
          <t>Pakistan</t>
        </is>
      </c>
      <c r="D10" s="41" t="inlineStr">
        <is>
          <t>Tunnelling</t>
        </is>
      </c>
      <c r="E10" s="41" t="inlineStr">
        <is>
          <t>Tunnel Foreman</t>
        </is>
      </c>
      <c r="F10" s="40" t="inlineStr">
        <is>
          <t>Staff</t>
        </is>
      </c>
      <c r="G10" s="40" t="inlineStr">
        <is>
          <t>White Collar</t>
        </is>
      </c>
      <c r="H10" s="41" t="inlineStr">
        <is>
          <t>Gulf Manpower Services</t>
        </is>
      </c>
      <c r="I10" s="42" t="n">
        <v>45753</v>
      </c>
      <c r="J10" s="40" t="inlineStr">
        <is>
          <t>Released</t>
        </is>
      </c>
      <c r="K10" s="42" t="n">
        <v>46154</v>
      </c>
      <c r="L10" s="41" t="inlineStr"/>
      <c r="N10">
        <f>IF(Search!$C$4="","",IF(ISNUMBER(SEARCH(Search!$C$4,A10&amp;" "&amp;B10&amp;" "&amp;D10&amp;" "&amp;H10&amp;" "&amp;J10)),ROW(),""))</f>
        <v/>
      </c>
    </row>
    <row r="11">
      <c r="A11" s="45" t="inlineStr">
        <is>
          <t>EMP-1007</t>
        </is>
      </c>
      <c r="B11" s="46" t="inlineStr">
        <is>
          <t>Vijay Cruz</t>
        </is>
      </c>
      <c r="C11" s="45" t="inlineStr">
        <is>
          <t>India</t>
        </is>
      </c>
      <c r="D11" s="46" t="inlineStr">
        <is>
          <t>Tunnelling</t>
        </is>
      </c>
      <c r="E11" s="46" t="inlineStr">
        <is>
          <t>Shift Engineer</t>
        </is>
      </c>
      <c r="F11" s="45" t="inlineStr">
        <is>
          <t>Staff</t>
        </is>
      </c>
      <c r="G11" s="45" t="inlineStr">
        <is>
          <t>White Collar</t>
        </is>
      </c>
      <c r="H11" s="46" t="inlineStr">
        <is>
          <t>Desert Horizon Contracting</t>
        </is>
      </c>
      <c r="I11" s="47" t="n">
        <v>45227</v>
      </c>
      <c r="J11" s="45" t="inlineStr">
        <is>
          <t>Active</t>
        </is>
      </c>
      <c r="K11" s="47" t="n">
        <v>46355</v>
      </c>
      <c r="L11" s="46" t="inlineStr"/>
      <c r="N11">
        <f>IF(Search!$C$4="","",IF(ISNUMBER(SEARCH(Search!$C$4,A11&amp;" "&amp;B11&amp;" "&amp;D11&amp;" "&amp;H11&amp;" "&amp;J11)),ROW(),""))</f>
        <v/>
      </c>
    </row>
    <row r="12">
      <c r="A12" s="40" t="inlineStr">
        <is>
          <t>EMP-1008</t>
        </is>
      </c>
      <c r="B12" s="41" t="inlineStr">
        <is>
          <t>Kerem Haddad</t>
        </is>
      </c>
      <c r="C12" s="40" t="inlineStr">
        <is>
          <t>Turkiye</t>
        </is>
      </c>
      <c r="D12" s="41" t="inlineStr">
        <is>
          <t>Tunnelling</t>
        </is>
      </c>
      <c r="E12" s="41" t="inlineStr">
        <is>
          <t>TBM Operator</t>
        </is>
      </c>
      <c r="F12" s="40" t="inlineStr">
        <is>
          <t>Staff</t>
        </is>
      </c>
      <c r="G12" s="40" t="inlineStr">
        <is>
          <t>White Collar</t>
        </is>
      </c>
      <c r="H12" s="41" t="inlineStr">
        <is>
          <t>Desert Horizon Contracting</t>
        </is>
      </c>
      <c r="I12" s="42" t="n">
        <v>45160</v>
      </c>
      <c r="J12" s="40" t="inlineStr">
        <is>
          <t>Active</t>
        </is>
      </c>
      <c r="K12" s="42" t="n">
        <v>46340</v>
      </c>
      <c r="L12" s="41" t="inlineStr"/>
      <c r="N12">
        <f>IF(Search!$C$4="","",IF(ISNUMBER(SEARCH(Search!$C$4,A12&amp;" "&amp;B12&amp;" "&amp;D12&amp;" "&amp;H12&amp;" "&amp;J12)),ROW(),""))</f>
        <v/>
      </c>
    </row>
    <row r="13">
      <c r="A13" s="45" t="inlineStr">
        <is>
          <t>EMP-1009</t>
        </is>
      </c>
      <c r="B13" s="46" t="inlineStr">
        <is>
          <t>Tariq Akhtar</t>
        </is>
      </c>
      <c r="C13" s="45" t="inlineStr">
        <is>
          <t>Pakistan</t>
        </is>
      </c>
      <c r="D13" s="46" t="inlineStr">
        <is>
          <t>Mechanical</t>
        </is>
      </c>
      <c r="E13" s="46" t="inlineStr">
        <is>
          <t>Fitter</t>
        </is>
      </c>
      <c r="F13" s="45" t="inlineStr">
        <is>
          <t>Labor</t>
        </is>
      </c>
      <c r="G13" s="45" t="inlineStr">
        <is>
          <t>Blue Collar</t>
        </is>
      </c>
      <c r="H13" s="46" t="inlineStr">
        <is>
          <t>Desert Horizon Contracting</t>
        </is>
      </c>
      <c r="I13" s="47" t="n">
        <v>45577</v>
      </c>
      <c r="J13" s="45" t="inlineStr">
        <is>
          <t>Active</t>
        </is>
      </c>
      <c r="K13" s="47" t="n">
        <v>46356</v>
      </c>
      <c r="L13" s="46" t="inlineStr"/>
      <c r="N13">
        <f>IF(Search!$C$4="","",IF(ISNUMBER(SEARCH(Search!$C$4,A13&amp;" "&amp;B13&amp;" "&amp;D13&amp;" "&amp;H13&amp;" "&amp;J13)),ROW(),""))</f>
        <v/>
      </c>
    </row>
    <row r="14">
      <c r="A14" s="40" t="inlineStr">
        <is>
          <t>EMP-1010</t>
        </is>
      </c>
      <c r="B14" s="41" t="inlineStr">
        <is>
          <t>Kerem Polat</t>
        </is>
      </c>
      <c r="C14" s="40" t="inlineStr">
        <is>
          <t>Turkiye</t>
        </is>
      </c>
      <c r="D14" s="41" t="inlineStr">
        <is>
          <t>Tunnelling</t>
        </is>
      </c>
      <c r="E14" s="41" t="inlineStr">
        <is>
          <t>Tunnel Foreman</t>
        </is>
      </c>
      <c r="F14" s="40" t="inlineStr">
        <is>
          <t>Staff</t>
        </is>
      </c>
      <c r="G14" s="40" t="inlineStr">
        <is>
          <t>White Collar</t>
        </is>
      </c>
      <c r="H14" s="41" t="inlineStr">
        <is>
          <t>Gulf Manpower Services</t>
        </is>
      </c>
      <c r="I14" s="42" t="n">
        <v>45626</v>
      </c>
      <c r="J14" s="40" t="inlineStr">
        <is>
          <t>Released</t>
        </is>
      </c>
      <c r="K14" s="42" t="n">
        <v>46308</v>
      </c>
      <c r="L14" s="41" t="inlineStr"/>
      <c r="N14">
        <f>IF(Search!$C$4="","",IF(ISNUMBER(SEARCH(Search!$C$4,A14&amp;" "&amp;B14&amp;" "&amp;D14&amp;" "&amp;H14&amp;" "&amp;J14)),ROW(),""))</f>
        <v/>
      </c>
    </row>
    <row r="15">
      <c r="A15" s="45" t="inlineStr">
        <is>
          <t>EMP-1011</t>
        </is>
      </c>
      <c r="B15" s="46" t="inlineStr">
        <is>
          <t>Yasir Nasser</t>
        </is>
      </c>
      <c r="C15" s="45" t="inlineStr">
        <is>
          <t>Pakistan</t>
        </is>
      </c>
      <c r="D15" s="46" t="inlineStr">
        <is>
          <t>HSE</t>
        </is>
      </c>
      <c r="E15" s="46" t="inlineStr">
        <is>
          <t>Fire Watcher</t>
        </is>
      </c>
      <c r="F15" s="45" t="inlineStr">
        <is>
          <t>Labor</t>
        </is>
      </c>
      <c r="G15" s="45" t="inlineStr">
        <is>
          <t>Blue Collar</t>
        </is>
      </c>
      <c r="H15" s="46" t="inlineStr">
        <is>
          <t>Gulf Manpower Services</t>
        </is>
      </c>
      <c r="I15" s="47" t="n">
        <v>45094</v>
      </c>
      <c r="J15" s="45" t="inlineStr">
        <is>
          <t>Released</t>
        </is>
      </c>
      <c r="K15" s="47" t="n">
        <v>46261</v>
      </c>
      <c r="L15" s="46" t="inlineStr"/>
      <c r="N15">
        <f>IF(Search!$C$4="","",IF(ISNUMBER(SEARCH(Search!$C$4,A15&amp;" "&amp;B15&amp;" "&amp;D15&amp;" "&amp;H15&amp;" "&amp;J15)),ROW(),""))</f>
        <v/>
      </c>
    </row>
    <row r="16">
      <c r="A16" s="40" t="inlineStr">
        <is>
          <t>EMP-1012</t>
        </is>
      </c>
      <c r="B16" s="41" t="inlineStr">
        <is>
          <t>Serkan Yildiz</t>
        </is>
      </c>
      <c r="C16" s="40" t="inlineStr">
        <is>
          <t>Turkiye</t>
        </is>
      </c>
      <c r="D16" s="41" t="inlineStr">
        <is>
          <t>Administration</t>
        </is>
      </c>
      <c r="E16" s="41" t="inlineStr">
        <is>
          <t>Executive Secretary</t>
        </is>
      </c>
      <c r="F16" s="40" t="inlineStr">
        <is>
          <t>Staff</t>
        </is>
      </c>
      <c r="G16" s="40" t="inlineStr">
        <is>
          <t>White Collar</t>
        </is>
      </c>
      <c r="H16" s="41" t="inlineStr">
        <is>
          <t>Gulf Manpower Services</t>
        </is>
      </c>
      <c r="I16" s="42" t="n">
        <v>45790</v>
      </c>
      <c r="J16" s="40" t="inlineStr">
        <is>
          <t>Active</t>
        </is>
      </c>
      <c r="K16" s="42" t="n">
        <v>46339</v>
      </c>
      <c r="L16" s="41" t="inlineStr"/>
      <c r="N16">
        <f>IF(Search!$C$4="","",IF(ISNUMBER(SEARCH(Search!$C$4,A16&amp;" "&amp;B16&amp;" "&amp;D16&amp;" "&amp;H16&amp;" "&amp;J16)),ROW(),""))</f>
        <v/>
      </c>
    </row>
    <row r="17">
      <c r="A17" s="45" t="inlineStr">
        <is>
          <t>EMP-1013</t>
        </is>
      </c>
      <c r="B17" s="46" t="inlineStr">
        <is>
          <t>Waqas Siddiqui</t>
        </is>
      </c>
      <c r="C17" s="45" t="inlineStr">
        <is>
          <t>Pakistan</t>
        </is>
      </c>
      <c r="D17" s="46" t="inlineStr">
        <is>
          <t>Mechanical</t>
        </is>
      </c>
      <c r="E17" s="46" t="inlineStr">
        <is>
          <t>Fitter</t>
        </is>
      </c>
      <c r="F17" s="45" t="inlineStr">
        <is>
          <t>Labor</t>
        </is>
      </c>
      <c r="G17" s="45" t="inlineStr">
        <is>
          <t>Blue Collar</t>
        </is>
      </c>
      <c r="H17" s="46" t="inlineStr">
        <is>
          <t>Desert Horizon Contracting</t>
        </is>
      </c>
      <c r="I17" s="47" t="n">
        <v>45143</v>
      </c>
      <c r="J17" s="45" t="inlineStr">
        <is>
          <t>Active</t>
        </is>
      </c>
      <c r="K17" s="47" t="n">
        <v>46376</v>
      </c>
      <c r="L17" s="46" t="inlineStr"/>
      <c r="N17">
        <f>IF(Search!$C$4="","",IF(ISNUMBER(SEARCH(Search!$C$4,A17&amp;" "&amp;B17&amp;" "&amp;D17&amp;" "&amp;H17&amp;" "&amp;J17)),ROW(),""))</f>
        <v/>
      </c>
    </row>
    <row r="18">
      <c r="A18" s="40" t="inlineStr">
        <is>
          <t>EMP-1014</t>
        </is>
      </c>
      <c r="B18" s="41" t="inlineStr">
        <is>
          <t>Emre Javed</t>
        </is>
      </c>
      <c r="C18" s="40" t="inlineStr">
        <is>
          <t>Turkiye</t>
        </is>
      </c>
      <c r="D18" s="41" t="inlineStr">
        <is>
          <t>HSE</t>
        </is>
      </c>
      <c r="E18" s="41" t="inlineStr">
        <is>
          <t>Safety Supervisor</t>
        </is>
      </c>
      <c r="F18" s="40" t="inlineStr">
        <is>
          <t>Staff</t>
        </is>
      </c>
      <c r="G18" s="40" t="inlineStr">
        <is>
          <t>White Collar</t>
        </is>
      </c>
      <c r="H18" s="41" t="inlineStr">
        <is>
          <t>Red Sea Rental Solutions</t>
        </is>
      </c>
      <c r="I18" s="42" t="n">
        <v>45585</v>
      </c>
      <c r="J18" s="40" t="inlineStr">
        <is>
          <t>Released</t>
        </is>
      </c>
      <c r="K18" s="42" t="n">
        <v>46260</v>
      </c>
      <c r="L18" s="41" t="inlineStr"/>
      <c r="N18">
        <f>IF(Search!$C$4="","",IF(ISNUMBER(SEARCH(Search!$C$4,A18&amp;" "&amp;B18&amp;" "&amp;D18&amp;" "&amp;H18&amp;" "&amp;J18)),ROW(),""))</f>
        <v/>
      </c>
    </row>
    <row r="19">
      <c r="A19" s="45" t="inlineStr">
        <is>
          <t>EMP-1015</t>
        </is>
      </c>
      <c r="B19" s="46" t="inlineStr">
        <is>
          <t>Zubair Yildiz</t>
        </is>
      </c>
      <c r="C19" s="45" t="inlineStr">
        <is>
          <t>Pakistan</t>
        </is>
      </c>
      <c r="D19" s="46" t="inlineStr">
        <is>
          <t>Tunnelling</t>
        </is>
      </c>
      <c r="E19" s="46" t="inlineStr">
        <is>
          <t>Tunnel Foreman</t>
        </is>
      </c>
      <c r="F19" s="45" t="inlineStr">
        <is>
          <t>Staff</t>
        </is>
      </c>
      <c r="G19" s="45" t="inlineStr">
        <is>
          <t>White Collar</t>
        </is>
      </c>
      <c r="H19" s="46" t="inlineStr">
        <is>
          <t>Gulf Manpower Services</t>
        </is>
      </c>
      <c r="I19" s="47" t="n">
        <v>45365</v>
      </c>
      <c r="J19" s="45" t="inlineStr">
        <is>
          <t>Active</t>
        </is>
      </c>
      <c r="K19" s="47" t="n">
        <v>46372</v>
      </c>
      <c r="L19" s="46" t="inlineStr"/>
      <c r="N19">
        <f>IF(Search!$C$4="","",IF(ISNUMBER(SEARCH(Search!$C$4,A19&amp;" "&amp;B19&amp;" "&amp;D19&amp;" "&amp;H19&amp;" "&amp;J19)),ROW(),""))</f>
        <v/>
      </c>
    </row>
    <row r="20">
      <c r="A20" s="40" t="inlineStr">
        <is>
          <t>EMP-1016</t>
        </is>
      </c>
      <c r="B20" s="41" t="inlineStr">
        <is>
          <t>Kerem Akhtar</t>
        </is>
      </c>
      <c r="C20" s="40" t="inlineStr">
        <is>
          <t>Turkiye</t>
        </is>
      </c>
      <c r="D20" s="41" t="inlineStr">
        <is>
          <t>Administration</t>
        </is>
      </c>
      <c r="E20" s="41" t="inlineStr">
        <is>
          <t>Executive Secretary</t>
        </is>
      </c>
      <c r="F20" s="40" t="inlineStr">
        <is>
          <t>Staff</t>
        </is>
      </c>
      <c r="G20" s="40" t="inlineStr">
        <is>
          <t>White Collar</t>
        </is>
      </c>
      <c r="H20" s="41" t="inlineStr">
        <is>
          <t>Anatolian Build Co.</t>
        </is>
      </c>
      <c r="I20" s="42" t="n">
        <v>45020</v>
      </c>
      <c r="J20" s="40" t="inlineStr">
        <is>
          <t>Active</t>
        </is>
      </c>
      <c r="K20" s="42" t="n">
        <v>46336</v>
      </c>
      <c r="L20" s="41" t="inlineStr">
        <is>
          <t>Extension approved</t>
        </is>
      </c>
      <c r="N20">
        <f>IF(Search!$C$4="","",IF(ISNUMBER(SEARCH(Search!$C$4,A20&amp;" "&amp;B20&amp;" "&amp;D20&amp;" "&amp;H20&amp;" "&amp;J20)),ROW(),""))</f>
        <v/>
      </c>
    </row>
    <row r="21">
      <c r="A21" s="45" t="inlineStr">
        <is>
          <t>EMP-1017</t>
        </is>
      </c>
      <c r="B21" s="46" t="inlineStr">
        <is>
          <t>Imran Mirza</t>
        </is>
      </c>
      <c r="C21" s="45" t="inlineStr">
        <is>
          <t>Pakistan</t>
        </is>
      </c>
      <c r="D21" s="46" t="inlineStr">
        <is>
          <t>HSE</t>
        </is>
      </c>
      <c r="E21" s="46" t="inlineStr">
        <is>
          <t>Fire Watcher</t>
        </is>
      </c>
      <c r="F21" s="45" t="inlineStr">
        <is>
          <t>Labor</t>
        </is>
      </c>
      <c r="G21" s="45" t="inlineStr">
        <is>
          <t>Blue Collar</t>
        </is>
      </c>
      <c r="H21" s="46" t="inlineStr">
        <is>
          <t>Anatolian Build Co.</t>
        </is>
      </c>
      <c r="I21" s="47" t="n">
        <v>44992</v>
      </c>
      <c r="J21" s="45" t="inlineStr">
        <is>
          <t>Released</t>
        </is>
      </c>
      <c r="K21" s="47" t="n">
        <v>46241</v>
      </c>
      <c r="L21" s="46" t="inlineStr"/>
      <c r="N21">
        <f>IF(Search!$C$4="","",IF(ISNUMBER(SEARCH(Search!$C$4,A21&amp;" "&amp;B21&amp;" "&amp;D21&amp;" "&amp;H21&amp;" "&amp;J21)),ROW(),""))</f>
        <v/>
      </c>
    </row>
    <row r="22">
      <c r="A22" s="40" t="inlineStr">
        <is>
          <t>EMP-1018</t>
        </is>
      </c>
      <c r="B22" s="41" t="inlineStr">
        <is>
          <t>Serkan Nasser</t>
        </is>
      </c>
      <c r="C22" s="40" t="inlineStr">
        <is>
          <t>Turkiye</t>
        </is>
      </c>
      <c r="D22" s="41" t="inlineStr">
        <is>
          <t>Administration</t>
        </is>
      </c>
      <c r="E22" s="41" t="inlineStr">
        <is>
          <t>HR Coordinator</t>
        </is>
      </c>
      <c r="F22" s="40" t="inlineStr">
        <is>
          <t>Staff</t>
        </is>
      </c>
      <c r="G22" s="40" t="inlineStr">
        <is>
          <t>White Collar</t>
        </is>
      </c>
      <c r="H22" s="41" t="inlineStr">
        <is>
          <t>Red Sea Rental Solutions</t>
        </is>
      </c>
      <c r="I22" s="42" t="n">
        <v>45808</v>
      </c>
      <c r="J22" s="40" t="inlineStr">
        <is>
          <t>Released</t>
        </is>
      </c>
      <c r="K22" s="42" t="n">
        <v>46145</v>
      </c>
      <c r="L22" s="41" t="inlineStr"/>
      <c r="N22">
        <f>IF(Search!$C$4="","",IF(ISNUMBER(SEARCH(Search!$C$4,A22&amp;" "&amp;B22&amp;" "&amp;D22&amp;" "&amp;H22&amp;" "&amp;J22)),ROW(),""))</f>
        <v/>
      </c>
    </row>
    <row r="23">
      <c r="A23" s="45" t="inlineStr">
        <is>
          <t>EMP-1019</t>
        </is>
      </c>
      <c r="B23" s="46" t="inlineStr">
        <is>
          <t>Imran Farooq</t>
        </is>
      </c>
      <c r="C23" s="45" t="inlineStr">
        <is>
          <t>Pakistan</t>
        </is>
      </c>
      <c r="D23" s="46" t="inlineStr">
        <is>
          <t>Mechanical</t>
        </is>
      </c>
      <c r="E23" s="46" t="inlineStr">
        <is>
          <t>Welder</t>
        </is>
      </c>
      <c r="F23" s="45" t="inlineStr">
        <is>
          <t>Labor</t>
        </is>
      </c>
      <c r="G23" s="45" t="inlineStr">
        <is>
          <t>Blue Collar</t>
        </is>
      </c>
      <c r="H23" s="46" t="inlineStr">
        <is>
          <t>Gulf Manpower Services</t>
        </is>
      </c>
      <c r="I23" s="47" t="n">
        <v>45275</v>
      </c>
      <c r="J23" s="45" t="inlineStr">
        <is>
          <t>Released</t>
        </is>
      </c>
      <c r="K23" s="47" t="n">
        <v>46171</v>
      </c>
      <c r="L23" s="46" t="inlineStr"/>
      <c r="N23">
        <f>IF(Search!$C$4="","",IF(ISNUMBER(SEARCH(Search!$C$4,A23&amp;" "&amp;B23&amp;" "&amp;D23&amp;" "&amp;H23&amp;" "&amp;J23)),ROW(),""))</f>
        <v/>
      </c>
    </row>
    <row r="24">
      <c r="A24" s="40" t="inlineStr">
        <is>
          <t>EMP-1020</t>
        </is>
      </c>
      <c r="B24" s="41" t="inlineStr">
        <is>
          <t>Danish Rao</t>
        </is>
      </c>
      <c r="C24" s="40" t="inlineStr">
        <is>
          <t>Pakistan</t>
        </is>
      </c>
      <c r="D24" s="41" t="inlineStr">
        <is>
          <t>Tunnelling</t>
        </is>
      </c>
      <c r="E24" s="41" t="inlineStr">
        <is>
          <t>TBM Operator</t>
        </is>
      </c>
      <c r="F24" s="40" t="inlineStr">
        <is>
          <t>Staff</t>
        </is>
      </c>
      <c r="G24" s="40" t="inlineStr">
        <is>
          <t>White Collar</t>
        </is>
      </c>
      <c r="H24" s="41" t="inlineStr">
        <is>
          <t>Red Sea Rental Solutions</t>
        </is>
      </c>
      <c r="I24" s="42" t="n">
        <v>45823</v>
      </c>
      <c r="J24" s="40" t="inlineStr">
        <is>
          <t>Active</t>
        </is>
      </c>
      <c r="K24" s="42" t="n">
        <v>46327</v>
      </c>
      <c r="L24" s="41" t="inlineStr"/>
      <c r="N24">
        <f>IF(Search!$C$4="","",IF(ISNUMBER(SEARCH(Search!$C$4,A24&amp;" "&amp;B24&amp;" "&amp;D24&amp;" "&amp;H24&amp;" "&amp;J24)),ROW(),""))</f>
        <v/>
      </c>
    </row>
    <row r="25">
      <c r="A25" s="45" t="inlineStr">
        <is>
          <t>EMP-1021</t>
        </is>
      </c>
      <c r="B25" s="46" t="inlineStr">
        <is>
          <t>Ramon Aslam</t>
        </is>
      </c>
      <c r="C25" s="45" t="inlineStr">
        <is>
          <t>Philippines</t>
        </is>
      </c>
      <c r="D25" s="46" t="inlineStr">
        <is>
          <t>QA/QC</t>
        </is>
      </c>
      <c r="E25" s="46" t="inlineStr">
        <is>
          <t>QC Inspector</t>
        </is>
      </c>
      <c r="F25" s="45" t="inlineStr">
        <is>
          <t>Staff</t>
        </is>
      </c>
      <c r="G25" s="45" t="inlineStr">
        <is>
          <t>White Collar</t>
        </is>
      </c>
      <c r="H25" s="46" t="inlineStr">
        <is>
          <t>Red Sea Rental Solutions</t>
        </is>
      </c>
      <c r="I25" s="47" t="n">
        <v>45232</v>
      </c>
      <c r="J25" s="45" t="inlineStr">
        <is>
          <t>Active</t>
        </is>
      </c>
      <c r="K25" s="47" t="n">
        <v>46358</v>
      </c>
      <c r="L25" s="46" t="inlineStr"/>
      <c r="N25">
        <f>IF(Search!$C$4="","",IF(ISNUMBER(SEARCH(Search!$C$4,A25&amp;" "&amp;B25&amp;" "&amp;D25&amp;" "&amp;H25&amp;" "&amp;J25)),ROW(),""))</f>
        <v/>
      </c>
    </row>
    <row r="26">
      <c r="A26" s="40" t="inlineStr">
        <is>
          <t>EMP-1022</t>
        </is>
      </c>
      <c r="B26" s="41" t="inlineStr">
        <is>
          <t>Khalid Javed</t>
        </is>
      </c>
      <c r="C26" s="40" t="inlineStr">
        <is>
          <t>Saudi Arabia</t>
        </is>
      </c>
      <c r="D26" s="41" t="inlineStr">
        <is>
          <t>Tunnelling</t>
        </is>
      </c>
      <c r="E26" s="41" t="inlineStr">
        <is>
          <t>Segment Erector</t>
        </is>
      </c>
      <c r="F26" s="40" t="inlineStr">
        <is>
          <t>Labor</t>
        </is>
      </c>
      <c r="G26" s="40" t="inlineStr">
        <is>
          <t>Blue Collar</t>
        </is>
      </c>
      <c r="H26" s="41" t="inlineStr">
        <is>
          <t>Anatolian Build Co.</t>
        </is>
      </c>
      <c r="I26" s="42" t="n">
        <v>45724</v>
      </c>
      <c r="J26" s="40" t="inlineStr">
        <is>
          <t>Active</t>
        </is>
      </c>
      <c r="K26" s="42" t="n">
        <v>46379</v>
      </c>
      <c r="L26" s="41" t="inlineStr"/>
      <c r="N26">
        <f>IF(Search!$C$4="","",IF(ISNUMBER(SEARCH(Search!$C$4,A26&amp;" "&amp;B26&amp;" "&amp;D26&amp;" "&amp;H26&amp;" "&amp;J26)),ROW(),""))</f>
        <v/>
      </c>
    </row>
    <row r="27">
      <c r="A27" s="45" t="inlineStr">
        <is>
          <t>EMP-1023</t>
        </is>
      </c>
      <c r="B27" s="46" t="inlineStr">
        <is>
          <t>Adnan Nasser</t>
        </is>
      </c>
      <c r="C27" s="45" t="inlineStr">
        <is>
          <t>Pakistan</t>
        </is>
      </c>
      <c r="D27" s="46" t="inlineStr">
        <is>
          <t>Logistics</t>
        </is>
      </c>
      <c r="E27" s="46" t="inlineStr">
        <is>
          <t>Driver</t>
        </is>
      </c>
      <c r="F27" s="45" t="inlineStr">
        <is>
          <t>Labor</t>
        </is>
      </c>
      <c r="G27" s="45" t="inlineStr">
        <is>
          <t>Blue Collar</t>
        </is>
      </c>
      <c r="H27" s="46" t="inlineStr">
        <is>
          <t>Desert Horizon Contracting</t>
        </is>
      </c>
      <c r="I27" s="47" t="n">
        <v>45298</v>
      </c>
      <c r="J27" s="45" t="inlineStr">
        <is>
          <t>Active</t>
        </is>
      </c>
      <c r="K27" s="47" t="n">
        <v>46367</v>
      </c>
      <c r="L27" s="46" t="inlineStr"/>
      <c r="N27">
        <f>IF(Search!$C$4="","",IF(ISNUMBER(SEARCH(Search!$C$4,A27&amp;" "&amp;B27&amp;" "&amp;D27&amp;" "&amp;H27&amp;" "&amp;J27)),ROW(),""))</f>
        <v/>
      </c>
    </row>
    <row r="28">
      <c r="A28" s="40" t="inlineStr">
        <is>
          <t>EMP-1024</t>
        </is>
      </c>
      <c r="B28" s="41" t="inlineStr">
        <is>
          <t>Irfan Akhtar</t>
        </is>
      </c>
      <c r="C28" s="40" t="inlineStr">
        <is>
          <t>Pakistan</t>
        </is>
      </c>
      <c r="D28" s="41" t="inlineStr">
        <is>
          <t>Tunnelling</t>
        </is>
      </c>
      <c r="E28" s="41" t="inlineStr">
        <is>
          <t>TBM Operator</t>
        </is>
      </c>
      <c r="F28" s="40" t="inlineStr">
        <is>
          <t>Staff</t>
        </is>
      </c>
      <c r="G28" s="40" t="inlineStr">
        <is>
          <t>White Collar</t>
        </is>
      </c>
      <c r="H28" s="41" t="inlineStr">
        <is>
          <t>Desert Horizon Contracting</t>
        </is>
      </c>
      <c r="I28" s="42" t="n">
        <v>45424</v>
      </c>
      <c r="J28" s="40" t="inlineStr">
        <is>
          <t>Active</t>
        </is>
      </c>
      <c r="K28" s="42" t="n">
        <v>46351</v>
      </c>
      <c r="L28" s="41" t="inlineStr">
        <is>
          <t>Extension approved</t>
        </is>
      </c>
      <c r="N28">
        <f>IF(Search!$C$4="","",IF(ISNUMBER(SEARCH(Search!$C$4,A28&amp;" "&amp;B28&amp;" "&amp;D28&amp;" "&amp;H28&amp;" "&amp;J28)),ROW(),""))</f>
        <v/>
      </c>
    </row>
    <row r="29">
      <c r="A29" s="45" t="inlineStr">
        <is>
          <t>EMP-1025</t>
        </is>
      </c>
      <c r="B29" s="46" t="inlineStr">
        <is>
          <t>Samir Mirza</t>
        </is>
      </c>
      <c r="C29" s="45" t="inlineStr">
        <is>
          <t>Egypt</t>
        </is>
      </c>
      <c r="D29" s="46" t="inlineStr">
        <is>
          <t>Tunnelling</t>
        </is>
      </c>
      <c r="E29" s="46" t="inlineStr">
        <is>
          <t>Shift Engineer</t>
        </is>
      </c>
      <c r="F29" s="45" t="inlineStr">
        <is>
          <t>Staff</t>
        </is>
      </c>
      <c r="G29" s="45" t="inlineStr">
        <is>
          <t>White Collar</t>
        </is>
      </c>
      <c r="H29" s="46" t="inlineStr">
        <is>
          <t>Red Sea Rental Solutions</t>
        </is>
      </c>
      <c r="I29" s="47" t="n">
        <v>45096</v>
      </c>
      <c r="J29" s="45" t="inlineStr">
        <is>
          <t>Released</t>
        </is>
      </c>
      <c r="K29" s="47" t="n">
        <v>46210</v>
      </c>
      <c r="L29" s="46" t="inlineStr"/>
      <c r="N29">
        <f>IF(Search!$C$4="","",IF(ISNUMBER(SEARCH(Search!$C$4,A29&amp;" "&amp;B29&amp;" "&amp;D29&amp;" "&amp;H29&amp;" "&amp;J29)),ROW(),""))</f>
        <v/>
      </c>
    </row>
    <row r="30">
      <c r="A30" s="40" t="inlineStr">
        <is>
          <t>EMP-1026</t>
        </is>
      </c>
      <c r="B30" s="41" t="inlineStr">
        <is>
          <t>Jose Nasser</t>
        </is>
      </c>
      <c r="C30" s="40" t="inlineStr">
        <is>
          <t>Philippines</t>
        </is>
      </c>
      <c r="D30" s="41" t="inlineStr">
        <is>
          <t>Logistics</t>
        </is>
      </c>
      <c r="E30" s="41" t="inlineStr">
        <is>
          <t>Fleet Coordinator</t>
        </is>
      </c>
      <c r="F30" s="40" t="inlineStr">
        <is>
          <t>Staff</t>
        </is>
      </c>
      <c r="G30" s="40" t="inlineStr">
        <is>
          <t>White Collar</t>
        </is>
      </c>
      <c r="H30" s="41" t="inlineStr">
        <is>
          <t>Red Sea Rental Solutions</t>
        </is>
      </c>
      <c r="I30" s="42" t="n">
        <v>45700</v>
      </c>
      <c r="J30" s="40" t="inlineStr">
        <is>
          <t>Active</t>
        </is>
      </c>
      <c r="K30" s="42" t="n">
        <v>46329</v>
      </c>
      <c r="L30" s="41" t="inlineStr"/>
      <c r="N30">
        <f>IF(Search!$C$4="","",IF(ISNUMBER(SEARCH(Search!$C$4,A30&amp;" "&amp;B30&amp;" "&amp;D30&amp;" "&amp;H30&amp;" "&amp;J30)),ROW(),""))</f>
        <v/>
      </c>
    </row>
    <row r="31">
      <c r="A31" s="45" t="inlineStr">
        <is>
          <t>EMP-1027</t>
        </is>
      </c>
      <c r="B31" s="46" t="inlineStr">
        <is>
          <t>Irfan Menon</t>
        </is>
      </c>
      <c r="C31" s="45" t="inlineStr">
        <is>
          <t>Pakistan</t>
        </is>
      </c>
      <c r="D31" s="46" t="inlineStr">
        <is>
          <t>Administration</t>
        </is>
      </c>
      <c r="E31" s="46" t="inlineStr">
        <is>
          <t>HR Coordinator</t>
        </is>
      </c>
      <c r="F31" s="45" t="inlineStr">
        <is>
          <t>Staff</t>
        </is>
      </c>
      <c r="G31" s="45" t="inlineStr">
        <is>
          <t>White Collar</t>
        </is>
      </c>
      <c r="H31" s="46" t="inlineStr">
        <is>
          <t>Anatolian Build Co.</t>
        </is>
      </c>
      <c r="I31" s="47" t="n">
        <v>45456</v>
      </c>
      <c r="J31" s="45" t="inlineStr">
        <is>
          <t>Released</t>
        </is>
      </c>
      <c r="K31" s="47" t="n">
        <v>46258</v>
      </c>
      <c r="L31" s="46" t="inlineStr"/>
      <c r="N31">
        <f>IF(Search!$C$4="","",IF(ISNUMBER(SEARCH(Search!$C$4,A31&amp;" "&amp;B31&amp;" "&amp;D31&amp;" "&amp;H31&amp;" "&amp;J31)),ROW(),""))</f>
        <v/>
      </c>
    </row>
    <row r="32">
      <c r="A32" s="40" t="inlineStr">
        <is>
          <t>EMP-1028</t>
        </is>
      </c>
      <c r="B32" s="41" t="inlineStr">
        <is>
          <t>Imran Akhtar</t>
        </is>
      </c>
      <c r="C32" s="40" t="inlineStr">
        <is>
          <t>Pakistan</t>
        </is>
      </c>
      <c r="D32" s="41" t="inlineStr">
        <is>
          <t>Tunnelling</t>
        </is>
      </c>
      <c r="E32" s="41" t="inlineStr">
        <is>
          <t>Tunnel Foreman</t>
        </is>
      </c>
      <c r="F32" s="40" t="inlineStr">
        <is>
          <t>Staff</t>
        </is>
      </c>
      <c r="G32" s="40" t="inlineStr">
        <is>
          <t>White Collar</t>
        </is>
      </c>
      <c r="H32" s="41" t="inlineStr">
        <is>
          <t>Desert Horizon Contracting</t>
        </is>
      </c>
      <c r="I32" s="42" t="n">
        <v>45494</v>
      </c>
      <c r="J32" s="40" t="inlineStr">
        <is>
          <t>Released</t>
        </is>
      </c>
      <c r="K32" s="42" t="n">
        <v>46201</v>
      </c>
      <c r="L32" s="41" t="inlineStr"/>
      <c r="N32">
        <f>IF(Search!$C$4="","",IF(ISNUMBER(SEARCH(Search!$C$4,A32&amp;" "&amp;B32&amp;" "&amp;D32&amp;" "&amp;H32&amp;" "&amp;J32)),ROW(),""))</f>
        <v/>
      </c>
    </row>
    <row r="33">
      <c r="A33" s="45" t="inlineStr">
        <is>
          <t>EMP-1029</t>
        </is>
      </c>
      <c r="B33" s="46" t="inlineStr">
        <is>
          <t>Omar Akhtar</t>
        </is>
      </c>
      <c r="C33" s="45" t="inlineStr">
        <is>
          <t>Saudi Arabia</t>
        </is>
      </c>
      <c r="D33" s="46" t="inlineStr">
        <is>
          <t>Tunnelling</t>
        </is>
      </c>
      <c r="E33" s="46" t="inlineStr">
        <is>
          <t>TBM Operator</t>
        </is>
      </c>
      <c r="F33" s="45" t="inlineStr">
        <is>
          <t>Staff</t>
        </is>
      </c>
      <c r="G33" s="45" t="inlineStr">
        <is>
          <t>White Collar</t>
        </is>
      </c>
      <c r="H33" s="46" t="inlineStr">
        <is>
          <t>Desert Horizon Contracting</t>
        </is>
      </c>
      <c r="I33" s="47" t="n">
        <v>44959</v>
      </c>
      <c r="J33" s="45" t="inlineStr">
        <is>
          <t>Active</t>
        </is>
      </c>
      <c r="K33" s="47" t="n">
        <v>46363</v>
      </c>
      <c r="L33" s="46" t="inlineStr"/>
      <c r="N33">
        <f>IF(Search!$C$4="","",IF(ISNUMBER(SEARCH(Search!$C$4,A33&amp;" "&amp;B33&amp;" "&amp;D33&amp;" "&amp;H33&amp;" "&amp;J33)),ROW(),""))</f>
        <v/>
      </c>
    </row>
    <row r="34">
      <c r="A34" s="40" t="inlineStr">
        <is>
          <t>EMP-1030</t>
        </is>
      </c>
      <c r="B34" s="41" t="inlineStr">
        <is>
          <t>Ramon Akhtar</t>
        </is>
      </c>
      <c r="C34" s="40" t="inlineStr">
        <is>
          <t>Philippines</t>
        </is>
      </c>
      <c r="D34" s="41" t="inlineStr">
        <is>
          <t>Logistics</t>
        </is>
      </c>
      <c r="E34" s="41" t="inlineStr">
        <is>
          <t>Logistics Clerk</t>
        </is>
      </c>
      <c r="F34" s="40" t="inlineStr">
        <is>
          <t>Staff</t>
        </is>
      </c>
      <c r="G34" s="40" t="inlineStr">
        <is>
          <t>White Collar</t>
        </is>
      </c>
      <c r="H34" s="41" t="inlineStr">
        <is>
          <t>Desert Horizon Contracting</t>
        </is>
      </c>
      <c r="I34" s="42" t="n">
        <v>45062</v>
      </c>
      <c r="J34" s="40" t="inlineStr">
        <is>
          <t>Active</t>
        </is>
      </c>
      <c r="K34" s="42" t="n">
        <v>46328</v>
      </c>
      <c r="L34" s="41" t="inlineStr"/>
      <c r="N34">
        <f>IF(Search!$C$4="","",IF(ISNUMBER(SEARCH(Search!$C$4,A34&amp;" "&amp;B34&amp;" "&amp;D34&amp;" "&amp;H34&amp;" "&amp;J34)),ROW(),""))</f>
        <v/>
      </c>
    </row>
    <row r="35">
      <c r="A35" s="45" t="inlineStr">
        <is>
          <t>EMP-1031</t>
        </is>
      </c>
      <c r="B35" s="46" t="inlineStr">
        <is>
          <t>Ahmed Haddad</t>
        </is>
      </c>
      <c r="C35" s="45" t="inlineStr">
        <is>
          <t>Egypt</t>
        </is>
      </c>
      <c r="D35" s="46" t="inlineStr">
        <is>
          <t>Logistics</t>
        </is>
      </c>
      <c r="E35" s="46" t="inlineStr">
        <is>
          <t>Logistics Clerk</t>
        </is>
      </c>
      <c r="F35" s="45" t="inlineStr">
        <is>
          <t>Staff</t>
        </is>
      </c>
      <c r="G35" s="45" t="inlineStr">
        <is>
          <t>White Collar</t>
        </is>
      </c>
      <c r="H35" s="46" t="inlineStr">
        <is>
          <t>Gulf Manpower Services</t>
        </is>
      </c>
      <c r="I35" s="47" t="n">
        <v>45121</v>
      </c>
      <c r="J35" s="45" t="inlineStr">
        <is>
          <t>Released</t>
        </is>
      </c>
      <c r="K35" s="47" t="n">
        <v>46167</v>
      </c>
      <c r="L35" s="46" t="inlineStr"/>
      <c r="N35">
        <f>IF(Search!$C$4="","",IF(ISNUMBER(SEARCH(Search!$C$4,A35&amp;" "&amp;B35&amp;" "&amp;D35&amp;" "&amp;H35&amp;" "&amp;J35)),ROW(),""))</f>
        <v/>
      </c>
    </row>
    <row r="36">
      <c r="A36" s="40" t="inlineStr">
        <is>
          <t>EMP-1032</t>
        </is>
      </c>
      <c r="B36" s="41" t="inlineStr">
        <is>
          <t>Hamza Farooq</t>
        </is>
      </c>
      <c r="C36" s="40" t="inlineStr">
        <is>
          <t>Pakistan</t>
        </is>
      </c>
      <c r="D36" s="41" t="inlineStr">
        <is>
          <t>Logistics</t>
        </is>
      </c>
      <c r="E36" s="41" t="inlineStr">
        <is>
          <t>Logistics Clerk</t>
        </is>
      </c>
      <c r="F36" s="40" t="inlineStr">
        <is>
          <t>Staff</t>
        </is>
      </c>
      <c r="G36" s="40" t="inlineStr">
        <is>
          <t>White Collar</t>
        </is>
      </c>
      <c r="H36" s="41" t="inlineStr">
        <is>
          <t>Desert Horizon Contracting</t>
        </is>
      </c>
      <c r="I36" s="42" t="n">
        <v>45811</v>
      </c>
      <c r="J36" s="40" t="inlineStr">
        <is>
          <t>Active</t>
        </is>
      </c>
      <c r="K36" s="42" t="n">
        <v>46329</v>
      </c>
      <c r="L36" s="41" t="inlineStr">
        <is>
          <t>Extension approved</t>
        </is>
      </c>
      <c r="N36">
        <f>IF(Search!$C$4="","",IF(ISNUMBER(SEARCH(Search!$C$4,A36&amp;" "&amp;B36&amp;" "&amp;D36&amp;" "&amp;H36&amp;" "&amp;J36)),ROW(),""))</f>
        <v/>
      </c>
    </row>
    <row r="37">
      <c r="A37" s="45" t="inlineStr">
        <is>
          <t>EMP-1033</t>
        </is>
      </c>
      <c r="B37" s="46" t="inlineStr">
        <is>
          <t>Hamza Siddiqui</t>
        </is>
      </c>
      <c r="C37" s="45" t="inlineStr">
        <is>
          <t>Pakistan</t>
        </is>
      </c>
      <c r="D37" s="46" t="inlineStr">
        <is>
          <t>Logistics</t>
        </is>
      </c>
      <c r="E37" s="46" t="inlineStr">
        <is>
          <t>Storekeeper</t>
        </is>
      </c>
      <c r="F37" s="45" t="inlineStr">
        <is>
          <t>Labor</t>
        </is>
      </c>
      <c r="G37" s="45" t="inlineStr">
        <is>
          <t>Blue Collar</t>
        </is>
      </c>
      <c r="H37" s="46" t="inlineStr">
        <is>
          <t>Gulf Manpower Services</t>
        </is>
      </c>
      <c r="I37" s="47" t="n">
        <v>45038</v>
      </c>
      <c r="J37" s="45" t="inlineStr">
        <is>
          <t>Released</t>
        </is>
      </c>
      <c r="K37" s="47" t="n">
        <v>46206</v>
      </c>
      <c r="L37" s="46" t="inlineStr"/>
      <c r="N37">
        <f>IF(Search!$C$4="","",IF(ISNUMBER(SEARCH(Search!$C$4,A37&amp;" "&amp;B37&amp;" "&amp;D37&amp;" "&amp;H37&amp;" "&amp;J37)),ROW(),""))</f>
        <v/>
      </c>
    </row>
    <row r="38">
      <c r="A38" s="40" t="inlineStr">
        <is>
          <t>EMP-1034</t>
        </is>
      </c>
      <c r="B38" s="41" t="inlineStr">
        <is>
          <t>Usman Javed</t>
        </is>
      </c>
      <c r="C38" s="40" t="inlineStr">
        <is>
          <t>Pakistan</t>
        </is>
      </c>
      <c r="D38" s="41" t="inlineStr">
        <is>
          <t>QA/QC</t>
        </is>
      </c>
      <c r="E38" s="41" t="inlineStr">
        <is>
          <t>QC Inspector</t>
        </is>
      </c>
      <c r="F38" s="40" t="inlineStr">
        <is>
          <t>Staff</t>
        </is>
      </c>
      <c r="G38" s="40" t="inlineStr">
        <is>
          <t>White Collar</t>
        </is>
      </c>
      <c r="H38" s="41" t="inlineStr">
        <is>
          <t>Anatolian Build Co.</t>
        </is>
      </c>
      <c r="I38" s="42" t="n">
        <v>45212</v>
      </c>
      <c r="J38" s="40" t="inlineStr">
        <is>
          <t>Released</t>
        </is>
      </c>
      <c r="K38" s="42" t="n">
        <v>46261</v>
      </c>
      <c r="L38" s="41" t="inlineStr"/>
      <c r="N38">
        <f>IF(Search!$C$4="","",IF(ISNUMBER(SEARCH(Search!$C$4,A38&amp;" "&amp;B38&amp;" "&amp;D38&amp;" "&amp;H38&amp;" "&amp;J38)),ROW(),""))</f>
        <v/>
      </c>
    </row>
    <row r="39">
      <c r="A39" s="45" t="inlineStr">
        <is>
          <t>EMP-1035</t>
        </is>
      </c>
      <c r="B39" s="46" t="inlineStr">
        <is>
          <t>Adeel Haider</t>
        </is>
      </c>
      <c r="C39" s="45" t="inlineStr">
        <is>
          <t>Pakistan</t>
        </is>
      </c>
      <c r="D39" s="46" t="inlineStr">
        <is>
          <t>Logistics</t>
        </is>
      </c>
      <c r="E39" s="46" t="inlineStr">
        <is>
          <t>Driver</t>
        </is>
      </c>
      <c r="F39" s="45" t="inlineStr">
        <is>
          <t>Labor</t>
        </is>
      </c>
      <c r="G39" s="45" t="inlineStr">
        <is>
          <t>Blue Collar</t>
        </is>
      </c>
      <c r="H39" s="46" t="inlineStr">
        <is>
          <t>Desert Horizon Contracting</t>
        </is>
      </c>
      <c r="I39" s="47" t="n">
        <v>45480</v>
      </c>
      <c r="J39" s="45" t="inlineStr">
        <is>
          <t>Active</t>
        </is>
      </c>
      <c r="K39" s="47" t="n">
        <v>46357</v>
      </c>
      <c r="L39" s="46" t="inlineStr">
        <is>
          <t>Extension approved</t>
        </is>
      </c>
      <c r="N39">
        <f>IF(Search!$C$4="","",IF(ISNUMBER(SEARCH(Search!$C$4,A39&amp;" "&amp;B39&amp;" "&amp;D39&amp;" "&amp;H39&amp;" "&amp;J39)),ROW(),""))</f>
        <v/>
      </c>
    </row>
    <row r="40">
      <c r="A40" s="40" t="inlineStr">
        <is>
          <t>EMP-1036</t>
        </is>
      </c>
      <c r="B40" s="41" t="inlineStr">
        <is>
          <t>Tariq Akhtar</t>
        </is>
      </c>
      <c r="C40" s="40" t="inlineStr">
        <is>
          <t>Pakistan</t>
        </is>
      </c>
      <c r="D40" s="41" t="inlineStr">
        <is>
          <t>Tunnelling</t>
        </is>
      </c>
      <c r="E40" s="41" t="inlineStr">
        <is>
          <t>Shift Engineer</t>
        </is>
      </c>
      <c r="F40" s="40" t="inlineStr">
        <is>
          <t>Staff</t>
        </is>
      </c>
      <c r="G40" s="40" t="inlineStr">
        <is>
          <t>White Collar</t>
        </is>
      </c>
      <c r="H40" s="41" t="inlineStr">
        <is>
          <t>Anatolian Build Co.</t>
        </is>
      </c>
      <c r="I40" s="42" t="n">
        <v>45812</v>
      </c>
      <c r="J40" s="40" t="inlineStr">
        <is>
          <t>Released</t>
        </is>
      </c>
      <c r="K40" s="42" t="n">
        <v>46245</v>
      </c>
      <c r="L40" s="41" t="inlineStr"/>
      <c r="N40">
        <f>IF(Search!$C$4="","",IF(ISNUMBER(SEARCH(Search!$C$4,A40&amp;" "&amp;B40&amp;" "&amp;D40&amp;" "&amp;H40&amp;" "&amp;J40)),ROW(),""))</f>
        <v/>
      </c>
    </row>
    <row r="41">
      <c r="A41" s="45" t="inlineStr">
        <is>
          <t>EMP-1037</t>
        </is>
      </c>
      <c r="B41" s="46" t="inlineStr">
        <is>
          <t>Faisal Aslam</t>
        </is>
      </c>
      <c r="C41" s="45" t="inlineStr">
        <is>
          <t>Pakistan</t>
        </is>
      </c>
      <c r="D41" s="46" t="inlineStr">
        <is>
          <t>Logistics</t>
        </is>
      </c>
      <c r="E41" s="46" t="inlineStr">
        <is>
          <t>Logistics Clerk</t>
        </is>
      </c>
      <c r="F41" s="45" t="inlineStr">
        <is>
          <t>Staff</t>
        </is>
      </c>
      <c r="G41" s="45" t="inlineStr">
        <is>
          <t>White Collar</t>
        </is>
      </c>
      <c r="H41" s="46" t="inlineStr">
        <is>
          <t>Desert Horizon Contracting</t>
        </is>
      </c>
      <c r="I41" s="47" t="n">
        <v>45729</v>
      </c>
      <c r="J41" s="45" t="inlineStr">
        <is>
          <t>Active</t>
        </is>
      </c>
      <c r="K41" s="47" t="n">
        <v>46343</v>
      </c>
      <c r="L41" s="46" t="inlineStr"/>
      <c r="N41">
        <f>IF(Search!$C$4="","",IF(ISNUMBER(SEARCH(Search!$C$4,A41&amp;" "&amp;B41&amp;" "&amp;D41&amp;" "&amp;H41&amp;" "&amp;J41)),ROW(),""))</f>
        <v/>
      </c>
    </row>
    <row r="42">
      <c r="A42" s="40" t="inlineStr">
        <is>
          <t>EMP-1038</t>
        </is>
      </c>
      <c r="B42" s="41" t="inlineStr">
        <is>
          <t>Suresh Latif</t>
        </is>
      </c>
      <c r="C42" s="40" t="inlineStr">
        <is>
          <t>India</t>
        </is>
      </c>
      <c r="D42" s="41" t="inlineStr">
        <is>
          <t>Administration</t>
        </is>
      </c>
      <c r="E42" s="41" t="inlineStr">
        <is>
          <t>Timekeeper</t>
        </is>
      </c>
      <c r="F42" s="40" t="inlineStr">
        <is>
          <t>Staff</t>
        </is>
      </c>
      <c r="G42" s="40" t="inlineStr">
        <is>
          <t>White Collar</t>
        </is>
      </c>
      <c r="H42" s="41" t="inlineStr">
        <is>
          <t>Desert Horizon Contracting</t>
        </is>
      </c>
      <c r="I42" s="42" t="n">
        <v>45230</v>
      </c>
      <c r="J42" s="40" t="inlineStr">
        <is>
          <t>Released</t>
        </is>
      </c>
      <c r="K42" s="42" t="n">
        <v>46198</v>
      </c>
      <c r="L42" s="41" t="inlineStr"/>
      <c r="N42">
        <f>IF(Search!$C$4="","",IF(ISNUMBER(SEARCH(Search!$C$4,A42&amp;" "&amp;B42&amp;" "&amp;D42&amp;" "&amp;H42&amp;" "&amp;J42)),ROW(),""))</f>
        <v/>
      </c>
    </row>
    <row r="43">
      <c r="A43" s="45" t="inlineStr">
        <is>
          <t>EMP-1039</t>
        </is>
      </c>
      <c r="B43" s="46" t="inlineStr">
        <is>
          <t>Faisal Haddad</t>
        </is>
      </c>
      <c r="C43" s="45" t="inlineStr">
        <is>
          <t>Pakistan</t>
        </is>
      </c>
      <c r="D43" s="46" t="inlineStr">
        <is>
          <t>Mechanical</t>
        </is>
      </c>
      <c r="E43" s="46" t="inlineStr">
        <is>
          <t>Mechanic</t>
        </is>
      </c>
      <c r="F43" s="45" t="inlineStr">
        <is>
          <t>Staff</t>
        </is>
      </c>
      <c r="G43" s="45" t="inlineStr">
        <is>
          <t>White Collar</t>
        </is>
      </c>
      <c r="H43" s="46" t="inlineStr">
        <is>
          <t>Gulf Manpower Services</t>
        </is>
      </c>
      <c r="I43" s="47" t="n">
        <v>44985</v>
      </c>
      <c r="J43" s="45" t="inlineStr">
        <is>
          <t>Released</t>
        </is>
      </c>
      <c r="K43" s="47" t="n">
        <v>46155</v>
      </c>
      <c r="L43" s="46" t="inlineStr"/>
      <c r="N43">
        <f>IF(Search!$C$4="","",IF(ISNUMBER(SEARCH(Search!$C$4,A43&amp;" "&amp;B43&amp;" "&amp;D43&amp;" "&amp;H43&amp;" "&amp;J43)),ROW(),""))</f>
        <v/>
      </c>
    </row>
    <row r="44">
      <c r="A44" s="40" t="inlineStr">
        <is>
          <t>EMP-1040</t>
        </is>
      </c>
      <c r="B44" s="41" t="inlineStr">
        <is>
          <t>Omar Santos</t>
        </is>
      </c>
      <c r="C44" s="40" t="inlineStr">
        <is>
          <t>Saudi Arabia</t>
        </is>
      </c>
      <c r="D44" s="41" t="inlineStr">
        <is>
          <t>QA/QC</t>
        </is>
      </c>
      <c r="E44" s="41" t="inlineStr">
        <is>
          <t>Document Controller</t>
        </is>
      </c>
      <c r="F44" s="40" t="inlineStr">
        <is>
          <t>Staff</t>
        </is>
      </c>
      <c r="G44" s="40" t="inlineStr">
        <is>
          <t>White Collar</t>
        </is>
      </c>
      <c r="H44" s="41" t="inlineStr">
        <is>
          <t>Desert Horizon Contracting</t>
        </is>
      </c>
      <c r="I44" s="42" t="n">
        <v>45447</v>
      </c>
      <c r="J44" s="40" t="inlineStr">
        <is>
          <t>Released</t>
        </is>
      </c>
      <c r="K44" s="42" t="n">
        <v>46163</v>
      </c>
      <c r="L44" s="41" t="inlineStr"/>
      <c r="N44">
        <f>IF(Search!$C$4="","",IF(ISNUMBER(SEARCH(Search!$C$4,A44&amp;" "&amp;B44&amp;" "&amp;D44&amp;" "&amp;H44&amp;" "&amp;J44)),ROW(),""))</f>
        <v/>
      </c>
    </row>
    <row r="45">
      <c r="A45" s="45" t="inlineStr">
        <is>
          <t>EMP-1041</t>
        </is>
      </c>
      <c r="B45" s="46" t="inlineStr">
        <is>
          <t>Rizwan Haider</t>
        </is>
      </c>
      <c r="C45" s="45" t="inlineStr">
        <is>
          <t>Pakistan</t>
        </is>
      </c>
      <c r="D45" s="46" t="inlineStr">
        <is>
          <t>QA/QC</t>
        </is>
      </c>
      <c r="E45" s="46" t="inlineStr">
        <is>
          <t>Document Controller</t>
        </is>
      </c>
      <c r="F45" s="45" t="inlineStr">
        <is>
          <t>Staff</t>
        </is>
      </c>
      <c r="G45" s="45" t="inlineStr">
        <is>
          <t>White Collar</t>
        </is>
      </c>
      <c r="H45" s="46" t="inlineStr">
        <is>
          <t>Red Sea Rental Solutions</t>
        </is>
      </c>
      <c r="I45" s="47" t="n">
        <v>45340</v>
      </c>
      <c r="J45" s="45" t="inlineStr">
        <is>
          <t>Released</t>
        </is>
      </c>
      <c r="K45" s="47" t="n">
        <v>46173</v>
      </c>
      <c r="L45" s="46" t="inlineStr"/>
      <c r="N45">
        <f>IF(Search!$C$4="","",IF(ISNUMBER(SEARCH(Search!$C$4,A45&amp;" "&amp;B45&amp;" "&amp;D45&amp;" "&amp;H45&amp;" "&amp;J45)),ROW(),""))</f>
        <v/>
      </c>
    </row>
    <row r="46">
      <c r="A46" s="40" t="inlineStr">
        <is>
          <t>EMP-1042</t>
        </is>
      </c>
      <c r="B46" s="41" t="inlineStr">
        <is>
          <t>Ahmed Akhtar</t>
        </is>
      </c>
      <c r="C46" s="40" t="inlineStr">
        <is>
          <t>Egypt</t>
        </is>
      </c>
      <c r="D46" s="41" t="inlineStr">
        <is>
          <t>QA/QC</t>
        </is>
      </c>
      <c r="E46" s="41" t="inlineStr">
        <is>
          <t>QC Inspector</t>
        </is>
      </c>
      <c r="F46" s="40" t="inlineStr">
        <is>
          <t>Staff</t>
        </is>
      </c>
      <c r="G46" s="40" t="inlineStr">
        <is>
          <t>White Collar</t>
        </is>
      </c>
      <c r="H46" s="41" t="inlineStr">
        <is>
          <t>Gulf Manpower Services</t>
        </is>
      </c>
      <c r="I46" s="42" t="n">
        <v>45356</v>
      </c>
      <c r="J46" s="40" t="inlineStr">
        <is>
          <t>Active</t>
        </is>
      </c>
      <c r="K46" s="42" t="n">
        <v>46311</v>
      </c>
      <c r="L46" s="41" t="inlineStr"/>
      <c r="N46">
        <f>IF(Search!$C$4="","",IF(ISNUMBER(SEARCH(Search!$C$4,A46&amp;" "&amp;B46&amp;" "&amp;D46&amp;" "&amp;H46&amp;" "&amp;J46)),ROW(),""))</f>
        <v/>
      </c>
    </row>
    <row r="47">
      <c r="A47" s="45" t="inlineStr">
        <is>
          <t>EMP-1043</t>
        </is>
      </c>
      <c r="B47" s="46" t="inlineStr">
        <is>
          <t>Jose Kurt</t>
        </is>
      </c>
      <c r="C47" s="45" t="inlineStr">
        <is>
          <t>Philippines</t>
        </is>
      </c>
      <c r="D47" s="46" t="inlineStr">
        <is>
          <t>Administration</t>
        </is>
      </c>
      <c r="E47" s="46" t="inlineStr">
        <is>
          <t>Executive Secretary</t>
        </is>
      </c>
      <c r="F47" s="45" t="inlineStr">
        <is>
          <t>Staff</t>
        </is>
      </c>
      <c r="G47" s="45" t="inlineStr">
        <is>
          <t>White Collar</t>
        </is>
      </c>
      <c r="H47" s="46" t="inlineStr">
        <is>
          <t>Gulf Manpower Services</t>
        </is>
      </c>
      <c r="I47" s="47" t="n">
        <v>45248</v>
      </c>
      <c r="J47" s="45" t="inlineStr">
        <is>
          <t>Released</t>
        </is>
      </c>
      <c r="K47" s="47" t="n">
        <v>46204</v>
      </c>
      <c r="L47" s="46" t="inlineStr"/>
      <c r="N47">
        <f>IF(Search!$C$4="","",IF(ISNUMBER(SEARCH(Search!$C$4,A47&amp;" "&amp;B47&amp;" "&amp;D47&amp;" "&amp;H47&amp;" "&amp;J47)),ROW(),""))</f>
        <v/>
      </c>
    </row>
    <row r="48">
      <c r="A48" s="40" t="inlineStr">
        <is>
          <t>EMP-1044</t>
        </is>
      </c>
      <c r="B48" s="41" t="inlineStr">
        <is>
          <t>Saad Menon</t>
        </is>
      </c>
      <c r="C48" s="40" t="inlineStr">
        <is>
          <t>Pakistan</t>
        </is>
      </c>
      <c r="D48" s="41" t="inlineStr">
        <is>
          <t>Tunnelling</t>
        </is>
      </c>
      <c r="E48" s="41" t="inlineStr">
        <is>
          <t>Tunnel Foreman</t>
        </is>
      </c>
      <c r="F48" s="40" t="inlineStr">
        <is>
          <t>Staff</t>
        </is>
      </c>
      <c r="G48" s="40" t="inlineStr">
        <is>
          <t>White Collar</t>
        </is>
      </c>
      <c r="H48" s="41" t="inlineStr">
        <is>
          <t>Anatolian Build Co.</t>
        </is>
      </c>
      <c r="I48" s="42" t="n">
        <v>45696</v>
      </c>
      <c r="J48" s="40" t="inlineStr">
        <is>
          <t>Active</t>
        </is>
      </c>
      <c r="K48" s="42" t="n">
        <v>46382</v>
      </c>
      <c r="L48" s="41" t="inlineStr">
        <is>
          <t>Extension approved</t>
        </is>
      </c>
      <c r="N48">
        <f>IF(Search!$C$4="","",IF(ISNUMBER(SEARCH(Search!$C$4,A48&amp;" "&amp;B48&amp;" "&amp;D48&amp;" "&amp;H48&amp;" "&amp;J48)),ROW(),""))</f>
        <v/>
      </c>
    </row>
    <row r="49">
      <c r="A49" s="45" t="inlineStr">
        <is>
          <t>EMP-1045</t>
        </is>
      </c>
      <c r="B49" s="46" t="inlineStr">
        <is>
          <t>Vijay Nasser</t>
        </is>
      </c>
      <c r="C49" s="45" t="inlineStr">
        <is>
          <t>India</t>
        </is>
      </c>
      <c r="D49" s="46" t="inlineStr">
        <is>
          <t>Administration</t>
        </is>
      </c>
      <c r="E49" s="46" t="inlineStr">
        <is>
          <t>Admin Assistant</t>
        </is>
      </c>
      <c r="F49" s="45" t="inlineStr">
        <is>
          <t>Staff</t>
        </is>
      </c>
      <c r="G49" s="45" t="inlineStr">
        <is>
          <t>White Collar</t>
        </is>
      </c>
      <c r="H49" s="46" t="inlineStr">
        <is>
          <t>Desert Horizon Contracting</t>
        </is>
      </c>
      <c r="I49" s="47" t="n">
        <v>45145</v>
      </c>
      <c r="J49" s="45" t="inlineStr">
        <is>
          <t>Released</t>
        </is>
      </c>
      <c r="K49" s="47" t="n">
        <v>46272</v>
      </c>
      <c r="L49" s="46" t="inlineStr"/>
      <c r="N49">
        <f>IF(Search!$C$4="","",IF(ISNUMBER(SEARCH(Search!$C$4,A49&amp;" "&amp;B49&amp;" "&amp;D49&amp;" "&amp;H49&amp;" "&amp;J49)),ROW(),""))</f>
        <v/>
      </c>
    </row>
    <row r="50">
      <c r="A50" s="40" t="inlineStr">
        <is>
          <t>EMP-1046</t>
        </is>
      </c>
      <c r="B50" s="41" t="inlineStr">
        <is>
          <t>Saad Mirza</t>
        </is>
      </c>
      <c r="C50" s="40" t="inlineStr">
        <is>
          <t>Pakistan</t>
        </is>
      </c>
      <c r="D50" s="41" t="inlineStr">
        <is>
          <t>Administration</t>
        </is>
      </c>
      <c r="E50" s="41" t="inlineStr">
        <is>
          <t>Admin Assistant</t>
        </is>
      </c>
      <c r="F50" s="40" t="inlineStr">
        <is>
          <t>Staff</t>
        </is>
      </c>
      <c r="G50" s="40" t="inlineStr">
        <is>
          <t>White Collar</t>
        </is>
      </c>
      <c r="H50" s="41" t="inlineStr">
        <is>
          <t>Red Sea Rental Solutions</t>
        </is>
      </c>
      <c r="I50" s="42" t="n">
        <v>45305</v>
      </c>
      <c r="J50" s="40" t="inlineStr">
        <is>
          <t>Released</t>
        </is>
      </c>
      <c r="K50" s="42" t="n">
        <v>46215</v>
      </c>
      <c r="L50" s="41" t="inlineStr"/>
      <c r="N50">
        <f>IF(Search!$C$4="","",IF(ISNUMBER(SEARCH(Search!$C$4,A50&amp;" "&amp;B50&amp;" "&amp;D50&amp;" "&amp;H50&amp;" "&amp;J50)),ROW(),""))</f>
        <v/>
      </c>
    </row>
    <row r="51">
      <c r="A51" s="45" t="inlineStr">
        <is>
          <t>EMP-1047</t>
        </is>
      </c>
      <c r="B51" s="46" t="inlineStr">
        <is>
          <t>Asim Pillai</t>
        </is>
      </c>
      <c r="C51" s="45" t="inlineStr">
        <is>
          <t>Pakistan</t>
        </is>
      </c>
      <c r="D51" s="46" t="inlineStr">
        <is>
          <t>Mechanical</t>
        </is>
      </c>
      <c r="E51" s="46" t="inlineStr">
        <is>
          <t>Welder</t>
        </is>
      </c>
      <c r="F51" s="45" t="inlineStr">
        <is>
          <t>Labor</t>
        </is>
      </c>
      <c r="G51" s="45" t="inlineStr">
        <is>
          <t>Blue Collar</t>
        </is>
      </c>
      <c r="H51" s="46" t="inlineStr">
        <is>
          <t>Gulf Manpower Services</t>
        </is>
      </c>
      <c r="I51" s="47" t="n">
        <v>45753</v>
      </c>
      <c r="J51" s="45" t="inlineStr">
        <is>
          <t>Active</t>
        </is>
      </c>
      <c r="K51" s="47" t="n">
        <v>46310</v>
      </c>
      <c r="L51" s="46" t="inlineStr"/>
      <c r="N51">
        <f>IF(Search!$C$4="","",IF(ISNUMBER(SEARCH(Search!$C$4,A51&amp;" "&amp;B51&amp;" "&amp;D51&amp;" "&amp;H51&amp;" "&amp;J51)),ROW(),""))</f>
        <v/>
      </c>
    </row>
    <row r="52">
      <c r="A52" s="40" t="inlineStr">
        <is>
          <t>EMP-1048</t>
        </is>
      </c>
      <c r="B52" s="41" t="inlineStr">
        <is>
          <t>Karim Aksoy</t>
        </is>
      </c>
      <c r="C52" s="40" t="inlineStr">
        <is>
          <t>Egypt</t>
        </is>
      </c>
      <c r="D52" s="41" t="inlineStr">
        <is>
          <t>Administration</t>
        </is>
      </c>
      <c r="E52" s="41" t="inlineStr">
        <is>
          <t>Admin Assistant</t>
        </is>
      </c>
      <c r="F52" s="40" t="inlineStr">
        <is>
          <t>Staff</t>
        </is>
      </c>
      <c r="G52" s="40" t="inlineStr">
        <is>
          <t>White Collar</t>
        </is>
      </c>
      <c r="H52" s="41" t="inlineStr">
        <is>
          <t>Red Sea Rental Solutions</t>
        </is>
      </c>
      <c r="I52" s="42" t="n">
        <v>45064</v>
      </c>
      <c r="J52" s="40" t="inlineStr">
        <is>
          <t>Released</t>
        </is>
      </c>
      <c r="K52" s="42" t="n">
        <v>46210</v>
      </c>
      <c r="L52" s="41" t="inlineStr"/>
      <c r="N52">
        <f>IF(Search!$C$4="","",IF(ISNUMBER(SEARCH(Search!$C$4,A52&amp;" "&amp;B52&amp;" "&amp;D52&amp;" "&amp;H52&amp;" "&amp;J52)),ROW(),""))</f>
        <v/>
      </c>
    </row>
    <row r="53">
      <c r="A53" s="45" t="inlineStr">
        <is>
          <t>EMP-1049</t>
        </is>
      </c>
      <c r="B53" s="46" t="inlineStr">
        <is>
          <t>Imran Chaudhry</t>
        </is>
      </c>
      <c r="C53" s="45" t="inlineStr">
        <is>
          <t>Pakistan</t>
        </is>
      </c>
      <c r="D53" s="46" t="inlineStr">
        <is>
          <t>Mechanical</t>
        </is>
      </c>
      <c r="E53" s="46" t="inlineStr">
        <is>
          <t>Electrician</t>
        </is>
      </c>
      <c r="F53" s="45" t="inlineStr">
        <is>
          <t>Staff</t>
        </is>
      </c>
      <c r="G53" s="45" t="inlineStr">
        <is>
          <t>White Collar</t>
        </is>
      </c>
      <c r="H53" s="46" t="inlineStr">
        <is>
          <t>Desert Horizon Contracting</t>
        </is>
      </c>
      <c r="I53" s="47" t="n">
        <v>45546</v>
      </c>
      <c r="J53" s="45" t="inlineStr">
        <is>
          <t>Released</t>
        </is>
      </c>
      <c r="K53" s="47" t="n">
        <v>46196</v>
      </c>
      <c r="L53" s="46" t="inlineStr"/>
      <c r="N53">
        <f>IF(Search!$C$4="","",IF(ISNUMBER(SEARCH(Search!$C$4,A53&amp;" "&amp;B53&amp;" "&amp;D53&amp;" "&amp;H53&amp;" "&amp;J53)),ROW(),""))</f>
        <v/>
      </c>
    </row>
    <row r="54">
      <c r="A54" s="40" t="inlineStr">
        <is>
          <t>EMP-1050</t>
        </is>
      </c>
      <c r="B54" s="41" t="inlineStr">
        <is>
          <t>Burak Javed</t>
        </is>
      </c>
      <c r="C54" s="40" t="inlineStr">
        <is>
          <t>Turkiye</t>
        </is>
      </c>
      <c r="D54" s="41" t="inlineStr">
        <is>
          <t>HSE</t>
        </is>
      </c>
      <c r="E54" s="41" t="inlineStr">
        <is>
          <t>Safety Supervisor</t>
        </is>
      </c>
      <c r="F54" s="40" t="inlineStr">
        <is>
          <t>Staff</t>
        </is>
      </c>
      <c r="G54" s="40" t="inlineStr">
        <is>
          <t>White Collar</t>
        </is>
      </c>
      <c r="H54" s="41" t="inlineStr">
        <is>
          <t>Anatolian Build Co.</t>
        </is>
      </c>
      <c r="I54" s="42" t="n">
        <v>45184</v>
      </c>
      <c r="J54" s="40" t="inlineStr">
        <is>
          <t>Active</t>
        </is>
      </c>
      <c r="K54" s="42" t="n">
        <v>46374</v>
      </c>
      <c r="L54" s="41" t="inlineStr"/>
      <c r="N54">
        <f>IF(Search!$C$4="","",IF(ISNUMBER(SEARCH(Search!$C$4,A54&amp;" "&amp;B54&amp;" "&amp;D54&amp;" "&amp;H54&amp;" "&amp;J54)),ROW(),""))</f>
        <v/>
      </c>
    </row>
    <row r="55">
      <c r="A55" s="45" t="inlineStr">
        <is>
          <t>EMP-1051</t>
        </is>
      </c>
      <c r="B55" s="46" t="inlineStr">
        <is>
          <t>Faisal Haider</t>
        </is>
      </c>
      <c r="C55" s="45" t="inlineStr">
        <is>
          <t>Pakistan</t>
        </is>
      </c>
      <c r="D55" s="46" t="inlineStr">
        <is>
          <t>HSE</t>
        </is>
      </c>
      <c r="E55" s="46" t="inlineStr">
        <is>
          <t>Safety Supervisor</t>
        </is>
      </c>
      <c r="F55" s="45" t="inlineStr">
        <is>
          <t>Staff</t>
        </is>
      </c>
      <c r="G55" s="45" t="inlineStr">
        <is>
          <t>White Collar</t>
        </is>
      </c>
      <c r="H55" s="46" t="inlineStr">
        <is>
          <t>Desert Horizon Contracting</t>
        </is>
      </c>
      <c r="I55" s="47" t="n">
        <v>45268</v>
      </c>
      <c r="J55" s="45" t="inlineStr">
        <is>
          <t>Active</t>
        </is>
      </c>
      <c r="K55" s="47" t="n">
        <v>46340</v>
      </c>
      <c r="L55" s="46" t="inlineStr">
        <is>
          <t>Extension approved</t>
        </is>
      </c>
      <c r="N55">
        <f>IF(Search!$C$4="","",IF(ISNUMBER(SEARCH(Search!$C$4,A55&amp;" "&amp;B55&amp;" "&amp;D55&amp;" "&amp;H55&amp;" "&amp;J55)),ROW(),""))</f>
        <v/>
      </c>
    </row>
    <row r="56">
      <c r="A56" s="40" t="inlineStr">
        <is>
          <t>EMP-1052</t>
        </is>
      </c>
      <c r="B56" s="41" t="inlineStr">
        <is>
          <t>Saad Aslam</t>
        </is>
      </c>
      <c r="C56" s="40" t="inlineStr">
        <is>
          <t>Pakistan</t>
        </is>
      </c>
      <c r="D56" s="41" t="inlineStr">
        <is>
          <t>Mechanical</t>
        </is>
      </c>
      <c r="E56" s="41" t="inlineStr">
        <is>
          <t>Fitter</t>
        </is>
      </c>
      <c r="F56" s="40" t="inlineStr">
        <is>
          <t>Labor</t>
        </is>
      </c>
      <c r="G56" s="40" t="inlineStr">
        <is>
          <t>Blue Collar</t>
        </is>
      </c>
      <c r="H56" s="41" t="inlineStr">
        <is>
          <t>Anatolian Build Co.</t>
        </is>
      </c>
      <c r="I56" s="42" t="n">
        <v>45041</v>
      </c>
      <c r="J56" s="40" t="inlineStr">
        <is>
          <t>Released</t>
        </is>
      </c>
      <c r="K56" s="42" t="n">
        <v>46162</v>
      </c>
      <c r="L56" s="41" t="inlineStr"/>
      <c r="N56">
        <f>IF(Search!$C$4="","",IF(ISNUMBER(SEARCH(Search!$C$4,A56&amp;" "&amp;B56&amp;" "&amp;D56&amp;" "&amp;H56&amp;" "&amp;J56)),ROW(),""))</f>
        <v/>
      </c>
    </row>
    <row r="57">
      <c r="A57" s="45" t="inlineStr">
        <is>
          <t>EMP-1053</t>
        </is>
      </c>
      <c r="B57" s="46" t="inlineStr">
        <is>
          <t>Zubair Cruz</t>
        </is>
      </c>
      <c r="C57" s="45" t="inlineStr">
        <is>
          <t>Pakistan</t>
        </is>
      </c>
      <c r="D57" s="46" t="inlineStr">
        <is>
          <t>Tunnelling</t>
        </is>
      </c>
      <c r="E57" s="46" t="inlineStr">
        <is>
          <t>Tunnel Foreman</t>
        </is>
      </c>
      <c r="F57" s="45" t="inlineStr">
        <is>
          <t>Staff</t>
        </is>
      </c>
      <c r="G57" s="45" t="inlineStr">
        <is>
          <t>White Collar</t>
        </is>
      </c>
      <c r="H57" s="46" t="inlineStr">
        <is>
          <t>Anatolian Build Co.</t>
        </is>
      </c>
      <c r="I57" s="47" t="n">
        <v>45078</v>
      </c>
      <c r="J57" s="45" t="inlineStr">
        <is>
          <t>Released</t>
        </is>
      </c>
      <c r="K57" s="47" t="n">
        <v>46253</v>
      </c>
      <c r="L57" s="46" t="inlineStr"/>
      <c r="N57">
        <f>IF(Search!$C$4="","",IF(ISNUMBER(SEARCH(Search!$C$4,A57&amp;" "&amp;B57&amp;" "&amp;D57&amp;" "&amp;H57&amp;" "&amp;J57)),ROW(),""))</f>
        <v/>
      </c>
    </row>
    <row r="58">
      <c r="A58" s="40" t="inlineStr">
        <is>
          <t>EMP-1054</t>
        </is>
      </c>
      <c r="B58" s="41" t="inlineStr">
        <is>
          <t>Nabeel Siddiqui</t>
        </is>
      </c>
      <c r="C58" s="40" t="inlineStr">
        <is>
          <t>Pakistan</t>
        </is>
      </c>
      <c r="D58" s="41" t="inlineStr">
        <is>
          <t>Logistics</t>
        </is>
      </c>
      <c r="E58" s="41" t="inlineStr">
        <is>
          <t>Driver</t>
        </is>
      </c>
      <c r="F58" s="40" t="inlineStr">
        <is>
          <t>Labor</t>
        </is>
      </c>
      <c r="G58" s="40" t="inlineStr">
        <is>
          <t>Blue Collar</t>
        </is>
      </c>
      <c r="H58" s="41" t="inlineStr">
        <is>
          <t>Red Sea Rental Solutions</t>
        </is>
      </c>
      <c r="I58" s="42" t="n">
        <v>45142</v>
      </c>
      <c r="J58" s="40" t="inlineStr">
        <is>
          <t>Active</t>
        </is>
      </c>
      <c r="K58" s="42" t="n">
        <v>46317</v>
      </c>
      <c r="L58" s="41" t="inlineStr"/>
      <c r="N58">
        <f>IF(Search!$C$4="","",IF(ISNUMBER(SEARCH(Search!$C$4,A58&amp;" "&amp;B58&amp;" "&amp;D58&amp;" "&amp;H58&amp;" "&amp;J58)),ROW(),""))</f>
        <v/>
      </c>
    </row>
    <row r="59">
      <c r="A59" s="45" t="inlineStr">
        <is>
          <t>EMP-1055</t>
        </is>
      </c>
      <c r="B59" s="46" t="inlineStr">
        <is>
          <t>Hamza Polat</t>
        </is>
      </c>
      <c r="C59" s="45" t="inlineStr">
        <is>
          <t>Pakistan</t>
        </is>
      </c>
      <c r="D59" s="46" t="inlineStr">
        <is>
          <t>Mechanical</t>
        </is>
      </c>
      <c r="E59" s="46" t="inlineStr">
        <is>
          <t>Fitter</t>
        </is>
      </c>
      <c r="F59" s="45" t="inlineStr">
        <is>
          <t>Labor</t>
        </is>
      </c>
      <c r="G59" s="45" t="inlineStr">
        <is>
          <t>Blue Collar</t>
        </is>
      </c>
      <c r="H59" s="46" t="inlineStr">
        <is>
          <t>Red Sea Rental Solutions</t>
        </is>
      </c>
      <c r="I59" s="47" t="n">
        <v>45694</v>
      </c>
      <c r="J59" s="45" t="inlineStr">
        <is>
          <t>Released</t>
        </is>
      </c>
      <c r="K59" s="47" t="n">
        <v>46182</v>
      </c>
      <c r="L59" s="46" t="inlineStr"/>
      <c r="N59">
        <f>IF(Search!$C$4="","",IF(ISNUMBER(SEARCH(Search!$C$4,A59&amp;" "&amp;B59&amp;" "&amp;D59&amp;" "&amp;H59&amp;" "&amp;J59)),ROW(),""))</f>
        <v/>
      </c>
    </row>
    <row r="60">
      <c r="A60" s="40" t="inlineStr">
        <is>
          <t>EMP-1056</t>
        </is>
      </c>
      <c r="B60" s="41" t="inlineStr">
        <is>
          <t>Adeel Aslam</t>
        </is>
      </c>
      <c r="C60" s="40" t="inlineStr">
        <is>
          <t>Pakistan</t>
        </is>
      </c>
      <c r="D60" s="41" t="inlineStr">
        <is>
          <t>Administration</t>
        </is>
      </c>
      <c r="E60" s="41" t="inlineStr">
        <is>
          <t>Executive Secretary</t>
        </is>
      </c>
      <c r="F60" s="40" t="inlineStr">
        <is>
          <t>Staff</t>
        </is>
      </c>
      <c r="G60" s="40" t="inlineStr">
        <is>
          <t>White Collar</t>
        </is>
      </c>
      <c r="H60" s="41" t="inlineStr">
        <is>
          <t>Red Sea Rental Solutions</t>
        </is>
      </c>
      <c r="I60" s="42" t="n">
        <v>44952</v>
      </c>
      <c r="J60" s="40" t="inlineStr">
        <is>
          <t>Released</t>
        </is>
      </c>
      <c r="K60" s="42" t="n">
        <v>46188</v>
      </c>
      <c r="L60" s="41" t="inlineStr"/>
      <c r="N60">
        <f>IF(Search!$C$4="","",IF(ISNUMBER(SEARCH(Search!$C$4,A60&amp;" "&amp;B60&amp;" "&amp;D60&amp;" "&amp;H60&amp;" "&amp;J60)),ROW(),""))</f>
        <v/>
      </c>
    </row>
    <row r="61">
      <c r="A61" s="45" t="inlineStr">
        <is>
          <t>EMP-1057</t>
        </is>
      </c>
      <c r="B61" s="46" t="inlineStr">
        <is>
          <t>Burak Rao</t>
        </is>
      </c>
      <c r="C61" s="45" t="inlineStr">
        <is>
          <t>Turkiye</t>
        </is>
      </c>
      <c r="D61" s="46" t="inlineStr">
        <is>
          <t>Mechanical</t>
        </is>
      </c>
      <c r="E61" s="46" t="inlineStr">
        <is>
          <t>Electrician</t>
        </is>
      </c>
      <c r="F61" s="45" t="inlineStr">
        <is>
          <t>Staff</t>
        </is>
      </c>
      <c r="G61" s="45" t="inlineStr">
        <is>
          <t>White Collar</t>
        </is>
      </c>
      <c r="H61" s="46" t="inlineStr">
        <is>
          <t>Desert Horizon Contracting</t>
        </is>
      </c>
      <c r="I61" s="47" t="n">
        <v>45733</v>
      </c>
      <c r="J61" s="45" t="inlineStr">
        <is>
          <t>Active</t>
        </is>
      </c>
      <c r="K61" s="47" t="n">
        <v>46322</v>
      </c>
      <c r="L61" s="46" t="inlineStr">
        <is>
          <t>Extension approved</t>
        </is>
      </c>
      <c r="N61">
        <f>IF(Search!$C$4="","",IF(ISNUMBER(SEARCH(Search!$C$4,A61&amp;" "&amp;B61&amp;" "&amp;D61&amp;" "&amp;H61&amp;" "&amp;J61)),ROW(),""))</f>
        <v/>
      </c>
    </row>
    <row r="62">
      <c r="A62" s="40" t="inlineStr">
        <is>
          <t>EMP-1058</t>
        </is>
      </c>
      <c r="B62" s="41" t="inlineStr">
        <is>
          <t>Kamran Santos</t>
        </is>
      </c>
      <c r="C62" s="40" t="inlineStr">
        <is>
          <t>Pakistan</t>
        </is>
      </c>
      <c r="D62" s="41" t="inlineStr">
        <is>
          <t>Tunnelling</t>
        </is>
      </c>
      <c r="E62" s="41" t="inlineStr">
        <is>
          <t>Shift Engineer</t>
        </is>
      </c>
      <c r="F62" s="40" t="inlineStr">
        <is>
          <t>Staff</t>
        </is>
      </c>
      <c r="G62" s="40" t="inlineStr">
        <is>
          <t>White Collar</t>
        </is>
      </c>
      <c r="H62" s="41" t="inlineStr">
        <is>
          <t>Desert Horizon Contracting</t>
        </is>
      </c>
      <c r="I62" s="42" t="n">
        <v>45767</v>
      </c>
      <c r="J62" s="40" t="inlineStr">
        <is>
          <t>Active</t>
        </is>
      </c>
      <c r="K62" s="42" t="n">
        <v>46346</v>
      </c>
      <c r="L62" s="41" t="inlineStr"/>
      <c r="N62">
        <f>IF(Search!$C$4="","",IF(ISNUMBER(SEARCH(Search!$C$4,A62&amp;" "&amp;B62&amp;" "&amp;D62&amp;" "&amp;H62&amp;" "&amp;J62)),ROW(),""))</f>
        <v/>
      </c>
    </row>
    <row r="63">
      <c r="A63" s="45" t="inlineStr">
        <is>
          <t>EMP-1059</t>
        </is>
      </c>
      <c r="B63" s="46" t="inlineStr">
        <is>
          <t>Waqas Rahman</t>
        </is>
      </c>
      <c r="C63" s="45" t="inlineStr">
        <is>
          <t>Pakistan</t>
        </is>
      </c>
      <c r="D63" s="46" t="inlineStr">
        <is>
          <t>HSE</t>
        </is>
      </c>
      <c r="E63" s="46" t="inlineStr">
        <is>
          <t>Safety Supervisor</t>
        </is>
      </c>
      <c r="F63" s="45" t="inlineStr">
        <is>
          <t>Staff</t>
        </is>
      </c>
      <c r="G63" s="45" t="inlineStr">
        <is>
          <t>White Collar</t>
        </is>
      </c>
      <c r="H63" s="46" t="inlineStr">
        <is>
          <t>Desert Horizon Contracting</t>
        </is>
      </c>
      <c r="I63" s="47" t="n">
        <v>45812</v>
      </c>
      <c r="J63" s="45" t="inlineStr">
        <is>
          <t>Released</t>
        </is>
      </c>
      <c r="K63" s="47" t="n">
        <v>46160</v>
      </c>
      <c r="L63" s="46" t="inlineStr"/>
      <c r="N63">
        <f>IF(Search!$C$4="","",IF(ISNUMBER(SEARCH(Search!$C$4,A63&amp;" "&amp;B63&amp;" "&amp;D63&amp;" "&amp;H63&amp;" "&amp;J63)),ROW(),""))</f>
        <v/>
      </c>
    </row>
    <row r="64">
      <c r="A64" s="40" t="inlineStr">
        <is>
          <t>EMP-1060</t>
        </is>
      </c>
      <c r="B64" s="41" t="inlineStr">
        <is>
          <t>Noman Polat</t>
        </is>
      </c>
      <c r="C64" s="40" t="inlineStr">
        <is>
          <t>Pakistan</t>
        </is>
      </c>
      <c r="D64" s="41" t="inlineStr">
        <is>
          <t>HSE</t>
        </is>
      </c>
      <c r="E64" s="41" t="inlineStr">
        <is>
          <t>Safety Supervisor</t>
        </is>
      </c>
      <c r="F64" s="40" t="inlineStr">
        <is>
          <t>Staff</t>
        </is>
      </c>
      <c r="G64" s="40" t="inlineStr">
        <is>
          <t>White Collar</t>
        </is>
      </c>
      <c r="H64" s="41" t="inlineStr">
        <is>
          <t>Gulf Manpower Services</t>
        </is>
      </c>
      <c r="I64" s="42" t="n">
        <v>45790</v>
      </c>
      <c r="J64" s="40" t="inlineStr">
        <is>
          <t>Released</t>
        </is>
      </c>
      <c r="K64" s="42" t="n">
        <v>46280</v>
      </c>
      <c r="L64" s="41" t="inlineStr"/>
      <c r="N64">
        <f>IF(Search!$C$4="","",IF(ISNUMBER(SEARCH(Search!$C$4,A64&amp;" "&amp;B64&amp;" "&amp;D64&amp;" "&amp;H64&amp;" "&amp;J64)),ROW(),""))</f>
        <v/>
      </c>
    </row>
    <row r="65">
      <c r="A65" s="45" t="inlineStr">
        <is>
          <t>EMP-1061</t>
        </is>
      </c>
      <c r="B65" s="46" t="inlineStr">
        <is>
          <t>Burak Rahman</t>
        </is>
      </c>
      <c r="C65" s="45" t="inlineStr">
        <is>
          <t>Turkiye</t>
        </is>
      </c>
      <c r="D65" s="46" t="inlineStr">
        <is>
          <t>Tunnelling</t>
        </is>
      </c>
      <c r="E65" s="46" t="inlineStr">
        <is>
          <t>Tunnel Foreman</t>
        </is>
      </c>
      <c r="F65" s="45" t="inlineStr">
        <is>
          <t>Staff</t>
        </is>
      </c>
      <c r="G65" s="45" t="inlineStr">
        <is>
          <t>White Collar</t>
        </is>
      </c>
      <c r="H65" s="46" t="inlineStr">
        <is>
          <t>Desert Horizon Contracting</t>
        </is>
      </c>
      <c r="I65" s="47" t="n">
        <v>45198</v>
      </c>
      <c r="J65" s="45" t="inlineStr">
        <is>
          <t>Released</t>
        </is>
      </c>
      <c r="K65" s="47" t="n">
        <v>46152</v>
      </c>
      <c r="L65" s="46" t="inlineStr"/>
      <c r="N65">
        <f>IF(Search!$C$4="","",IF(ISNUMBER(SEARCH(Search!$C$4,A65&amp;" "&amp;B65&amp;" "&amp;D65&amp;" "&amp;H65&amp;" "&amp;J65)),ROW(),""))</f>
        <v/>
      </c>
    </row>
    <row r="66">
      <c r="A66" s="40" t="inlineStr">
        <is>
          <t>EMP-1062</t>
        </is>
      </c>
      <c r="B66" s="41" t="inlineStr">
        <is>
          <t>Hamza Nasser</t>
        </is>
      </c>
      <c r="C66" s="40" t="inlineStr">
        <is>
          <t>Pakistan</t>
        </is>
      </c>
      <c r="D66" s="41" t="inlineStr">
        <is>
          <t>Logistics</t>
        </is>
      </c>
      <c r="E66" s="41" t="inlineStr">
        <is>
          <t>Storekeeper</t>
        </is>
      </c>
      <c r="F66" s="40" t="inlineStr">
        <is>
          <t>Labor</t>
        </is>
      </c>
      <c r="G66" s="40" t="inlineStr">
        <is>
          <t>Blue Collar</t>
        </is>
      </c>
      <c r="H66" s="41" t="inlineStr">
        <is>
          <t>Anatolian Build Co.</t>
        </is>
      </c>
      <c r="I66" s="42" t="n">
        <v>45450</v>
      </c>
      <c r="J66" s="40" t="inlineStr">
        <is>
          <t>Released</t>
        </is>
      </c>
      <c r="K66" s="42" t="n">
        <v>46172</v>
      </c>
      <c r="L66" s="41" t="inlineStr"/>
      <c r="N66">
        <f>IF(Search!$C$4="","",IF(ISNUMBER(SEARCH(Search!$C$4,A66&amp;" "&amp;B66&amp;" "&amp;D66&amp;" "&amp;H66&amp;" "&amp;J66)),ROW(),""))</f>
        <v/>
      </c>
    </row>
    <row r="67">
      <c r="A67" s="45" t="inlineStr">
        <is>
          <t>EMP-1063</t>
        </is>
      </c>
      <c r="B67" s="46" t="inlineStr">
        <is>
          <t>Serkan Haddad</t>
        </is>
      </c>
      <c r="C67" s="45" t="inlineStr">
        <is>
          <t>Turkiye</t>
        </is>
      </c>
      <c r="D67" s="46" t="inlineStr">
        <is>
          <t>Tunnelling</t>
        </is>
      </c>
      <c r="E67" s="46" t="inlineStr">
        <is>
          <t>TBM Operator</t>
        </is>
      </c>
      <c r="F67" s="45" t="inlineStr">
        <is>
          <t>Staff</t>
        </is>
      </c>
      <c r="G67" s="45" t="inlineStr">
        <is>
          <t>White Collar</t>
        </is>
      </c>
      <c r="H67" s="46" t="inlineStr">
        <is>
          <t>Gulf Manpower Services</t>
        </is>
      </c>
      <c r="I67" s="47" t="n">
        <v>44928</v>
      </c>
      <c r="J67" s="45" t="inlineStr">
        <is>
          <t>Released</t>
        </is>
      </c>
      <c r="K67" s="47" t="n">
        <v>46276</v>
      </c>
      <c r="L67" s="46" t="inlineStr"/>
      <c r="N67">
        <f>IF(Search!$C$4="","",IF(ISNUMBER(SEARCH(Search!$C$4,A67&amp;" "&amp;B67&amp;" "&amp;D67&amp;" "&amp;H67&amp;" "&amp;J67)),ROW(),""))</f>
        <v/>
      </c>
    </row>
    <row r="68">
      <c r="A68" s="40" t="inlineStr">
        <is>
          <t>EMP-1064</t>
        </is>
      </c>
      <c r="B68" s="41" t="inlineStr">
        <is>
          <t>Samir Farooq</t>
        </is>
      </c>
      <c r="C68" s="40" t="inlineStr">
        <is>
          <t>Egypt</t>
        </is>
      </c>
      <c r="D68" s="41" t="inlineStr">
        <is>
          <t>HSE</t>
        </is>
      </c>
      <c r="E68" s="41" t="inlineStr">
        <is>
          <t>Fire Watcher</t>
        </is>
      </c>
      <c r="F68" s="40" t="inlineStr">
        <is>
          <t>Labor</t>
        </is>
      </c>
      <c r="G68" s="40" t="inlineStr">
        <is>
          <t>Blue Collar</t>
        </is>
      </c>
      <c r="H68" s="41" t="inlineStr">
        <is>
          <t>Gulf Manpower Services</t>
        </is>
      </c>
      <c r="I68" s="42" t="n">
        <v>45128</v>
      </c>
      <c r="J68" s="40" t="inlineStr">
        <is>
          <t>Released</t>
        </is>
      </c>
      <c r="K68" s="42" t="n">
        <v>46236</v>
      </c>
      <c r="L68" s="41" t="inlineStr"/>
      <c r="N68">
        <f>IF(Search!$C$4="","",IF(ISNUMBER(SEARCH(Search!$C$4,A68&amp;" "&amp;B68&amp;" "&amp;D68&amp;" "&amp;H68&amp;" "&amp;J68)),ROW(),""))</f>
        <v/>
      </c>
    </row>
    <row r="69">
      <c r="A69" s="45" t="inlineStr">
        <is>
          <t>EMP-1065</t>
        </is>
      </c>
      <c r="B69" s="46" t="inlineStr">
        <is>
          <t>Suresh Haider</t>
        </is>
      </c>
      <c r="C69" s="45" t="inlineStr">
        <is>
          <t>India</t>
        </is>
      </c>
      <c r="D69" s="46" t="inlineStr">
        <is>
          <t>Administration</t>
        </is>
      </c>
      <c r="E69" s="46" t="inlineStr">
        <is>
          <t>HR Coordinator</t>
        </is>
      </c>
      <c r="F69" s="45" t="inlineStr">
        <is>
          <t>Staff</t>
        </is>
      </c>
      <c r="G69" s="45" t="inlineStr">
        <is>
          <t>White Collar</t>
        </is>
      </c>
      <c r="H69" s="46" t="inlineStr">
        <is>
          <t>Gulf Manpower Services</t>
        </is>
      </c>
      <c r="I69" s="47" t="n">
        <v>45606</v>
      </c>
      <c r="J69" s="45" t="inlineStr">
        <is>
          <t>Active</t>
        </is>
      </c>
      <c r="K69" s="47" t="n">
        <v>46360</v>
      </c>
      <c r="L69" s="46" t="inlineStr">
        <is>
          <t>Extension approved</t>
        </is>
      </c>
      <c r="N69">
        <f>IF(Search!$C$4="","",IF(ISNUMBER(SEARCH(Search!$C$4,A69&amp;" "&amp;B69&amp;" "&amp;D69&amp;" "&amp;H69&amp;" "&amp;J69)),ROW(),""))</f>
        <v/>
      </c>
    </row>
    <row r="70">
      <c r="A70" s="40" t="inlineStr">
        <is>
          <t>EMP-1066</t>
        </is>
      </c>
      <c r="B70" s="41" t="inlineStr">
        <is>
          <t>Irfan Reyes</t>
        </is>
      </c>
      <c r="C70" s="40" t="inlineStr">
        <is>
          <t>Pakistan</t>
        </is>
      </c>
      <c r="D70" s="41" t="inlineStr">
        <is>
          <t>Logistics</t>
        </is>
      </c>
      <c r="E70" s="41" t="inlineStr">
        <is>
          <t>Logistics Clerk</t>
        </is>
      </c>
      <c r="F70" s="40" t="inlineStr">
        <is>
          <t>Staff</t>
        </is>
      </c>
      <c r="G70" s="40" t="inlineStr">
        <is>
          <t>White Collar</t>
        </is>
      </c>
      <c r="H70" s="41" t="inlineStr">
        <is>
          <t>Desert Horizon Contracting</t>
        </is>
      </c>
      <c r="I70" s="42" t="n">
        <v>45640</v>
      </c>
      <c r="J70" s="40" t="inlineStr">
        <is>
          <t>Released</t>
        </is>
      </c>
      <c r="K70" s="42" t="n">
        <v>46218</v>
      </c>
      <c r="L70" s="41" t="inlineStr"/>
      <c r="N70">
        <f>IF(Search!$C$4="","",IF(ISNUMBER(SEARCH(Search!$C$4,A70&amp;" "&amp;B70&amp;" "&amp;D70&amp;" "&amp;H70&amp;" "&amp;J70)),ROW(),""))</f>
        <v/>
      </c>
    </row>
    <row r="71">
      <c r="A71" s="45" t="inlineStr">
        <is>
          <t>EMP-1067</t>
        </is>
      </c>
      <c r="B71" s="46" t="inlineStr">
        <is>
          <t>Karim Mirza</t>
        </is>
      </c>
      <c r="C71" s="45" t="inlineStr">
        <is>
          <t>Egypt</t>
        </is>
      </c>
      <c r="D71" s="46" t="inlineStr">
        <is>
          <t>Tunnelling</t>
        </is>
      </c>
      <c r="E71" s="46" t="inlineStr">
        <is>
          <t>Shift Engineer</t>
        </is>
      </c>
      <c r="F71" s="45" t="inlineStr">
        <is>
          <t>Staff</t>
        </is>
      </c>
      <c r="G71" s="45" t="inlineStr">
        <is>
          <t>White Collar</t>
        </is>
      </c>
      <c r="H71" s="46" t="inlineStr">
        <is>
          <t>Gulf Manpower Services</t>
        </is>
      </c>
      <c r="I71" s="47" t="n">
        <v>45105</v>
      </c>
      <c r="J71" s="45" t="inlineStr">
        <is>
          <t>Released</t>
        </is>
      </c>
      <c r="K71" s="47" t="n">
        <v>46300</v>
      </c>
      <c r="L71" s="46" t="inlineStr"/>
      <c r="N71">
        <f>IF(Search!$C$4="","",IF(ISNUMBER(SEARCH(Search!$C$4,A71&amp;" "&amp;B71&amp;" "&amp;D71&amp;" "&amp;H71&amp;" "&amp;J71)),ROW(),""))</f>
        <v/>
      </c>
    </row>
    <row r="72">
      <c r="A72" s="40" t="inlineStr">
        <is>
          <t>EMP-1068</t>
        </is>
      </c>
      <c r="B72" s="41" t="inlineStr">
        <is>
          <t>Ahmed Aksoy</t>
        </is>
      </c>
      <c r="C72" s="40" t="inlineStr">
        <is>
          <t>Egypt</t>
        </is>
      </c>
      <c r="D72" s="41" t="inlineStr">
        <is>
          <t>Logistics</t>
        </is>
      </c>
      <c r="E72" s="41" t="inlineStr">
        <is>
          <t>Driver</t>
        </is>
      </c>
      <c r="F72" s="40" t="inlineStr">
        <is>
          <t>Labor</t>
        </is>
      </c>
      <c r="G72" s="40" t="inlineStr">
        <is>
          <t>Blue Collar</t>
        </is>
      </c>
      <c r="H72" s="41" t="inlineStr">
        <is>
          <t>Desert Horizon Contracting</t>
        </is>
      </c>
      <c r="I72" s="42" t="n">
        <v>45142</v>
      </c>
      <c r="J72" s="40" t="inlineStr">
        <is>
          <t>Released</t>
        </is>
      </c>
      <c r="K72" s="42" t="n">
        <v>46253</v>
      </c>
      <c r="L72" s="41" t="inlineStr"/>
      <c r="N72">
        <f>IF(Search!$C$4="","",IF(ISNUMBER(SEARCH(Search!$C$4,A72&amp;" "&amp;B72&amp;" "&amp;D72&amp;" "&amp;H72&amp;" "&amp;J72)),ROW(),""))</f>
        <v/>
      </c>
    </row>
    <row r="73">
      <c r="A73" s="45" t="inlineStr">
        <is>
          <t>EMP-1069</t>
        </is>
      </c>
      <c r="B73" s="46" t="inlineStr">
        <is>
          <t>Omar Nasser</t>
        </is>
      </c>
      <c r="C73" s="45" t="inlineStr">
        <is>
          <t>Saudi Arabia</t>
        </is>
      </c>
      <c r="D73" s="46" t="inlineStr">
        <is>
          <t>HSE</t>
        </is>
      </c>
      <c r="E73" s="46" t="inlineStr">
        <is>
          <t>Safety Supervisor</t>
        </is>
      </c>
      <c r="F73" s="45" t="inlineStr">
        <is>
          <t>Staff</t>
        </is>
      </c>
      <c r="G73" s="45" t="inlineStr">
        <is>
          <t>White Collar</t>
        </is>
      </c>
      <c r="H73" s="46" t="inlineStr">
        <is>
          <t>Anatolian Build Co.</t>
        </is>
      </c>
      <c r="I73" s="47" t="n">
        <v>45618</v>
      </c>
      <c r="J73" s="45" t="inlineStr">
        <is>
          <t>Released</t>
        </is>
      </c>
      <c r="K73" s="47" t="n">
        <v>46197</v>
      </c>
      <c r="L73" s="46" t="inlineStr"/>
      <c r="N73">
        <f>IF(Search!$C$4="","",IF(ISNUMBER(SEARCH(Search!$C$4,A73&amp;" "&amp;B73&amp;" "&amp;D73&amp;" "&amp;H73&amp;" "&amp;J73)),ROW(),""))</f>
        <v/>
      </c>
    </row>
    <row r="74">
      <c r="A74" s="40" t="inlineStr">
        <is>
          <t>EMP-1070</t>
        </is>
      </c>
      <c r="B74" s="41" t="inlineStr">
        <is>
          <t>Ramon Santos</t>
        </is>
      </c>
      <c r="C74" s="40" t="inlineStr">
        <is>
          <t>Philippines</t>
        </is>
      </c>
      <c r="D74" s="41" t="inlineStr">
        <is>
          <t>Mechanical</t>
        </is>
      </c>
      <c r="E74" s="41" t="inlineStr">
        <is>
          <t>Electrician</t>
        </is>
      </c>
      <c r="F74" s="40" t="inlineStr">
        <is>
          <t>Staff</t>
        </is>
      </c>
      <c r="G74" s="40" t="inlineStr">
        <is>
          <t>White Collar</t>
        </is>
      </c>
      <c r="H74" s="41" t="inlineStr">
        <is>
          <t>Gulf Manpower Services</t>
        </is>
      </c>
      <c r="I74" s="42" t="n">
        <v>45217</v>
      </c>
      <c r="J74" s="40" t="inlineStr">
        <is>
          <t>Released</t>
        </is>
      </c>
      <c r="K74" s="42" t="n">
        <v>46274</v>
      </c>
      <c r="L74" s="41" t="inlineStr"/>
      <c r="N74">
        <f>IF(Search!$C$4="","",IF(ISNUMBER(SEARCH(Search!$C$4,A74&amp;" "&amp;B74&amp;" "&amp;D74&amp;" "&amp;H74&amp;" "&amp;J74)),ROW(),""))</f>
        <v/>
      </c>
    </row>
    <row r="75">
      <c r="A75" s="45" t="inlineStr">
        <is>
          <t>EMP-1071</t>
        </is>
      </c>
      <c r="B75" s="46" t="inlineStr">
        <is>
          <t>Fahad Kurt</t>
        </is>
      </c>
      <c r="C75" s="45" t="inlineStr">
        <is>
          <t>Saudi Arabia</t>
        </is>
      </c>
      <c r="D75" s="46" t="inlineStr">
        <is>
          <t>Tunnelling</t>
        </is>
      </c>
      <c r="E75" s="46" t="inlineStr">
        <is>
          <t>Segment Erector</t>
        </is>
      </c>
      <c r="F75" s="45" t="inlineStr">
        <is>
          <t>Labor</t>
        </is>
      </c>
      <c r="G75" s="45" t="inlineStr">
        <is>
          <t>Blue Collar</t>
        </is>
      </c>
      <c r="H75" s="46" t="inlineStr">
        <is>
          <t>Gulf Manpower Services</t>
        </is>
      </c>
      <c r="I75" s="47" t="n">
        <v>45157</v>
      </c>
      <c r="J75" s="45" t="inlineStr">
        <is>
          <t>Active</t>
        </is>
      </c>
      <c r="K75" s="47" t="n">
        <v>46349</v>
      </c>
      <c r="L75" s="46" t="inlineStr"/>
      <c r="N75">
        <f>IF(Search!$C$4="","",IF(ISNUMBER(SEARCH(Search!$C$4,A75&amp;" "&amp;B75&amp;" "&amp;D75&amp;" "&amp;H75&amp;" "&amp;J75)),ROW(),""))</f>
        <v/>
      </c>
    </row>
    <row r="76">
      <c r="A76" s="40" t="inlineStr">
        <is>
          <t>EMP-1072</t>
        </is>
      </c>
      <c r="B76" s="41" t="inlineStr">
        <is>
          <t>Bilal Siddiqui</t>
        </is>
      </c>
      <c r="C76" s="40" t="inlineStr">
        <is>
          <t>Pakistan</t>
        </is>
      </c>
      <c r="D76" s="41" t="inlineStr">
        <is>
          <t>Tunnelling</t>
        </is>
      </c>
      <c r="E76" s="41" t="inlineStr">
        <is>
          <t>Shift Engineer</t>
        </is>
      </c>
      <c r="F76" s="40" t="inlineStr">
        <is>
          <t>Staff</t>
        </is>
      </c>
      <c r="G76" s="40" t="inlineStr">
        <is>
          <t>White Collar</t>
        </is>
      </c>
      <c r="H76" s="41" t="inlineStr">
        <is>
          <t>Gulf Manpower Services</t>
        </is>
      </c>
      <c r="I76" s="42" t="n">
        <v>45713</v>
      </c>
      <c r="J76" s="40" t="inlineStr">
        <is>
          <t>Released</t>
        </is>
      </c>
      <c r="K76" s="42" t="n">
        <v>46161</v>
      </c>
      <c r="L76" s="41" t="inlineStr"/>
      <c r="N76">
        <f>IF(Search!$C$4="","",IF(ISNUMBER(SEARCH(Search!$C$4,A76&amp;" "&amp;B76&amp;" "&amp;D76&amp;" "&amp;H76&amp;" "&amp;J76)),ROW(),""))</f>
        <v/>
      </c>
    </row>
    <row r="77">
      <c r="A77" s="45" t="inlineStr">
        <is>
          <t>EMP-1073</t>
        </is>
      </c>
      <c r="B77" s="46" t="inlineStr">
        <is>
          <t>Vijay Rao</t>
        </is>
      </c>
      <c r="C77" s="45" t="inlineStr">
        <is>
          <t>India</t>
        </is>
      </c>
      <c r="D77" s="46" t="inlineStr">
        <is>
          <t>Mechanical</t>
        </is>
      </c>
      <c r="E77" s="46" t="inlineStr">
        <is>
          <t>Electrician</t>
        </is>
      </c>
      <c r="F77" s="45" t="inlineStr">
        <is>
          <t>Staff</t>
        </is>
      </c>
      <c r="G77" s="45" t="inlineStr">
        <is>
          <t>White Collar</t>
        </is>
      </c>
      <c r="H77" s="46" t="inlineStr">
        <is>
          <t>Gulf Manpower Services</t>
        </is>
      </c>
      <c r="I77" s="47" t="n">
        <v>45320</v>
      </c>
      <c r="J77" s="45" t="inlineStr">
        <is>
          <t>Released</t>
        </is>
      </c>
      <c r="K77" s="47" t="n">
        <v>46269</v>
      </c>
      <c r="L77" s="46" t="inlineStr"/>
      <c r="N77">
        <f>IF(Search!$C$4="","",IF(ISNUMBER(SEARCH(Search!$C$4,A77&amp;" "&amp;B77&amp;" "&amp;D77&amp;" "&amp;H77&amp;" "&amp;J77)),ROW(),""))</f>
        <v/>
      </c>
    </row>
    <row r="78">
      <c r="A78" s="40" t="inlineStr">
        <is>
          <t>EMP-1074</t>
        </is>
      </c>
      <c r="B78" s="41" t="inlineStr">
        <is>
          <t>Okan Akhtar</t>
        </is>
      </c>
      <c r="C78" s="40" t="inlineStr">
        <is>
          <t>Turkiye</t>
        </is>
      </c>
      <c r="D78" s="41" t="inlineStr">
        <is>
          <t>Tunnelling</t>
        </is>
      </c>
      <c r="E78" s="41" t="inlineStr">
        <is>
          <t>TBM Operator</t>
        </is>
      </c>
      <c r="F78" s="40" t="inlineStr">
        <is>
          <t>Staff</t>
        </is>
      </c>
      <c r="G78" s="40" t="inlineStr">
        <is>
          <t>White Collar</t>
        </is>
      </c>
      <c r="H78" s="41" t="inlineStr">
        <is>
          <t>Red Sea Rental Solutions</t>
        </is>
      </c>
      <c r="I78" s="42" t="n">
        <v>45808</v>
      </c>
      <c r="J78" s="40" t="inlineStr">
        <is>
          <t>Active</t>
        </is>
      </c>
      <c r="K78" s="42" t="n">
        <v>46340</v>
      </c>
      <c r="L78" s="41" t="inlineStr"/>
      <c r="N78">
        <f>IF(Search!$C$4="","",IF(ISNUMBER(SEARCH(Search!$C$4,A78&amp;" "&amp;B78&amp;" "&amp;D78&amp;" "&amp;H78&amp;" "&amp;J78)),ROW(),""))</f>
        <v/>
      </c>
    </row>
    <row r="79">
      <c r="A79" s="45" t="inlineStr">
        <is>
          <t>EMP-1075</t>
        </is>
      </c>
      <c r="B79" s="46" t="inlineStr">
        <is>
          <t>Suresh Akhtar</t>
        </is>
      </c>
      <c r="C79" s="45" t="inlineStr">
        <is>
          <t>India</t>
        </is>
      </c>
      <c r="D79" s="46" t="inlineStr">
        <is>
          <t>Tunnelling</t>
        </is>
      </c>
      <c r="E79" s="46" t="inlineStr">
        <is>
          <t>Shift Engineer</t>
        </is>
      </c>
      <c r="F79" s="45" t="inlineStr">
        <is>
          <t>Staff</t>
        </is>
      </c>
      <c r="G79" s="45" t="inlineStr">
        <is>
          <t>White Collar</t>
        </is>
      </c>
      <c r="H79" s="46" t="inlineStr">
        <is>
          <t>Desert Horizon Contracting</t>
        </is>
      </c>
      <c r="I79" s="47" t="n">
        <v>45182</v>
      </c>
      <c r="J79" s="45" t="inlineStr">
        <is>
          <t>Active</t>
        </is>
      </c>
      <c r="K79" s="47" t="n">
        <v>46377</v>
      </c>
      <c r="L79" s="46" t="inlineStr"/>
      <c r="N79">
        <f>IF(Search!$C$4="","",IF(ISNUMBER(SEARCH(Search!$C$4,A79&amp;" "&amp;B79&amp;" "&amp;D79&amp;" "&amp;H79&amp;" "&amp;J79)),ROW(),""))</f>
        <v/>
      </c>
    </row>
    <row r="80">
      <c r="A80" s="40" t="inlineStr">
        <is>
          <t>EMP-1076</t>
        </is>
      </c>
      <c r="B80" s="41" t="inlineStr">
        <is>
          <t>Vijay Mirza</t>
        </is>
      </c>
      <c r="C80" s="40" t="inlineStr">
        <is>
          <t>India</t>
        </is>
      </c>
      <c r="D80" s="41" t="inlineStr">
        <is>
          <t>Mechanical</t>
        </is>
      </c>
      <c r="E80" s="41" t="inlineStr">
        <is>
          <t>Welder</t>
        </is>
      </c>
      <c r="F80" s="40" t="inlineStr">
        <is>
          <t>Labor</t>
        </is>
      </c>
      <c r="G80" s="40" t="inlineStr">
        <is>
          <t>Blue Collar</t>
        </is>
      </c>
      <c r="H80" s="41" t="inlineStr">
        <is>
          <t>Red Sea Rental Solutions</t>
        </is>
      </c>
      <c r="I80" s="42" t="n">
        <v>45380</v>
      </c>
      <c r="J80" s="40" t="inlineStr">
        <is>
          <t>Released</t>
        </is>
      </c>
      <c r="K80" s="42" t="n">
        <v>46299</v>
      </c>
      <c r="L80" s="41" t="inlineStr"/>
      <c r="N80">
        <f>IF(Search!$C$4="","",IF(ISNUMBER(SEARCH(Search!$C$4,A80&amp;" "&amp;B80&amp;" "&amp;D80&amp;" "&amp;H80&amp;" "&amp;J80)),ROW(),""))</f>
        <v/>
      </c>
    </row>
    <row r="81">
      <c r="A81" s="45" t="inlineStr">
        <is>
          <t>EMP-1077</t>
        </is>
      </c>
      <c r="B81" s="46" t="inlineStr">
        <is>
          <t>Ramon Rao</t>
        </is>
      </c>
      <c r="C81" s="45" t="inlineStr">
        <is>
          <t>Philippines</t>
        </is>
      </c>
      <c r="D81" s="46" t="inlineStr">
        <is>
          <t>Mechanical</t>
        </is>
      </c>
      <c r="E81" s="46" t="inlineStr">
        <is>
          <t>Fitter</t>
        </is>
      </c>
      <c r="F81" s="45" t="inlineStr">
        <is>
          <t>Labor</t>
        </is>
      </c>
      <c r="G81" s="45" t="inlineStr">
        <is>
          <t>Blue Collar</t>
        </is>
      </c>
      <c r="H81" s="46" t="inlineStr">
        <is>
          <t>Red Sea Rental Solutions</t>
        </is>
      </c>
      <c r="I81" s="47" t="n">
        <v>45688</v>
      </c>
      <c r="J81" s="45" t="inlineStr">
        <is>
          <t>Active</t>
        </is>
      </c>
      <c r="K81" s="47" t="n">
        <v>46363</v>
      </c>
      <c r="L81" s="46" t="inlineStr"/>
      <c r="N81">
        <f>IF(Search!$C$4="","",IF(ISNUMBER(SEARCH(Search!$C$4,A81&amp;" "&amp;B81&amp;" "&amp;D81&amp;" "&amp;H81&amp;" "&amp;J81)),ROW(),""))</f>
        <v/>
      </c>
    </row>
    <row r="82">
      <c r="A82" s="40" t="inlineStr">
        <is>
          <t>EMP-1078</t>
        </is>
      </c>
      <c r="B82" s="41" t="inlineStr">
        <is>
          <t>Saad Akhtar</t>
        </is>
      </c>
      <c r="C82" s="40" t="inlineStr">
        <is>
          <t>Pakistan</t>
        </is>
      </c>
      <c r="D82" s="41" t="inlineStr">
        <is>
          <t>Mechanical</t>
        </is>
      </c>
      <c r="E82" s="41" t="inlineStr">
        <is>
          <t>Welder</t>
        </is>
      </c>
      <c r="F82" s="40" t="inlineStr">
        <is>
          <t>Labor</t>
        </is>
      </c>
      <c r="G82" s="40" t="inlineStr">
        <is>
          <t>Blue Collar</t>
        </is>
      </c>
      <c r="H82" s="41" t="inlineStr">
        <is>
          <t>Gulf Manpower Services</t>
        </is>
      </c>
      <c r="I82" s="42" t="n">
        <v>45460</v>
      </c>
      <c r="J82" s="40" t="inlineStr">
        <is>
          <t>Released</t>
        </is>
      </c>
      <c r="K82" s="42" t="n">
        <v>46267</v>
      </c>
      <c r="L82" s="41" t="inlineStr"/>
      <c r="N82">
        <f>IF(Search!$C$4="","",IF(ISNUMBER(SEARCH(Search!$C$4,A82&amp;" "&amp;B82&amp;" "&amp;D82&amp;" "&amp;H82&amp;" "&amp;J82)),ROW(),""))</f>
        <v/>
      </c>
    </row>
    <row r="83">
      <c r="A83" s="45" t="inlineStr">
        <is>
          <t>EMP-1079</t>
        </is>
      </c>
      <c r="B83" s="46" t="inlineStr">
        <is>
          <t>Adeel Yildiz</t>
        </is>
      </c>
      <c r="C83" s="45" t="inlineStr">
        <is>
          <t>Pakistan</t>
        </is>
      </c>
      <c r="D83" s="46" t="inlineStr">
        <is>
          <t>Logistics</t>
        </is>
      </c>
      <c r="E83" s="46" t="inlineStr">
        <is>
          <t>Storekeeper</t>
        </is>
      </c>
      <c r="F83" s="45" t="inlineStr">
        <is>
          <t>Labor</t>
        </is>
      </c>
      <c r="G83" s="45" t="inlineStr">
        <is>
          <t>Blue Collar</t>
        </is>
      </c>
      <c r="H83" s="46" t="inlineStr">
        <is>
          <t>Desert Horizon Contracting</t>
        </is>
      </c>
      <c r="I83" s="47" t="n">
        <v>45270</v>
      </c>
      <c r="J83" s="45" t="inlineStr">
        <is>
          <t>Released</t>
        </is>
      </c>
      <c r="K83" s="47" t="n">
        <v>46224</v>
      </c>
      <c r="L83" s="46" t="inlineStr"/>
      <c r="N83">
        <f>IF(Search!$C$4="","",IF(ISNUMBER(SEARCH(Search!$C$4,A83&amp;" "&amp;B83&amp;" "&amp;D83&amp;" "&amp;H83&amp;" "&amp;J83)),ROW(),""))</f>
        <v/>
      </c>
    </row>
    <row r="84">
      <c r="A84" s="40" t="inlineStr">
        <is>
          <t>EMP-1080</t>
        </is>
      </c>
      <c r="B84" s="41" t="inlineStr">
        <is>
          <t>Samir Haider</t>
        </is>
      </c>
      <c r="C84" s="40" t="inlineStr">
        <is>
          <t>Egypt</t>
        </is>
      </c>
      <c r="D84" s="41" t="inlineStr">
        <is>
          <t>Tunnelling</t>
        </is>
      </c>
      <c r="E84" s="41" t="inlineStr">
        <is>
          <t>Segment Erector</t>
        </is>
      </c>
      <c r="F84" s="40" t="inlineStr">
        <is>
          <t>Labor</t>
        </is>
      </c>
      <c r="G84" s="40" t="inlineStr">
        <is>
          <t>Blue Collar</t>
        </is>
      </c>
      <c r="H84" s="41" t="inlineStr">
        <is>
          <t>Desert Horizon Contracting</t>
        </is>
      </c>
      <c r="I84" s="42" t="n">
        <v>45083</v>
      </c>
      <c r="J84" s="40" t="inlineStr">
        <is>
          <t>Active</t>
        </is>
      </c>
      <c r="K84" s="42" t="n">
        <v>46323</v>
      </c>
      <c r="L84" s="41" t="inlineStr"/>
      <c r="N84">
        <f>IF(Search!$C$4="","",IF(ISNUMBER(SEARCH(Search!$C$4,A84&amp;" "&amp;B84&amp;" "&amp;D84&amp;" "&amp;H84&amp;" "&amp;J84)),ROW(),""))</f>
        <v/>
      </c>
    </row>
    <row r="85">
      <c r="A85" s="45" t="inlineStr">
        <is>
          <t>EMP-1081</t>
        </is>
      </c>
      <c r="B85" s="46" t="inlineStr">
        <is>
          <t>Ravi Rao</t>
        </is>
      </c>
      <c r="C85" s="45" t="inlineStr">
        <is>
          <t>India</t>
        </is>
      </c>
      <c r="D85" s="46" t="inlineStr">
        <is>
          <t>Logistics</t>
        </is>
      </c>
      <c r="E85" s="46" t="inlineStr">
        <is>
          <t>Logistics Clerk</t>
        </is>
      </c>
      <c r="F85" s="45" t="inlineStr">
        <is>
          <t>Staff</t>
        </is>
      </c>
      <c r="G85" s="45" t="inlineStr">
        <is>
          <t>White Collar</t>
        </is>
      </c>
      <c r="H85" s="46" t="inlineStr">
        <is>
          <t>Desert Horizon Contracting</t>
        </is>
      </c>
      <c r="I85" s="47" t="n">
        <v>45138</v>
      </c>
      <c r="J85" s="45" t="inlineStr">
        <is>
          <t>Active</t>
        </is>
      </c>
      <c r="K85" s="47" t="n">
        <v>46356</v>
      </c>
      <c r="L85" s="46" t="inlineStr"/>
      <c r="N85">
        <f>IF(Search!$C$4="","",IF(ISNUMBER(SEARCH(Search!$C$4,A85&amp;" "&amp;B85&amp;" "&amp;D85&amp;" "&amp;H85&amp;" "&amp;J85)),ROW(),""))</f>
        <v/>
      </c>
    </row>
    <row r="86">
      <c r="A86" s="40" t="inlineStr">
        <is>
          <t>EMP-1082</t>
        </is>
      </c>
      <c r="B86" s="41" t="inlineStr">
        <is>
          <t>Omar Latif</t>
        </is>
      </c>
      <c r="C86" s="40" t="inlineStr">
        <is>
          <t>Saudi Arabia</t>
        </is>
      </c>
      <c r="D86" s="41" t="inlineStr">
        <is>
          <t>Tunnelling</t>
        </is>
      </c>
      <c r="E86" s="41" t="inlineStr">
        <is>
          <t>Shift Engineer</t>
        </is>
      </c>
      <c r="F86" s="40" t="inlineStr">
        <is>
          <t>Staff</t>
        </is>
      </c>
      <c r="G86" s="40" t="inlineStr">
        <is>
          <t>White Collar</t>
        </is>
      </c>
      <c r="H86" s="41" t="inlineStr">
        <is>
          <t>Anatolian Build Co.</t>
        </is>
      </c>
      <c r="I86" s="42" t="n">
        <v>45287</v>
      </c>
      <c r="J86" s="40" t="inlineStr">
        <is>
          <t>Released</t>
        </is>
      </c>
      <c r="K86" s="42" t="n">
        <v>46219</v>
      </c>
      <c r="L86" s="41" t="inlineStr"/>
      <c r="N86">
        <f>IF(Search!$C$4="","",IF(ISNUMBER(SEARCH(Search!$C$4,A86&amp;" "&amp;B86&amp;" "&amp;D86&amp;" "&amp;H86&amp;" "&amp;J86)),ROW(),""))</f>
        <v/>
      </c>
    </row>
    <row r="87">
      <c r="A87" s="45" t="inlineStr">
        <is>
          <t>EMP-1083</t>
        </is>
      </c>
      <c r="B87" s="46" t="inlineStr">
        <is>
          <t>Serkan Rao</t>
        </is>
      </c>
      <c r="C87" s="45" t="inlineStr">
        <is>
          <t>Turkiye</t>
        </is>
      </c>
      <c r="D87" s="46" t="inlineStr">
        <is>
          <t>QA/QC</t>
        </is>
      </c>
      <c r="E87" s="46" t="inlineStr">
        <is>
          <t>Document Controller</t>
        </is>
      </c>
      <c r="F87" s="45" t="inlineStr">
        <is>
          <t>Staff</t>
        </is>
      </c>
      <c r="G87" s="45" t="inlineStr">
        <is>
          <t>White Collar</t>
        </is>
      </c>
      <c r="H87" s="46" t="inlineStr">
        <is>
          <t>Anatolian Build Co.</t>
        </is>
      </c>
      <c r="I87" s="47" t="n">
        <v>45544</v>
      </c>
      <c r="J87" s="45" t="inlineStr">
        <is>
          <t>Active</t>
        </is>
      </c>
      <c r="K87" s="47" t="n">
        <v>46372</v>
      </c>
      <c r="L87" s="46" t="inlineStr"/>
      <c r="N87">
        <f>IF(Search!$C$4="","",IF(ISNUMBER(SEARCH(Search!$C$4,A87&amp;" "&amp;B87&amp;" "&amp;D87&amp;" "&amp;H87&amp;" "&amp;J87)),ROW(),""))</f>
        <v/>
      </c>
    </row>
    <row r="88">
      <c r="A88" s="40" t="inlineStr">
        <is>
          <t>EMP-1084</t>
        </is>
      </c>
      <c r="B88" s="41" t="inlineStr">
        <is>
          <t>Waqas Yildiz</t>
        </is>
      </c>
      <c r="C88" s="40" t="inlineStr">
        <is>
          <t>Pakistan</t>
        </is>
      </c>
      <c r="D88" s="41" t="inlineStr">
        <is>
          <t>Logistics</t>
        </is>
      </c>
      <c r="E88" s="41" t="inlineStr">
        <is>
          <t>Driver</t>
        </is>
      </c>
      <c r="F88" s="40" t="inlineStr">
        <is>
          <t>Labor</t>
        </is>
      </c>
      <c r="G88" s="40" t="inlineStr">
        <is>
          <t>Blue Collar</t>
        </is>
      </c>
      <c r="H88" s="41" t="inlineStr">
        <is>
          <t>Desert Horizon Contracting</t>
        </is>
      </c>
      <c r="I88" s="42" t="n">
        <v>45611</v>
      </c>
      <c r="J88" s="40" t="inlineStr">
        <is>
          <t>Active</t>
        </is>
      </c>
      <c r="K88" s="42" t="n">
        <v>46316</v>
      </c>
      <c r="L88" s="41" t="inlineStr"/>
      <c r="N88">
        <f>IF(Search!$C$4="","",IF(ISNUMBER(SEARCH(Search!$C$4,A88&amp;" "&amp;B88&amp;" "&amp;D88&amp;" "&amp;H88&amp;" "&amp;J88)),ROW(),""))</f>
        <v/>
      </c>
    </row>
    <row r="89">
      <c r="A89" s="45" t="inlineStr">
        <is>
          <t>EMP-1085</t>
        </is>
      </c>
      <c r="B89" s="46" t="inlineStr">
        <is>
          <t>Asim Pillai</t>
        </is>
      </c>
      <c r="C89" s="45" t="inlineStr">
        <is>
          <t>Pakistan</t>
        </is>
      </c>
      <c r="D89" s="46" t="inlineStr">
        <is>
          <t>Administration</t>
        </is>
      </c>
      <c r="E89" s="46" t="inlineStr">
        <is>
          <t>Admin Assistant</t>
        </is>
      </c>
      <c r="F89" s="45" t="inlineStr">
        <is>
          <t>Staff</t>
        </is>
      </c>
      <c r="G89" s="45" t="inlineStr">
        <is>
          <t>White Collar</t>
        </is>
      </c>
      <c r="H89" s="46" t="inlineStr">
        <is>
          <t>Red Sea Rental Solutions</t>
        </is>
      </c>
      <c r="I89" s="47" t="n">
        <v>45533</v>
      </c>
      <c r="J89" s="45" t="inlineStr">
        <is>
          <t>Released</t>
        </is>
      </c>
      <c r="K89" s="47" t="n">
        <v>46287</v>
      </c>
      <c r="L89" s="46" t="inlineStr"/>
      <c r="N89">
        <f>IF(Search!$C$4="","",IF(ISNUMBER(SEARCH(Search!$C$4,A89&amp;" "&amp;B89&amp;" "&amp;D89&amp;" "&amp;H89&amp;" "&amp;J89)),ROW(),""))</f>
        <v/>
      </c>
    </row>
    <row r="90">
      <c r="A90" s="40" t="inlineStr">
        <is>
          <t>EMP-1086</t>
        </is>
      </c>
      <c r="B90" s="41" t="inlineStr">
        <is>
          <t>Bilal Haider</t>
        </is>
      </c>
      <c r="C90" s="40" t="inlineStr">
        <is>
          <t>Pakistan</t>
        </is>
      </c>
      <c r="D90" s="41" t="inlineStr">
        <is>
          <t>HSE</t>
        </is>
      </c>
      <c r="E90" s="41" t="inlineStr">
        <is>
          <t>HSE Officer</t>
        </is>
      </c>
      <c r="F90" s="40" t="inlineStr">
        <is>
          <t>Staff</t>
        </is>
      </c>
      <c r="G90" s="40" t="inlineStr">
        <is>
          <t>White Collar</t>
        </is>
      </c>
      <c r="H90" s="41" t="inlineStr">
        <is>
          <t>Red Sea Rental Solutions</t>
        </is>
      </c>
      <c r="I90" s="42" t="n">
        <v>45113</v>
      </c>
      <c r="J90" s="40" t="inlineStr">
        <is>
          <t>Released</t>
        </is>
      </c>
      <c r="K90" s="42" t="n">
        <v>46155</v>
      </c>
      <c r="L90" s="41" t="inlineStr"/>
      <c r="N90">
        <f>IF(Search!$C$4="","",IF(ISNUMBER(SEARCH(Search!$C$4,A90&amp;" "&amp;B90&amp;" "&amp;D90&amp;" "&amp;H90&amp;" "&amp;J90)),ROW(),""))</f>
        <v/>
      </c>
    </row>
    <row r="91">
      <c r="A91" s="45" t="inlineStr">
        <is>
          <t>EMP-1087</t>
        </is>
      </c>
      <c r="B91" s="46" t="inlineStr">
        <is>
          <t>Saad Menon</t>
        </is>
      </c>
      <c r="C91" s="45" t="inlineStr">
        <is>
          <t>Pakistan</t>
        </is>
      </c>
      <c r="D91" s="46" t="inlineStr">
        <is>
          <t>Logistics</t>
        </is>
      </c>
      <c r="E91" s="46" t="inlineStr">
        <is>
          <t>Logistics Clerk</t>
        </is>
      </c>
      <c r="F91" s="45" t="inlineStr">
        <is>
          <t>Staff</t>
        </is>
      </c>
      <c r="G91" s="45" t="inlineStr">
        <is>
          <t>White Collar</t>
        </is>
      </c>
      <c r="H91" s="46" t="inlineStr">
        <is>
          <t>Desert Horizon Contracting</t>
        </is>
      </c>
      <c r="I91" s="47" t="n">
        <v>45706</v>
      </c>
      <c r="J91" s="45" t="inlineStr">
        <is>
          <t>Active</t>
        </is>
      </c>
      <c r="K91" s="47" t="n">
        <v>46368</v>
      </c>
      <c r="L91" s="46" t="inlineStr"/>
      <c r="N91">
        <f>IF(Search!$C$4="","",IF(ISNUMBER(SEARCH(Search!$C$4,A91&amp;" "&amp;B91&amp;" "&amp;D91&amp;" "&amp;H91&amp;" "&amp;J91)),ROW(),""))</f>
        <v/>
      </c>
    </row>
    <row r="92">
      <c r="A92" s="40" t="inlineStr">
        <is>
          <t>EMP-1088</t>
        </is>
      </c>
      <c r="B92" s="41" t="inlineStr">
        <is>
          <t>Ravi Yildiz</t>
        </is>
      </c>
      <c r="C92" s="40" t="inlineStr">
        <is>
          <t>India</t>
        </is>
      </c>
      <c r="D92" s="41" t="inlineStr">
        <is>
          <t>Mechanical</t>
        </is>
      </c>
      <c r="E92" s="41" t="inlineStr">
        <is>
          <t>Fitter</t>
        </is>
      </c>
      <c r="F92" s="40" t="inlineStr">
        <is>
          <t>Labor</t>
        </is>
      </c>
      <c r="G92" s="40" t="inlineStr">
        <is>
          <t>Blue Collar</t>
        </is>
      </c>
      <c r="H92" s="41" t="inlineStr">
        <is>
          <t>Desert Horizon Contracting</t>
        </is>
      </c>
      <c r="I92" s="42" t="n">
        <v>45479</v>
      </c>
      <c r="J92" s="40" t="inlineStr">
        <is>
          <t>Released</t>
        </is>
      </c>
      <c r="K92" s="42" t="n">
        <v>46156</v>
      </c>
      <c r="L92" s="41" t="inlineStr"/>
      <c r="N92">
        <f>IF(Search!$C$4="","",IF(ISNUMBER(SEARCH(Search!$C$4,A92&amp;" "&amp;B92&amp;" "&amp;D92&amp;" "&amp;H92&amp;" "&amp;J92)),ROW(),""))</f>
        <v/>
      </c>
    </row>
    <row r="93">
      <c r="A93" s="45" t="inlineStr">
        <is>
          <t>EMP-1089</t>
        </is>
      </c>
      <c r="B93" s="46" t="inlineStr">
        <is>
          <t>Murat Akhtar</t>
        </is>
      </c>
      <c r="C93" s="45" t="inlineStr">
        <is>
          <t>Turkiye</t>
        </is>
      </c>
      <c r="D93" s="46" t="inlineStr">
        <is>
          <t>HSE</t>
        </is>
      </c>
      <c r="E93" s="46" t="inlineStr">
        <is>
          <t>Fire Watcher</t>
        </is>
      </c>
      <c r="F93" s="45" t="inlineStr">
        <is>
          <t>Labor</t>
        </is>
      </c>
      <c r="G93" s="45" t="inlineStr">
        <is>
          <t>Blue Collar</t>
        </is>
      </c>
      <c r="H93" s="46" t="inlineStr">
        <is>
          <t>Desert Horizon Contracting</t>
        </is>
      </c>
      <c r="I93" s="47" t="n">
        <v>44958</v>
      </c>
      <c r="J93" s="45" t="inlineStr">
        <is>
          <t>Released</t>
        </is>
      </c>
      <c r="K93" s="47" t="n">
        <v>46206</v>
      </c>
      <c r="L93" s="46" t="inlineStr"/>
      <c r="N93">
        <f>IF(Search!$C$4="","",IF(ISNUMBER(SEARCH(Search!$C$4,A93&amp;" "&amp;B93&amp;" "&amp;D93&amp;" "&amp;H93&amp;" "&amp;J93)),ROW(),""))</f>
        <v/>
      </c>
    </row>
    <row r="94">
      <c r="A94" s="40" t="inlineStr">
        <is>
          <t>EMP-1090</t>
        </is>
      </c>
      <c r="B94" s="41" t="inlineStr">
        <is>
          <t>Usman Rahman</t>
        </is>
      </c>
      <c r="C94" s="40" t="inlineStr">
        <is>
          <t>Pakistan</t>
        </is>
      </c>
      <c r="D94" s="41" t="inlineStr">
        <is>
          <t>HSE</t>
        </is>
      </c>
      <c r="E94" s="41" t="inlineStr">
        <is>
          <t>HSE Officer</t>
        </is>
      </c>
      <c r="F94" s="40" t="inlineStr">
        <is>
          <t>Staff</t>
        </is>
      </c>
      <c r="G94" s="40" t="inlineStr">
        <is>
          <t>White Collar</t>
        </is>
      </c>
      <c r="H94" s="41" t="inlineStr">
        <is>
          <t>Desert Horizon Contracting</t>
        </is>
      </c>
      <c r="I94" s="42" t="n">
        <v>45612</v>
      </c>
      <c r="J94" s="40" t="inlineStr">
        <is>
          <t>Released</t>
        </is>
      </c>
      <c r="K94" s="42" t="n">
        <v>46172</v>
      </c>
      <c r="L94" s="41" t="inlineStr"/>
      <c r="N94">
        <f>IF(Search!$C$4="","",IF(ISNUMBER(SEARCH(Search!$C$4,A94&amp;" "&amp;B94&amp;" "&amp;D94&amp;" "&amp;H94&amp;" "&amp;J94)),ROW(),""))</f>
        <v/>
      </c>
    </row>
    <row r="95">
      <c r="A95" s="45" t="inlineStr">
        <is>
          <t>EMP-1091</t>
        </is>
      </c>
      <c r="B95" s="46" t="inlineStr">
        <is>
          <t>Ahmed Javed</t>
        </is>
      </c>
      <c r="C95" s="45" t="inlineStr">
        <is>
          <t>Egypt</t>
        </is>
      </c>
      <c r="D95" s="46" t="inlineStr">
        <is>
          <t>Logistics</t>
        </is>
      </c>
      <c r="E95" s="46" t="inlineStr">
        <is>
          <t>Storekeeper</t>
        </is>
      </c>
      <c r="F95" s="45" t="inlineStr">
        <is>
          <t>Labor</t>
        </is>
      </c>
      <c r="G95" s="45" t="inlineStr">
        <is>
          <t>Blue Collar</t>
        </is>
      </c>
      <c r="H95" s="46" t="inlineStr">
        <is>
          <t>Gulf Manpower Services</t>
        </is>
      </c>
      <c r="I95" s="47" t="n">
        <v>45098</v>
      </c>
      <c r="J95" s="45" t="inlineStr">
        <is>
          <t>Released</t>
        </is>
      </c>
      <c r="K95" s="47" t="n">
        <v>46298</v>
      </c>
      <c r="L95" s="46" t="inlineStr"/>
      <c r="N95">
        <f>IF(Search!$C$4="","",IF(ISNUMBER(SEARCH(Search!$C$4,A95&amp;" "&amp;B95&amp;" "&amp;D95&amp;" "&amp;H95&amp;" "&amp;J95)),ROW(),""))</f>
        <v/>
      </c>
    </row>
    <row r="96">
      <c r="A96" s="40" t="inlineStr">
        <is>
          <t>EMP-1092</t>
        </is>
      </c>
      <c r="B96" s="41" t="inlineStr">
        <is>
          <t>Khalid Anwar</t>
        </is>
      </c>
      <c r="C96" s="40" t="inlineStr">
        <is>
          <t>Saudi Arabia</t>
        </is>
      </c>
      <c r="D96" s="41" t="inlineStr">
        <is>
          <t>HSE</t>
        </is>
      </c>
      <c r="E96" s="41" t="inlineStr">
        <is>
          <t>HSE Officer</t>
        </is>
      </c>
      <c r="F96" s="40" t="inlineStr">
        <is>
          <t>Staff</t>
        </is>
      </c>
      <c r="G96" s="40" t="inlineStr">
        <is>
          <t>White Collar</t>
        </is>
      </c>
      <c r="H96" s="41" t="inlineStr">
        <is>
          <t>Red Sea Rental Solutions</t>
        </is>
      </c>
      <c r="I96" s="42" t="n">
        <v>45037</v>
      </c>
      <c r="J96" s="40" t="inlineStr">
        <is>
          <t>Released</t>
        </is>
      </c>
      <c r="K96" s="42" t="n">
        <v>46291</v>
      </c>
      <c r="L96" s="41" t="inlineStr"/>
      <c r="N96">
        <f>IF(Search!$C$4="","",IF(ISNUMBER(SEARCH(Search!$C$4,A96&amp;" "&amp;B96&amp;" "&amp;D96&amp;" "&amp;H96&amp;" "&amp;J96)),ROW(),""))</f>
        <v/>
      </c>
    </row>
    <row r="97">
      <c r="A97" s="45" t="inlineStr">
        <is>
          <t>EMP-1093</t>
        </is>
      </c>
      <c r="B97" s="46" t="inlineStr">
        <is>
          <t>Bilal Aksoy</t>
        </is>
      </c>
      <c r="C97" s="45" t="inlineStr">
        <is>
          <t>Pakistan</t>
        </is>
      </c>
      <c r="D97" s="46" t="inlineStr">
        <is>
          <t>QA/QC</t>
        </is>
      </c>
      <c r="E97" s="46" t="inlineStr">
        <is>
          <t>QA Engineer</t>
        </is>
      </c>
      <c r="F97" s="45" t="inlineStr">
        <is>
          <t>Staff</t>
        </is>
      </c>
      <c r="G97" s="45" t="inlineStr">
        <is>
          <t>White Collar</t>
        </is>
      </c>
      <c r="H97" s="46" t="inlineStr">
        <is>
          <t>Desert Horizon Contracting</t>
        </is>
      </c>
      <c r="I97" s="47" t="n">
        <v>45659</v>
      </c>
      <c r="J97" s="45" t="inlineStr">
        <is>
          <t>Released</t>
        </is>
      </c>
      <c r="K97" s="47" t="n">
        <v>46193</v>
      </c>
      <c r="L97" s="46" t="inlineStr"/>
      <c r="N97">
        <f>IF(Search!$C$4="","",IF(ISNUMBER(SEARCH(Search!$C$4,A97&amp;" "&amp;B97&amp;" "&amp;D97&amp;" "&amp;H97&amp;" "&amp;J97)),ROW(),""))</f>
        <v/>
      </c>
    </row>
    <row r="98">
      <c r="A98" s="40" t="inlineStr">
        <is>
          <t>EMP-1094</t>
        </is>
      </c>
      <c r="B98" s="41" t="inlineStr">
        <is>
          <t>Yasir Haddad</t>
        </is>
      </c>
      <c r="C98" s="40" t="inlineStr">
        <is>
          <t>Pakistan</t>
        </is>
      </c>
      <c r="D98" s="41" t="inlineStr">
        <is>
          <t>HSE</t>
        </is>
      </c>
      <c r="E98" s="41" t="inlineStr">
        <is>
          <t>Fire Watcher</t>
        </is>
      </c>
      <c r="F98" s="40" t="inlineStr">
        <is>
          <t>Labor</t>
        </is>
      </c>
      <c r="G98" s="40" t="inlineStr">
        <is>
          <t>Blue Collar</t>
        </is>
      </c>
      <c r="H98" s="41" t="inlineStr">
        <is>
          <t>Desert Horizon Contracting</t>
        </is>
      </c>
      <c r="I98" s="42" t="n">
        <v>45640</v>
      </c>
      <c r="J98" s="40" t="inlineStr">
        <is>
          <t>Active</t>
        </is>
      </c>
      <c r="K98" s="42" t="n">
        <v>46340</v>
      </c>
      <c r="L98" s="41" t="inlineStr"/>
      <c r="N98">
        <f>IF(Search!$C$4="","",IF(ISNUMBER(SEARCH(Search!$C$4,A98&amp;" "&amp;B98&amp;" "&amp;D98&amp;" "&amp;H98&amp;" "&amp;J98)),ROW(),""))</f>
        <v/>
      </c>
    </row>
    <row r="99">
      <c r="A99" s="45" t="inlineStr">
        <is>
          <t>EMP-1095</t>
        </is>
      </c>
      <c r="B99" s="46" t="inlineStr">
        <is>
          <t>Khalid Chaudhry</t>
        </is>
      </c>
      <c r="C99" s="45" t="inlineStr">
        <is>
          <t>Saudi Arabia</t>
        </is>
      </c>
      <c r="D99" s="46" t="inlineStr">
        <is>
          <t>Mechanical</t>
        </is>
      </c>
      <c r="E99" s="46" t="inlineStr">
        <is>
          <t>Mechanic</t>
        </is>
      </c>
      <c r="F99" s="45" t="inlineStr">
        <is>
          <t>Staff</t>
        </is>
      </c>
      <c r="G99" s="45" t="inlineStr">
        <is>
          <t>White Collar</t>
        </is>
      </c>
      <c r="H99" s="46" t="inlineStr">
        <is>
          <t>Desert Horizon Contracting</t>
        </is>
      </c>
      <c r="I99" s="47" t="n">
        <v>45365</v>
      </c>
      <c r="J99" s="45" t="inlineStr">
        <is>
          <t>Active</t>
        </is>
      </c>
      <c r="K99" s="47" t="n">
        <v>46312</v>
      </c>
      <c r="L99" s="46" t="inlineStr"/>
      <c r="N99">
        <f>IF(Search!$C$4="","",IF(ISNUMBER(SEARCH(Search!$C$4,A99&amp;" "&amp;B99&amp;" "&amp;D99&amp;" "&amp;H99&amp;" "&amp;J99)),ROW(),""))</f>
        <v/>
      </c>
    </row>
    <row r="100">
      <c r="A100" s="40" t="inlineStr">
        <is>
          <t>EMP-1096</t>
        </is>
      </c>
      <c r="B100" s="41" t="inlineStr">
        <is>
          <t>Ramon Saleh</t>
        </is>
      </c>
      <c r="C100" s="40" t="inlineStr">
        <is>
          <t>Philippines</t>
        </is>
      </c>
      <c r="D100" s="41" t="inlineStr">
        <is>
          <t>Logistics</t>
        </is>
      </c>
      <c r="E100" s="41" t="inlineStr">
        <is>
          <t>Logistics Clerk</t>
        </is>
      </c>
      <c r="F100" s="40" t="inlineStr">
        <is>
          <t>Staff</t>
        </is>
      </c>
      <c r="G100" s="40" t="inlineStr">
        <is>
          <t>White Collar</t>
        </is>
      </c>
      <c r="H100" s="41" t="inlineStr">
        <is>
          <t>Gulf Manpower Services</t>
        </is>
      </c>
      <c r="I100" s="42" t="n">
        <v>45035</v>
      </c>
      <c r="J100" s="40" t="inlineStr">
        <is>
          <t>Released</t>
        </is>
      </c>
      <c r="K100" s="42" t="n">
        <v>46253</v>
      </c>
      <c r="L100" s="41" t="inlineStr"/>
      <c r="N100">
        <f>IF(Search!$C$4="","",IF(ISNUMBER(SEARCH(Search!$C$4,A100&amp;" "&amp;B100&amp;" "&amp;D100&amp;" "&amp;H100&amp;" "&amp;J100)),ROW(),""))</f>
        <v/>
      </c>
    </row>
    <row r="101">
      <c r="A101" s="45" t="inlineStr">
        <is>
          <t>EMP-1097</t>
        </is>
      </c>
      <c r="B101" s="46" t="inlineStr">
        <is>
          <t>Kerem Saleh</t>
        </is>
      </c>
      <c r="C101" s="45" t="inlineStr">
        <is>
          <t>Turkiye</t>
        </is>
      </c>
      <c r="D101" s="46" t="inlineStr">
        <is>
          <t>Administration</t>
        </is>
      </c>
      <c r="E101" s="46" t="inlineStr">
        <is>
          <t>Timekeeper</t>
        </is>
      </c>
      <c r="F101" s="45" t="inlineStr">
        <is>
          <t>Staff</t>
        </is>
      </c>
      <c r="G101" s="45" t="inlineStr">
        <is>
          <t>White Collar</t>
        </is>
      </c>
      <c r="H101" s="46" t="inlineStr">
        <is>
          <t>Gulf Manpower Services</t>
        </is>
      </c>
      <c r="I101" s="47" t="n">
        <v>45372</v>
      </c>
      <c r="J101" s="45" t="inlineStr">
        <is>
          <t>Released</t>
        </is>
      </c>
      <c r="K101" s="47" t="n">
        <v>46188</v>
      </c>
      <c r="L101" s="46" t="inlineStr"/>
      <c r="N101">
        <f>IF(Search!$C$4="","",IF(ISNUMBER(SEARCH(Search!$C$4,A101&amp;" "&amp;B101&amp;" "&amp;D101&amp;" "&amp;H101&amp;" "&amp;J101)),ROW(),""))</f>
        <v/>
      </c>
    </row>
    <row r="102">
      <c r="A102" s="40" t="inlineStr">
        <is>
          <t>EMP-1098</t>
        </is>
      </c>
      <c r="B102" s="41" t="inlineStr">
        <is>
          <t>Jose Saleh</t>
        </is>
      </c>
      <c r="C102" s="40" t="inlineStr">
        <is>
          <t>Philippines</t>
        </is>
      </c>
      <c r="D102" s="41" t="inlineStr">
        <is>
          <t>Tunnelling</t>
        </is>
      </c>
      <c r="E102" s="41" t="inlineStr">
        <is>
          <t>Shift Engineer</t>
        </is>
      </c>
      <c r="F102" s="40" t="inlineStr">
        <is>
          <t>Staff</t>
        </is>
      </c>
      <c r="G102" s="40" t="inlineStr">
        <is>
          <t>White Collar</t>
        </is>
      </c>
      <c r="H102" s="41" t="inlineStr">
        <is>
          <t>Anatolian Build Co.</t>
        </is>
      </c>
      <c r="I102" s="42" t="n">
        <v>45772</v>
      </c>
      <c r="J102" s="40" t="inlineStr">
        <is>
          <t>Active</t>
        </is>
      </c>
      <c r="K102" s="42" t="n">
        <v>46330</v>
      </c>
      <c r="L102" s="41" t="inlineStr"/>
      <c r="N102">
        <f>IF(Search!$C$4="","",IF(ISNUMBER(SEARCH(Search!$C$4,A102&amp;" "&amp;B102&amp;" "&amp;D102&amp;" "&amp;H102&amp;" "&amp;J102)),ROW(),""))</f>
        <v/>
      </c>
    </row>
    <row r="103">
      <c r="A103" s="45" t="inlineStr">
        <is>
          <t>EMP-1099</t>
        </is>
      </c>
      <c r="B103" s="46" t="inlineStr">
        <is>
          <t>Emre Akhtar</t>
        </is>
      </c>
      <c r="C103" s="45" t="inlineStr">
        <is>
          <t>Turkiye</t>
        </is>
      </c>
      <c r="D103" s="46" t="inlineStr">
        <is>
          <t>Mechanical</t>
        </is>
      </c>
      <c r="E103" s="46" t="inlineStr">
        <is>
          <t>Mechanic</t>
        </is>
      </c>
      <c r="F103" s="45" t="inlineStr">
        <is>
          <t>Staff</t>
        </is>
      </c>
      <c r="G103" s="45" t="inlineStr">
        <is>
          <t>White Collar</t>
        </is>
      </c>
      <c r="H103" s="46" t="inlineStr">
        <is>
          <t>Desert Horizon Contracting</t>
        </is>
      </c>
      <c r="I103" s="47" t="n">
        <v>45388</v>
      </c>
      <c r="J103" s="45" t="inlineStr">
        <is>
          <t>Released</t>
        </is>
      </c>
      <c r="K103" s="47" t="n">
        <v>46205</v>
      </c>
      <c r="L103" s="46" t="inlineStr"/>
      <c r="N103">
        <f>IF(Search!$C$4="","",IF(ISNUMBER(SEARCH(Search!$C$4,A103&amp;" "&amp;B103&amp;" "&amp;D103&amp;" "&amp;H103&amp;" "&amp;J103)),ROW(),""))</f>
        <v/>
      </c>
    </row>
    <row r="104">
      <c r="A104" s="40" t="inlineStr">
        <is>
          <t>EMP-1100</t>
        </is>
      </c>
      <c r="B104" s="41" t="inlineStr">
        <is>
          <t>Vijay Haddad</t>
        </is>
      </c>
      <c r="C104" s="40" t="inlineStr">
        <is>
          <t>India</t>
        </is>
      </c>
      <c r="D104" s="41" t="inlineStr">
        <is>
          <t>QA/QC</t>
        </is>
      </c>
      <c r="E104" s="41" t="inlineStr">
        <is>
          <t>QA Engineer</t>
        </is>
      </c>
      <c r="F104" s="40" t="inlineStr">
        <is>
          <t>Staff</t>
        </is>
      </c>
      <c r="G104" s="40" t="inlineStr">
        <is>
          <t>White Collar</t>
        </is>
      </c>
      <c r="H104" s="41" t="inlineStr">
        <is>
          <t>Desert Horizon Contracting</t>
        </is>
      </c>
      <c r="I104" s="42" t="n">
        <v>45433</v>
      </c>
      <c r="J104" s="40" t="inlineStr">
        <is>
          <t>Active</t>
        </is>
      </c>
      <c r="K104" s="42" t="n">
        <v>46360</v>
      </c>
      <c r="L104" s="41" t="inlineStr"/>
      <c r="N104">
        <f>IF(Search!$C$4="","",IF(ISNUMBER(SEARCH(Search!$C$4,A104&amp;" "&amp;B104&amp;" "&amp;D104&amp;" "&amp;H104&amp;" "&amp;J104)),ROW(),""))</f>
        <v/>
      </c>
    </row>
    <row r="105">
      <c r="A105" s="45" t="inlineStr">
        <is>
          <t>EMP-1101</t>
        </is>
      </c>
      <c r="B105" s="46" t="inlineStr">
        <is>
          <t>Mark Javed</t>
        </is>
      </c>
      <c r="C105" s="45" t="inlineStr">
        <is>
          <t>Philippines</t>
        </is>
      </c>
      <c r="D105" s="46" t="inlineStr">
        <is>
          <t>Logistics</t>
        </is>
      </c>
      <c r="E105" s="46" t="inlineStr">
        <is>
          <t>Storekeeper</t>
        </is>
      </c>
      <c r="F105" s="45" t="inlineStr">
        <is>
          <t>Labor</t>
        </is>
      </c>
      <c r="G105" s="45" t="inlineStr">
        <is>
          <t>Blue Collar</t>
        </is>
      </c>
      <c r="H105" s="46" t="inlineStr">
        <is>
          <t>Desert Horizon Contracting</t>
        </is>
      </c>
      <c r="I105" s="47" t="n">
        <v>45537</v>
      </c>
      <c r="J105" s="45" t="inlineStr">
        <is>
          <t>Active</t>
        </is>
      </c>
      <c r="K105" s="47" t="n">
        <v>46322</v>
      </c>
      <c r="L105" s="46" t="inlineStr"/>
      <c r="N105">
        <f>IF(Search!$C$4="","",IF(ISNUMBER(SEARCH(Search!$C$4,A105&amp;" "&amp;B105&amp;" "&amp;D105&amp;" "&amp;H105&amp;" "&amp;J105)),ROW(),""))</f>
        <v/>
      </c>
    </row>
    <row r="106">
      <c r="A106" s="40" t="inlineStr">
        <is>
          <t>EMP-1102</t>
        </is>
      </c>
      <c r="B106" s="41" t="inlineStr">
        <is>
          <t>Karim Rahman</t>
        </is>
      </c>
      <c r="C106" s="40" t="inlineStr">
        <is>
          <t>Egypt</t>
        </is>
      </c>
      <c r="D106" s="41" t="inlineStr">
        <is>
          <t>QA/QC</t>
        </is>
      </c>
      <c r="E106" s="41" t="inlineStr">
        <is>
          <t>QC Inspector</t>
        </is>
      </c>
      <c r="F106" s="40" t="inlineStr">
        <is>
          <t>Staff</t>
        </is>
      </c>
      <c r="G106" s="40" t="inlineStr">
        <is>
          <t>White Collar</t>
        </is>
      </c>
      <c r="H106" s="41" t="inlineStr">
        <is>
          <t>Desert Horizon Contracting</t>
        </is>
      </c>
      <c r="I106" s="42" t="n">
        <v>45664</v>
      </c>
      <c r="J106" s="40" t="inlineStr">
        <is>
          <t>Released</t>
        </is>
      </c>
      <c r="K106" s="42" t="n">
        <v>46247</v>
      </c>
      <c r="L106" s="41" t="inlineStr"/>
      <c r="N106">
        <f>IF(Search!$C$4="","",IF(ISNUMBER(SEARCH(Search!$C$4,A106&amp;" "&amp;B106&amp;" "&amp;D106&amp;" "&amp;H106&amp;" "&amp;J106)),ROW(),""))</f>
        <v/>
      </c>
    </row>
    <row r="107">
      <c r="A107" s="45" t="inlineStr">
        <is>
          <t>EMP-1103</t>
        </is>
      </c>
      <c r="B107" s="46" t="inlineStr">
        <is>
          <t>Mark Cruz</t>
        </is>
      </c>
      <c r="C107" s="45" t="inlineStr">
        <is>
          <t>Philippines</t>
        </is>
      </c>
      <c r="D107" s="46" t="inlineStr">
        <is>
          <t>Mechanical</t>
        </is>
      </c>
      <c r="E107" s="46" t="inlineStr">
        <is>
          <t>Fitter</t>
        </is>
      </c>
      <c r="F107" s="45" t="inlineStr">
        <is>
          <t>Labor</t>
        </is>
      </c>
      <c r="G107" s="45" t="inlineStr">
        <is>
          <t>Blue Collar</t>
        </is>
      </c>
      <c r="H107" s="46" t="inlineStr">
        <is>
          <t>Gulf Manpower Services</t>
        </is>
      </c>
      <c r="I107" s="47" t="n">
        <v>45429</v>
      </c>
      <c r="J107" s="45" t="inlineStr">
        <is>
          <t>Released</t>
        </is>
      </c>
      <c r="K107" s="47" t="n">
        <v>46257</v>
      </c>
      <c r="L107" s="46" t="inlineStr"/>
      <c r="N107">
        <f>IF(Search!$C$4="","",IF(ISNUMBER(SEARCH(Search!$C$4,A107&amp;" "&amp;B107&amp;" "&amp;D107&amp;" "&amp;H107&amp;" "&amp;J107)),ROW(),""))</f>
        <v/>
      </c>
    </row>
    <row r="108">
      <c r="A108" s="40" t="inlineStr">
        <is>
          <t>EMP-1104</t>
        </is>
      </c>
      <c r="B108" s="41" t="inlineStr">
        <is>
          <t>Bilal Haider</t>
        </is>
      </c>
      <c r="C108" s="40" t="inlineStr">
        <is>
          <t>Pakistan</t>
        </is>
      </c>
      <c r="D108" s="41" t="inlineStr">
        <is>
          <t>Logistics</t>
        </is>
      </c>
      <c r="E108" s="41" t="inlineStr">
        <is>
          <t>Logistics Clerk</t>
        </is>
      </c>
      <c r="F108" s="40" t="inlineStr">
        <is>
          <t>Staff</t>
        </is>
      </c>
      <c r="G108" s="40" t="inlineStr">
        <is>
          <t>White Collar</t>
        </is>
      </c>
      <c r="H108" s="41" t="inlineStr">
        <is>
          <t>Gulf Manpower Services</t>
        </is>
      </c>
      <c r="I108" s="42" t="n">
        <v>45240</v>
      </c>
      <c r="J108" s="40" t="inlineStr">
        <is>
          <t>Active</t>
        </is>
      </c>
      <c r="K108" s="42" t="n">
        <v>46312</v>
      </c>
      <c r="L108" s="41" t="inlineStr"/>
      <c r="N108">
        <f>IF(Search!$C$4="","",IF(ISNUMBER(SEARCH(Search!$C$4,A108&amp;" "&amp;B108&amp;" "&amp;D108&amp;" "&amp;H108&amp;" "&amp;J108)),ROW(),""))</f>
        <v/>
      </c>
    </row>
    <row r="109">
      <c r="A109" s="45" t="inlineStr">
        <is>
          <t>EMP-1105</t>
        </is>
      </c>
      <c r="B109" s="46" t="inlineStr">
        <is>
          <t>Joel Cruz</t>
        </is>
      </c>
      <c r="C109" s="45" t="inlineStr">
        <is>
          <t>Philippines</t>
        </is>
      </c>
      <c r="D109" s="46" t="inlineStr">
        <is>
          <t>QA/QC</t>
        </is>
      </c>
      <c r="E109" s="46" t="inlineStr">
        <is>
          <t>QA Engineer</t>
        </is>
      </c>
      <c r="F109" s="45" t="inlineStr">
        <is>
          <t>Staff</t>
        </is>
      </c>
      <c r="G109" s="45" t="inlineStr">
        <is>
          <t>White Collar</t>
        </is>
      </c>
      <c r="H109" s="46" t="inlineStr">
        <is>
          <t>Red Sea Rental Solutions</t>
        </is>
      </c>
      <c r="I109" s="47" t="n">
        <v>45490</v>
      </c>
      <c r="J109" s="45" t="inlineStr">
        <is>
          <t>Released</t>
        </is>
      </c>
      <c r="K109" s="47" t="n">
        <v>46227</v>
      </c>
      <c r="L109" s="46" t="inlineStr"/>
      <c r="N109">
        <f>IF(Search!$C$4="","",IF(ISNUMBER(SEARCH(Search!$C$4,A109&amp;" "&amp;B109&amp;" "&amp;D109&amp;" "&amp;H109&amp;" "&amp;J109)),ROW(),""))</f>
        <v/>
      </c>
    </row>
    <row r="110">
      <c r="A110" s="40" t="inlineStr">
        <is>
          <t>EMP-1106</t>
        </is>
      </c>
      <c r="B110" s="41" t="inlineStr">
        <is>
          <t>Murat Latif</t>
        </is>
      </c>
      <c r="C110" s="40" t="inlineStr">
        <is>
          <t>Turkiye</t>
        </is>
      </c>
      <c r="D110" s="41" t="inlineStr">
        <is>
          <t>Logistics</t>
        </is>
      </c>
      <c r="E110" s="41" t="inlineStr">
        <is>
          <t>Storekeeper</t>
        </is>
      </c>
      <c r="F110" s="40" t="inlineStr">
        <is>
          <t>Labor</t>
        </is>
      </c>
      <c r="G110" s="40" t="inlineStr">
        <is>
          <t>Blue Collar</t>
        </is>
      </c>
      <c r="H110" s="41" t="inlineStr">
        <is>
          <t>Desert Horizon Contracting</t>
        </is>
      </c>
      <c r="I110" s="42" t="n">
        <v>45050</v>
      </c>
      <c r="J110" s="40" t="inlineStr">
        <is>
          <t>Active</t>
        </is>
      </c>
      <c r="K110" s="42" t="n">
        <v>46327</v>
      </c>
      <c r="L110" s="41" t="inlineStr"/>
      <c r="N110">
        <f>IF(Search!$C$4="","",IF(ISNUMBER(SEARCH(Search!$C$4,A110&amp;" "&amp;B110&amp;" "&amp;D110&amp;" "&amp;H110&amp;" "&amp;J110)),ROW(),""))</f>
        <v/>
      </c>
    </row>
    <row r="111">
      <c r="A111" s="45" t="inlineStr">
        <is>
          <t>EMP-1107</t>
        </is>
      </c>
      <c r="B111" s="46" t="inlineStr">
        <is>
          <t>Imran Anwar</t>
        </is>
      </c>
      <c r="C111" s="45" t="inlineStr">
        <is>
          <t>Pakistan</t>
        </is>
      </c>
      <c r="D111" s="46" t="inlineStr">
        <is>
          <t>QA/QC</t>
        </is>
      </c>
      <c r="E111" s="46" t="inlineStr">
        <is>
          <t>Document Controller</t>
        </is>
      </c>
      <c r="F111" s="45" t="inlineStr">
        <is>
          <t>Staff</t>
        </is>
      </c>
      <c r="G111" s="45" t="inlineStr">
        <is>
          <t>White Collar</t>
        </is>
      </c>
      <c r="H111" s="46" t="inlineStr">
        <is>
          <t>Desert Horizon Contracting</t>
        </is>
      </c>
      <c r="I111" s="47" t="n">
        <v>45148</v>
      </c>
      <c r="J111" s="45" t="inlineStr">
        <is>
          <t>Active</t>
        </is>
      </c>
      <c r="K111" s="47" t="n">
        <v>46332</v>
      </c>
      <c r="L111" s="46" t="inlineStr"/>
      <c r="N111">
        <f>IF(Search!$C$4="","",IF(ISNUMBER(SEARCH(Search!$C$4,A111&amp;" "&amp;B111&amp;" "&amp;D111&amp;" "&amp;H111&amp;" "&amp;J111)),ROW(),""))</f>
        <v/>
      </c>
    </row>
    <row r="112">
      <c r="A112" s="40" t="inlineStr">
        <is>
          <t>EMP-1108</t>
        </is>
      </c>
      <c r="B112" s="41" t="inlineStr">
        <is>
          <t>Omar Reyes</t>
        </is>
      </c>
      <c r="C112" s="40" t="inlineStr">
        <is>
          <t>Saudi Arabia</t>
        </is>
      </c>
      <c r="D112" s="41" t="inlineStr">
        <is>
          <t>QA/QC</t>
        </is>
      </c>
      <c r="E112" s="41" t="inlineStr">
        <is>
          <t>QC Inspector</t>
        </is>
      </c>
      <c r="F112" s="40" t="inlineStr">
        <is>
          <t>Staff</t>
        </is>
      </c>
      <c r="G112" s="40" t="inlineStr">
        <is>
          <t>White Collar</t>
        </is>
      </c>
      <c r="H112" s="41" t="inlineStr">
        <is>
          <t>Gulf Manpower Services</t>
        </is>
      </c>
      <c r="I112" s="42" t="n">
        <v>45230</v>
      </c>
      <c r="J112" s="40" t="inlineStr">
        <is>
          <t>Released</t>
        </is>
      </c>
      <c r="K112" s="42" t="n">
        <v>46201</v>
      </c>
      <c r="L112" s="41" t="inlineStr"/>
      <c r="N112">
        <f>IF(Search!$C$4="","",IF(ISNUMBER(SEARCH(Search!$C$4,A112&amp;" "&amp;B112&amp;" "&amp;D112&amp;" "&amp;H112&amp;" "&amp;J112)),ROW(),""))</f>
        <v/>
      </c>
    </row>
    <row r="113">
      <c r="A113" s="45" t="inlineStr">
        <is>
          <t>EMP-1109</t>
        </is>
      </c>
      <c r="B113" s="46" t="inlineStr">
        <is>
          <t>Kerem Aslam</t>
        </is>
      </c>
      <c r="C113" s="45" t="inlineStr">
        <is>
          <t>Turkiye</t>
        </is>
      </c>
      <c r="D113" s="46" t="inlineStr">
        <is>
          <t>Logistics</t>
        </is>
      </c>
      <c r="E113" s="46" t="inlineStr">
        <is>
          <t>Fleet Coordinator</t>
        </is>
      </c>
      <c r="F113" s="45" t="inlineStr">
        <is>
          <t>Staff</t>
        </is>
      </c>
      <c r="G113" s="45" t="inlineStr">
        <is>
          <t>White Collar</t>
        </is>
      </c>
      <c r="H113" s="46" t="inlineStr">
        <is>
          <t>Desert Horizon Contracting</t>
        </is>
      </c>
      <c r="I113" s="47" t="n">
        <v>44982</v>
      </c>
      <c r="J113" s="45" t="inlineStr">
        <is>
          <t>Released</t>
        </is>
      </c>
      <c r="K113" s="47" t="n">
        <v>46284</v>
      </c>
      <c r="L113" s="46" t="inlineStr"/>
      <c r="N113">
        <f>IF(Search!$C$4="","",IF(ISNUMBER(SEARCH(Search!$C$4,A113&amp;" "&amp;B113&amp;" "&amp;D113&amp;" "&amp;H113&amp;" "&amp;J113)),ROW(),""))</f>
        <v/>
      </c>
    </row>
    <row r="114">
      <c r="A114" s="40" t="inlineStr">
        <is>
          <t>EMP-1110</t>
        </is>
      </c>
      <c r="B114" s="41" t="inlineStr">
        <is>
          <t>Danish Latif</t>
        </is>
      </c>
      <c r="C114" s="40" t="inlineStr">
        <is>
          <t>Pakistan</t>
        </is>
      </c>
      <c r="D114" s="41" t="inlineStr">
        <is>
          <t>Administration</t>
        </is>
      </c>
      <c r="E114" s="41" t="inlineStr">
        <is>
          <t>Timekeeper</t>
        </is>
      </c>
      <c r="F114" s="40" t="inlineStr">
        <is>
          <t>Staff</t>
        </is>
      </c>
      <c r="G114" s="40" t="inlineStr">
        <is>
          <t>White Collar</t>
        </is>
      </c>
      <c r="H114" s="41" t="inlineStr">
        <is>
          <t>Desert Horizon Contracting</t>
        </is>
      </c>
      <c r="I114" s="42" t="n">
        <v>44939</v>
      </c>
      <c r="J114" s="40" t="inlineStr">
        <is>
          <t>Released</t>
        </is>
      </c>
      <c r="K114" s="42" t="n">
        <v>46289</v>
      </c>
      <c r="L114" s="41" t="inlineStr"/>
      <c r="N114">
        <f>IF(Search!$C$4="","",IF(ISNUMBER(SEARCH(Search!$C$4,A114&amp;" "&amp;B114&amp;" "&amp;D114&amp;" "&amp;H114&amp;" "&amp;J114)),ROW(),""))</f>
        <v/>
      </c>
    </row>
    <row r="115">
      <c r="A115" s="45" t="inlineStr">
        <is>
          <t>EMP-1111</t>
        </is>
      </c>
      <c r="B115" s="46" t="inlineStr">
        <is>
          <t>Danish Santos</t>
        </is>
      </c>
      <c r="C115" s="45" t="inlineStr">
        <is>
          <t>Pakistan</t>
        </is>
      </c>
      <c r="D115" s="46" t="inlineStr">
        <is>
          <t>Logistics</t>
        </is>
      </c>
      <c r="E115" s="46" t="inlineStr">
        <is>
          <t>Storekeeper</t>
        </is>
      </c>
      <c r="F115" s="45" t="inlineStr">
        <is>
          <t>Labor</t>
        </is>
      </c>
      <c r="G115" s="45" t="inlineStr">
        <is>
          <t>Blue Collar</t>
        </is>
      </c>
      <c r="H115" s="46" t="inlineStr">
        <is>
          <t>Desert Horizon Contracting</t>
        </is>
      </c>
      <c r="I115" s="47" t="n">
        <v>44979</v>
      </c>
      <c r="J115" s="45" t="inlineStr">
        <is>
          <t>Released</t>
        </is>
      </c>
      <c r="K115" s="47" t="n">
        <v>46207</v>
      </c>
      <c r="L115" s="46" t="inlineStr"/>
      <c r="N115">
        <f>IF(Search!$C$4="","",IF(ISNUMBER(SEARCH(Search!$C$4,A115&amp;" "&amp;B115&amp;" "&amp;D115&amp;" "&amp;H115&amp;" "&amp;J115)),ROW(),""))</f>
        <v/>
      </c>
    </row>
    <row r="116">
      <c r="A116" s="40" t="inlineStr">
        <is>
          <t>EMP-1112</t>
        </is>
      </c>
      <c r="B116" s="41" t="inlineStr">
        <is>
          <t>Joel Chaudhry</t>
        </is>
      </c>
      <c r="C116" s="40" t="inlineStr">
        <is>
          <t>Philippines</t>
        </is>
      </c>
      <c r="D116" s="41" t="inlineStr">
        <is>
          <t>Mechanical</t>
        </is>
      </c>
      <c r="E116" s="41" t="inlineStr">
        <is>
          <t>Fitter</t>
        </is>
      </c>
      <c r="F116" s="40" t="inlineStr">
        <is>
          <t>Labor</t>
        </is>
      </c>
      <c r="G116" s="40" t="inlineStr">
        <is>
          <t>Blue Collar</t>
        </is>
      </c>
      <c r="H116" s="41" t="inlineStr">
        <is>
          <t>Anatolian Build Co.</t>
        </is>
      </c>
      <c r="I116" s="42" t="n">
        <v>45517</v>
      </c>
      <c r="J116" s="40" t="inlineStr">
        <is>
          <t>Released</t>
        </is>
      </c>
      <c r="K116" s="42" t="n">
        <v>46304</v>
      </c>
      <c r="L116" s="41" t="inlineStr"/>
      <c r="N116">
        <f>IF(Search!$C$4="","",IF(ISNUMBER(SEARCH(Search!$C$4,A116&amp;" "&amp;B116&amp;" "&amp;D116&amp;" "&amp;H116&amp;" "&amp;J116)),ROW(),""))</f>
        <v/>
      </c>
    </row>
    <row r="117">
      <c r="A117" s="45" t="inlineStr">
        <is>
          <t>EMP-1113</t>
        </is>
      </c>
      <c r="B117" s="46" t="inlineStr">
        <is>
          <t>Faisal Mirza</t>
        </is>
      </c>
      <c r="C117" s="45" t="inlineStr">
        <is>
          <t>Pakistan</t>
        </is>
      </c>
      <c r="D117" s="46" t="inlineStr">
        <is>
          <t>Tunnelling</t>
        </is>
      </c>
      <c r="E117" s="46" t="inlineStr">
        <is>
          <t>Tunnel Foreman</t>
        </is>
      </c>
      <c r="F117" s="45" t="inlineStr">
        <is>
          <t>Staff</t>
        </is>
      </c>
      <c r="G117" s="45" t="inlineStr">
        <is>
          <t>White Collar</t>
        </is>
      </c>
      <c r="H117" s="46" t="inlineStr">
        <is>
          <t>Desert Horizon Contracting</t>
        </is>
      </c>
      <c r="I117" s="47" t="n">
        <v>45181</v>
      </c>
      <c r="J117" s="45" t="inlineStr">
        <is>
          <t>Released</t>
        </is>
      </c>
      <c r="K117" s="47" t="n">
        <v>46173</v>
      </c>
      <c r="L117" s="46" t="inlineStr"/>
      <c r="N117">
        <f>IF(Search!$C$4="","",IF(ISNUMBER(SEARCH(Search!$C$4,A117&amp;" "&amp;B117&amp;" "&amp;D117&amp;" "&amp;H117&amp;" "&amp;J117)),ROW(),""))</f>
        <v/>
      </c>
    </row>
    <row r="118">
      <c r="A118" s="40" t="inlineStr">
        <is>
          <t>EMP-1114</t>
        </is>
      </c>
      <c r="B118" s="41" t="inlineStr">
        <is>
          <t>Karim Rao</t>
        </is>
      </c>
      <c r="C118" s="40" t="inlineStr">
        <is>
          <t>Egypt</t>
        </is>
      </c>
      <c r="D118" s="41" t="inlineStr">
        <is>
          <t>QA/QC</t>
        </is>
      </c>
      <c r="E118" s="41" t="inlineStr">
        <is>
          <t>Document Controller</t>
        </is>
      </c>
      <c r="F118" s="40" t="inlineStr">
        <is>
          <t>Staff</t>
        </is>
      </c>
      <c r="G118" s="40" t="inlineStr">
        <is>
          <t>White Collar</t>
        </is>
      </c>
      <c r="H118" s="41" t="inlineStr">
        <is>
          <t>Desert Horizon Contracting</t>
        </is>
      </c>
      <c r="I118" s="42" t="n">
        <v>45462</v>
      </c>
      <c r="J118" s="40" t="inlineStr">
        <is>
          <t>Released</t>
        </is>
      </c>
      <c r="K118" s="42" t="n">
        <v>46240</v>
      </c>
      <c r="L118" s="41" t="inlineStr"/>
      <c r="N118">
        <f>IF(Search!$C$4="","",IF(ISNUMBER(SEARCH(Search!$C$4,A118&amp;" "&amp;B118&amp;" "&amp;D118&amp;" "&amp;H118&amp;" "&amp;J118)),ROW(),""))</f>
        <v/>
      </c>
    </row>
    <row r="119">
      <c r="A119" s="45" t="inlineStr">
        <is>
          <t>EMP-1115</t>
        </is>
      </c>
      <c r="B119" s="46" t="inlineStr">
        <is>
          <t>Arjun Pillai</t>
        </is>
      </c>
      <c r="C119" s="45" t="inlineStr">
        <is>
          <t>India</t>
        </is>
      </c>
      <c r="D119" s="46" t="inlineStr">
        <is>
          <t>Logistics</t>
        </is>
      </c>
      <c r="E119" s="46" t="inlineStr">
        <is>
          <t>Logistics Clerk</t>
        </is>
      </c>
      <c r="F119" s="45" t="inlineStr">
        <is>
          <t>Staff</t>
        </is>
      </c>
      <c r="G119" s="45" t="inlineStr">
        <is>
          <t>White Collar</t>
        </is>
      </c>
      <c r="H119" s="46" t="inlineStr">
        <is>
          <t>Desert Horizon Contracting</t>
        </is>
      </c>
      <c r="I119" s="47" t="n">
        <v>45562</v>
      </c>
      <c r="J119" s="45" t="inlineStr">
        <is>
          <t>Released</t>
        </is>
      </c>
      <c r="K119" s="47" t="n">
        <v>46158</v>
      </c>
      <c r="L119" s="46" t="inlineStr"/>
      <c r="N119">
        <f>IF(Search!$C$4="","",IF(ISNUMBER(SEARCH(Search!$C$4,A119&amp;" "&amp;B119&amp;" "&amp;D119&amp;" "&amp;H119&amp;" "&amp;J119)),ROW(),""))</f>
        <v/>
      </c>
    </row>
    <row r="120">
      <c r="A120" s="40" t="inlineStr">
        <is>
          <t>EMP-1116</t>
        </is>
      </c>
      <c r="B120" s="41" t="inlineStr">
        <is>
          <t>Fahad Anwar</t>
        </is>
      </c>
      <c r="C120" s="40" t="inlineStr">
        <is>
          <t>Saudi Arabia</t>
        </is>
      </c>
      <c r="D120" s="41" t="inlineStr">
        <is>
          <t>Tunnelling</t>
        </is>
      </c>
      <c r="E120" s="41" t="inlineStr">
        <is>
          <t>Segment Erector</t>
        </is>
      </c>
      <c r="F120" s="40" t="inlineStr">
        <is>
          <t>Labor</t>
        </is>
      </c>
      <c r="G120" s="40" t="inlineStr">
        <is>
          <t>Blue Collar</t>
        </is>
      </c>
      <c r="H120" s="41" t="inlineStr">
        <is>
          <t>Gulf Manpower Services</t>
        </is>
      </c>
      <c r="I120" s="42" t="n">
        <v>45197</v>
      </c>
      <c r="J120" s="40" t="inlineStr">
        <is>
          <t>Active</t>
        </is>
      </c>
      <c r="K120" s="42" t="n">
        <v>46312</v>
      </c>
      <c r="L120" s="41" t="inlineStr">
        <is>
          <t>Extension approved</t>
        </is>
      </c>
      <c r="N120">
        <f>IF(Search!$C$4="","",IF(ISNUMBER(SEARCH(Search!$C$4,A120&amp;" "&amp;B120&amp;" "&amp;D120&amp;" "&amp;H120&amp;" "&amp;J120)),ROW(),""))</f>
        <v/>
      </c>
    </row>
    <row r="121">
      <c r="A121" s="45" t="inlineStr">
        <is>
          <t>EMP-1117</t>
        </is>
      </c>
      <c r="B121" s="46" t="inlineStr">
        <is>
          <t>Adeel Aslam</t>
        </is>
      </c>
      <c r="C121" s="45" t="inlineStr">
        <is>
          <t>Pakistan</t>
        </is>
      </c>
      <c r="D121" s="46" t="inlineStr">
        <is>
          <t>QA/QC</t>
        </is>
      </c>
      <c r="E121" s="46" t="inlineStr">
        <is>
          <t>QC Inspector</t>
        </is>
      </c>
      <c r="F121" s="45" t="inlineStr">
        <is>
          <t>Staff</t>
        </is>
      </c>
      <c r="G121" s="45" t="inlineStr">
        <is>
          <t>White Collar</t>
        </is>
      </c>
      <c r="H121" s="46" t="inlineStr">
        <is>
          <t>Desert Horizon Contracting</t>
        </is>
      </c>
      <c r="I121" s="47" t="n">
        <v>45388</v>
      </c>
      <c r="J121" s="45" t="inlineStr">
        <is>
          <t>Active</t>
        </is>
      </c>
      <c r="K121" s="47" t="n">
        <v>46319</v>
      </c>
      <c r="L121" s="46" t="inlineStr"/>
      <c r="N121">
        <f>IF(Search!$C$4="","",IF(ISNUMBER(SEARCH(Search!$C$4,A121&amp;" "&amp;B121&amp;" "&amp;D121&amp;" "&amp;H121&amp;" "&amp;J121)),ROW(),""))</f>
        <v/>
      </c>
    </row>
    <row r="122">
      <c r="A122" s="40" t="inlineStr">
        <is>
          <t>EMP-1118</t>
        </is>
      </c>
      <c r="B122" s="41" t="inlineStr">
        <is>
          <t>Danish Siddiqui</t>
        </is>
      </c>
      <c r="C122" s="40" t="inlineStr">
        <is>
          <t>Pakistan</t>
        </is>
      </c>
      <c r="D122" s="41" t="inlineStr">
        <is>
          <t>Tunnelling</t>
        </is>
      </c>
      <c r="E122" s="41" t="inlineStr">
        <is>
          <t>Tunnel Foreman</t>
        </is>
      </c>
      <c r="F122" s="40" t="inlineStr">
        <is>
          <t>Staff</t>
        </is>
      </c>
      <c r="G122" s="40" t="inlineStr">
        <is>
          <t>White Collar</t>
        </is>
      </c>
      <c r="H122" s="41" t="inlineStr">
        <is>
          <t>Gulf Manpower Services</t>
        </is>
      </c>
      <c r="I122" s="42" t="n">
        <v>45391</v>
      </c>
      <c r="J122" s="40" t="inlineStr">
        <is>
          <t>Released</t>
        </is>
      </c>
      <c r="K122" s="42" t="n">
        <v>46161</v>
      </c>
      <c r="L122" s="41" t="inlineStr"/>
      <c r="N122">
        <f>IF(Search!$C$4="","",IF(ISNUMBER(SEARCH(Search!$C$4,A122&amp;" "&amp;B122&amp;" "&amp;D122&amp;" "&amp;H122&amp;" "&amp;J122)),ROW(),""))</f>
        <v/>
      </c>
    </row>
    <row r="123">
      <c r="A123" s="45" t="inlineStr">
        <is>
          <t>EMP-1119</t>
        </is>
      </c>
      <c r="B123" s="46" t="inlineStr">
        <is>
          <t>Waqas Yildiz</t>
        </is>
      </c>
      <c r="C123" s="45" t="inlineStr">
        <is>
          <t>Pakistan</t>
        </is>
      </c>
      <c r="D123" s="46" t="inlineStr">
        <is>
          <t>Mechanical</t>
        </is>
      </c>
      <c r="E123" s="46" t="inlineStr">
        <is>
          <t>Electrician</t>
        </is>
      </c>
      <c r="F123" s="45" t="inlineStr">
        <is>
          <t>Staff</t>
        </is>
      </c>
      <c r="G123" s="45" t="inlineStr">
        <is>
          <t>White Collar</t>
        </is>
      </c>
      <c r="H123" s="46" t="inlineStr">
        <is>
          <t>Anatolian Build Co.</t>
        </is>
      </c>
      <c r="I123" s="47" t="n">
        <v>45484</v>
      </c>
      <c r="J123" s="45" t="inlineStr">
        <is>
          <t>Released</t>
        </is>
      </c>
      <c r="K123" s="47" t="n">
        <v>46200</v>
      </c>
      <c r="L123" s="46" t="inlineStr"/>
      <c r="N123">
        <f>IF(Search!$C$4="","",IF(ISNUMBER(SEARCH(Search!$C$4,A123&amp;" "&amp;B123&amp;" "&amp;D123&amp;" "&amp;H123&amp;" "&amp;J123)),ROW(),""))</f>
        <v/>
      </c>
    </row>
    <row r="124">
      <c r="A124" s="40" t="inlineStr">
        <is>
          <t>EMP-1120</t>
        </is>
      </c>
      <c r="B124" s="41" t="inlineStr">
        <is>
          <t>Zubair Yildiz</t>
        </is>
      </c>
      <c r="C124" s="40" t="inlineStr">
        <is>
          <t>Pakistan</t>
        </is>
      </c>
      <c r="D124" s="41" t="inlineStr">
        <is>
          <t>Mechanical</t>
        </is>
      </c>
      <c r="E124" s="41" t="inlineStr">
        <is>
          <t>Mechanic</t>
        </is>
      </c>
      <c r="F124" s="40" t="inlineStr">
        <is>
          <t>Staff</t>
        </is>
      </c>
      <c r="G124" s="40" t="inlineStr">
        <is>
          <t>White Collar</t>
        </is>
      </c>
      <c r="H124" s="41" t="inlineStr">
        <is>
          <t>Desert Horizon Contracting</t>
        </is>
      </c>
      <c r="I124" s="42" t="n">
        <v>45738</v>
      </c>
      <c r="J124" s="40" t="inlineStr">
        <is>
          <t>Released</t>
        </is>
      </c>
      <c r="K124" s="42" t="n">
        <v>46221</v>
      </c>
      <c r="L124" s="41" t="inlineStr"/>
      <c r="N124">
        <f>IF(Search!$C$4="","",IF(ISNUMBER(SEARCH(Search!$C$4,A124&amp;" "&amp;B124&amp;" "&amp;D124&amp;" "&amp;H124&amp;" "&amp;J124)),ROW(),""))</f>
        <v/>
      </c>
    </row>
    <row r="125">
      <c r="A125" s="45" t="inlineStr">
        <is>
          <t>EMP-1121</t>
        </is>
      </c>
      <c r="B125" s="46" t="inlineStr">
        <is>
          <t>Khalid Anwar</t>
        </is>
      </c>
      <c r="C125" s="45" t="inlineStr">
        <is>
          <t>Saudi Arabia</t>
        </is>
      </c>
      <c r="D125" s="46" t="inlineStr">
        <is>
          <t>Mechanical</t>
        </is>
      </c>
      <c r="E125" s="46" t="inlineStr">
        <is>
          <t>Welder</t>
        </is>
      </c>
      <c r="F125" s="45" t="inlineStr">
        <is>
          <t>Labor</t>
        </is>
      </c>
      <c r="G125" s="45" t="inlineStr">
        <is>
          <t>Blue Collar</t>
        </is>
      </c>
      <c r="H125" s="46" t="inlineStr">
        <is>
          <t>Anatolian Build Co.</t>
        </is>
      </c>
      <c r="I125" s="47" t="n">
        <v>45406</v>
      </c>
      <c r="J125" s="45" t="inlineStr">
        <is>
          <t>Active</t>
        </is>
      </c>
      <c r="K125" s="47" t="n">
        <v>46319</v>
      </c>
      <c r="L125" s="46" t="inlineStr"/>
      <c r="N125">
        <f>IF(Search!$C$4="","",IF(ISNUMBER(SEARCH(Search!$C$4,A125&amp;" "&amp;B125&amp;" "&amp;D125&amp;" "&amp;H125&amp;" "&amp;J125)),ROW(),""))</f>
        <v/>
      </c>
    </row>
    <row r="126">
      <c r="A126" s="40" t="inlineStr">
        <is>
          <t>EMP-1122</t>
        </is>
      </c>
      <c r="B126" s="41" t="inlineStr">
        <is>
          <t>Okan Yildiz</t>
        </is>
      </c>
      <c r="C126" s="40" t="inlineStr">
        <is>
          <t>Turkiye</t>
        </is>
      </c>
      <c r="D126" s="41" t="inlineStr">
        <is>
          <t>QA/QC</t>
        </is>
      </c>
      <c r="E126" s="41" t="inlineStr">
        <is>
          <t>QA Engineer</t>
        </is>
      </c>
      <c r="F126" s="40" t="inlineStr">
        <is>
          <t>Staff</t>
        </is>
      </c>
      <c r="G126" s="40" t="inlineStr">
        <is>
          <t>White Collar</t>
        </is>
      </c>
      <c r="H126" s="41" t="inlineStr">
        <is>
          <t>Anatolian Build Co.</t>
        </is>
      </c>
      <c r="I126" s="42" t="n">
        <v>45539</v>
      </c>
      <c r="J126" s="40" t="inlineStr">
        <is>
          <t>Released</t>
        </is>
      </c>
      <c r="K126" s="42" t="n">
        <v>46153</v>
      </c>
      <c r="L126" s="41" t="inlineStr"/>
      <c r="N126">
        <f>IF(Search!$C$4="","",IF(ISNUMBER(SEARCH(Search!$C$4,A126&amp;" "&amp;B126&amp;" "&amp;D126&amp;" "&amp;H126&amp;" "&amp;J126)),ROW(),""))</f>
        <v/>
      </c>
    </row>
    <row r="127">
      <c r="A127" s="45" t="inlineStr">
        <is>
          <t>EMP-1123</t>
        </is>
      </c>
      <c r="B127" s="46" t="inlineStr">
        <is>
          <t>Suresh Anwar</t>
        </is>
      </c>
      <c r="C127" s="45" t="inlineStr">
        <is>
          <t>India</t>
        </is>
      </c>
      <c r="D127" s="46" t="inlineStr">
        <is>
          <t>Logistics</t>
        </is>
      </c>
      <c r="E127" s="46" t="inlineStr">
        <is>
          <t>Storekeeper</t>
        </is>
      </c>
      <c r="F127" s="45" t="inlineStr">
        <is>
          <t>Labor</t>
        </is>
      </c>
      <c r="G127" s="45" t="inlineStr">
        <is>
          <t>Blue Collar</t>
        </is>
      </c>
      <c r="H127" s="46" t="inlineStr">
        <is>
          <t>Desert Horizon Contracting</t>
        </is>
      </c>
      <c r="I127" s="47" t="n">
        <v>45161</v>
      </c>
      <c r="J127" s="45" t="inlineStr">
        <is>
          <t>Active</t>
        </is>
      </c>
      <c r="K127" s="47" t="n">
        <v>46315</v>
      </c>
      <c r="L127" s="46" t="inlineStr"/>
      <c r="N127">
        <f>IF(Search!$C$4="","",IF(ISNUMBER(SEARCH(Search!$C$4,A127&amp;" "&amp;B127&amp;" "&amp;D127&amp;" "&amp;H127&amp;" "&amp;J127)),ROW(),""))</f>
        <v/>
      </c>
    </row>
    <row r="128">
      <c r="A128" s="40" t="inlineStr">
        <is>
          <t>EMP-1124</t>
        </is>
      </c>
      <c r="B128" s="41" t="inlineStr">
        <is>
          <t>Ahmed Haddad</t>
        </is>
      </c>
      <c r="C128" s="40" t="inlineStr">
        <is>
          <t>Egypt</t>
        </is>
      </c>
      <c r="D128" s="41" t="inlineStr">
        <is>
          <t>Administration</t>
        </is>
      </c>
      <c r="E128" s="41" t="inlineStr">
        <is>
          <t>HR Coordinator</t>
        </is>
      </c>
      <c r="F128" s="40" t="inlineStr">
        <is>
          <t>Staff</t>
        </is>
      </c>
      <c r="G128" s="40" t="inlineStr">
        <is>
          <t>White Collar</t>
        </is>
      </c>
      <c r="H128" s="41" t="inlineStr">
        <is>
          <t>Anatolian Build Co.</t>
        </is>
      </c>
      <c r="I128" s="42" t="n">
        <v>45708</v>
      </c>
      <c r="J128" s="40" t="inlineStr">
        <is>
          <t>Active</t>
        </is>
      </c>
      <c r="K128" s="42" t="n">
        <v>46336</v>
      </c>
      <c r="L128" s="41" t="inlineStr"/>
      <c r="N128">
        <f>IF(Search!$C$4="","",IF(ISNUMBER(SEARCH(Search!$C$4,A128&amp;" "&amp;B128&amp;" "&amp;D128&amp;" "&amp;H128&amp;" "&amp;J128)),ROW(),""))</f>
        <v/>
      </c>
    </row>
    <row r="129">
      <c r="A129" s="45" t="inlineStr">
        <is>
          <t>EMP-1125</t>
        </is>
      </c>
      <c r="B129" s="46" t="inlineStr">
        <is>
          <t>Jose Saleh</t>
        </is>
      </c>
      <c r="C129" s="45" t="inlineStr">
        <is>
          <t>Philippines</t>
        </is>
      </c>
      <c r="D129" s="46" t="inlineStr">
        <is>
          <t>Logistics</t>
        </is>
      </c>
      <c r="E129" s="46" t="inlineStr">
        <is>
          <t>Storekeeper</t>
        </is>
      </c>
      <c r="F129" s="45" t="inlineStr">
        <is>
          <t>Labor</t>
        </is>
      </c>
      <c r="G129" s="45" t="inlineStr">
        <is>
          <t>Blue Collar</t>
        </is>
      </c>
      <c r="H129" s="46" t="inlineStr">
        <is>
          <t>Desert Horizon Contracting</t>
        </is>
      </c>
      <c r="I129" s="47" t="n">
        <v>45526</v>
      </c>
      <c r="J129" s="45" t="inlineStr">
        <is>
          <t>Released</t>
        </is>
      </c>
      <c r="K129" s="47" t="n">
        <v>46254</v>
      </c>
      <c r="L129" s="46" t="inlineStr"/>
      <c r="N129">
        <f>IF(Search!$C$4="","",IF(ISNUMBER(SEARCH(Search!$C$4,A129&amp;" "&amp;B129&amp;" "&amp;D129&amp;" "&amp;H129&amp;" "&amp;J129)),ROW(),""))</f>
        <v/>
      </c>
    </row>
    <row r="130">
      <c r="A130" s="40" t="inlineStr">
        <is>
          <t>EMP-1126</t>
        </is>
      </c>
      <c r="B130" s="41" t="inlineStr">
        <is>
          <t>Mark Haider</t>
        </is>
      </c>
      <c r="C130" s="40" t="inlineStr">
        <is>
          <t>Philippines</t>
        </is>
      </c>
      <c r="D130" s="41" t="inlineStr">
        <is>
          <t>Logistics</t>
        </is>
      </c>
      <c r="E130" s="41" t="inlineStr">
        <is>
          <t>Logistics Clerk</t>
        </is>
      </c>
      <c r="F130" s="40" t="inlineStr">
        <is>
          <t>Staff</t>
        </is>
      </c>
      <c r="G130" s="40" t="inlineStr">
        <is>
          <t>White Collar</t>
        </is>
      </c>
      <c r="H130" s="41" t="inlineStr">
        <is>
          <t>Desert Horizon Contracting</t>
        </is>
      </c>
      <c r="I130" s="42" t="n">
        <v>45613</v>
      </c>
      <c r="J130" s="40" t="inlineStr">
        <is>
          <t>Released</t>
        </is>
      </c>
      <c r="K130" s="42" t="n">
        <v>46169</v>
      </c>
      <c r="L130" s="41" t="inlineStr"/>
      <c r="N130">
        <f>IF(Search!$C$4="","",IF(ISNUMBER(SEARCH(Search!$C$4,A130&amp;" "&amp;B130&amp;" "&amp;D130&amp;" "&amp;H130&amp;" "&amp;J130)),ROW(),""))</f>
        <v/>
      </c>
    </row>
    <row r="131">
      <c r="A131" s="45" t="inlineStr">
        <is>
          <t>EMP-1127</t>
        </is>
      </c>
      <c r="B131" s="46" t="inlineStr">
        <is>
          <t>Asim Kurt</t>
        </is>
      </c>
      <c r="C131" s="45" t="inlineStr">
        <is>
          <t>Pakistan</t>
        </is>
      </c>
      <c r="D131" s="46" t="inlineStr">
        <is>
          <t>Logistics</t>
        </is>
      </c>
      <c r="E131" s="46" t="inlineStr">
        <is>
          <t>Logistics Clerk</t>
        </is>
      </c>
      <c r="F131" s="45" t="inlineStr">
        <is>
          <t>Staff</t>
        </is>
      </c>
      <c r="G131" s="45" t="inlineStr">
        <is>
          <t>White Collar</t>
        </is>
      </c>
      <c r="H131" s="46" t="inlineStr">
        <is>
          <t>Desert Horizon Contracting</t>
        </is>
      </c>
      <c r="I131" s="47" t="n">
        <v>45337</v>
      </c>
      <c r="J131" s="45" t="inlineStr">
        <is>
          <t>Active</t>
        </is>
      </c>
      <c r="K131" s="47" t="n">
        <v>46351</v>
      </c>
      <c r="L131" s="46" t="inlineStr"/>
      <c r="N131">
        <f>IF(Search!$C$4="","",IF(ISNUMBER(SEARCH(Search!$C$4,A131&amp;" "&amp;B131&amp;" "&amp;D131&amp;" "&amp;H131&amp;" "&amp;J131)),ROW(),""))</f>
        <v/>
      </c>
    </row>
    <row r="132">
      <c r="A132" s="40" t="inlineStr">
        <is>
          <t>EMP-1128</t>
        </is>
      </c>
      <c r="B132" s="41" t="inlineStr">
        <is>
          <t>Kamran Pillai</t>
        </is>
      </c>
      <c r="C132" s="40" t="inlineStr">
        <is>
          <t>Pakistan</t>
        </is>
      </c>
      <c r="D132" s="41" t="inlineStr">
        <is>
          <t>Tunnelling</t>
        </is>
      </c>
      <c r="E132" s="41" t="inlineStr">
        <is>
          <t>Tunnel Foreman</t>
        </is>
      </c>
      <c r="F132" s="40" t="inlineStr">
        <is>
          <t>Staff</t>
        </is>
      </c>
      <c r="G132" s="40" t="inlineStr">
        <is>
          <t>White Collar</t>
        </is>
      </c>
      <c r="H132" s="41" t="inlineStr">
        <is>
          <t>Desert Horizon Contracting</t>
        </is>
      </c>
      <c r="I132" s="42" t="n">
        <v>45718</v>
      </c>
      <c r="J132" s="40" t="inlineStr">
        <is>
          <t>Released</t>
        </is>
      </c>
      <c r="K132" s="42" t="n">
        <v>46246</v>
      </c>
      <c r="L132" s="41" t="inlineStr"/>
      <c r="N132">
        <f>IF(Search!$C$4="","",IF(ISNUMBER(SEARCH(Search!$C$4,A132&amp;" "&amp;B132&amp;" "&amp;D132&amp;" "&amp;H132&amp;" "&amp;J132)),ROW(),""))</f>
        <v/>
      </c>
    </row>
    <row r="133">
      <c r="A133" s="45" t="inlineStr">
        <is>
          <t>EMP-1129</t>
        </is>
      </c>
      <c r="B133" s="46" t="inlineStr">
        <is>
          <t>Ramon Rahman</t>
        </is>
      </c>
      <c r="C133" s="45" t="inlineStr">
        <is>
          <t>Philippines</t>
        </is>
      </c>
      <c r="D133" s="46" t="inlineStr">
        <is>
          <t>HSE</t>
        </is>
      </c>
      <c r="E133" s="46" t="inlineStr">
        <is>
          <t>Fire Watcher</t>
        </is>
      </c>
      <c r="F133" s="45" t="inlineStr">
        <is>
          <t>Labor</t>
        </is>
      </c>
      <c r="G133" s="45" t="inlineStr">
        <is>
          <t>Blue Collar</t>
        </is>
      </c>
      <c r="H133" s="46" t="inlineStr">
        <is>
          <t>Anatolian Build Co.</t>
        </is>
      </c>
      <c r="I133" s="47" t="n">
        <v>44982</v>
      </c>
      <c r="J133" s="45" t="inlineStr">
        <is>
          <t>Released</t>
        </is>
      </c>
      <c r="K133" s="47" t="n">
        <v>46191</v>
      </c>
      <c r="L133" s="46" t="inlineStr"/>
      <c r="N133">
        <f>IF(Search!$C$4="","",IF(ISNUMBER(SEARCH(Search!$C$4,A133&amp;" "&amp;B133&amp;" "&amp;D133&amp;" "&amp;H133&amp;" "&amp;J133)),ROW(),""))</f>
        <v/>
      </c>
    </row>
    <row r="134">
      <c r="A134" s="40" t="inlineStr">
        <is>
          <t>EMP-1130</t>
        </is>
      </c>
      <c r="B134" s="41" t="inlineStr">
        <is>
          <t>Jose Polat</t>
        </is>
      </c>
      <c r="C134" s="40" t="inlineStr">
        <is>
          <t>Philippines</t>
        </is>
      </c>
      <c r="D134" s="41" t="inlineStr">
        <is>
          <t>HSE</t>
        </is>
      </c>
      <c r="E134" s="41" t="inlineStr">
        <is>
          <t>Safety Supervisor</t>
        </is>
      </c>
      <c r="F134" s="40" t="inlineStr">
        <is>
          <t>Staff</t>
        </is>
      </c>
      <c r="G134" s="40" t="inlineStr">
        <is>
          <t>White Collar</t>
        </is>
      </c>
      <c r="H134" s="41" t="inlineStr">
        <is>
          <t>Gulf Manpower Services</t>
        </is>
      </c>
      <c r="I134" s="42" t="n">
        <v>45705</v>
      </c>
      <c r="J134" s="40" t="inlineStr">
        <is>
          <t>Released</t>
        </is>
      </c>
      <c r="K134" s="42" t="n">
        <v>46156</v>
      </c>
      <c r="L134" s="41" t="inlineStr"/>
      <c r="N134">
        <f>IF(Search!$C$4="","",IF(ISNUMBER(SEARCH(Search!$C$4,A134&amp;" "&amp;B134&amp;" "&amp;D134&amp;" "&amp;H134&amp;" "&amp;J134)),ROW(),""))</f>
        <v/>
      </c>
    </row>
    <row r="135">
      <c r="A135" s="45" t="inlineStr">
        <is>
          <t>EMP-1131</t>
        </is>
      </c>
      <c r="B135" s="46" t="inlineStr">
        <is>
          <t>Salman Yildiz</t>
        </is>
      </c>
      <c r="C135" s="45" t="inlineStr">
        <is>
          <t>Pakistan</t>
        </is>
      </c>
      <c r="D135" s="46" t="inlineStr">
        <is>
          <t>QA/QC</t>
        </is>
      </c>
      <c r="E135" s="46" t="inlineStr">
        <is>
          <t>QA Engineer</t>
        </is>
      </c>
      <c r="F135" s="45" t="inlineStr">
        <is>
          <t>Staff</t>
        </is>
      </c>
      <c r="G135" s="45" t="inlineStr">
        <is>
          <t>White Collar</t>
        </is>
      </c>
      <c r="H135" s="46" t="inlineStr">
        <is>
          <t>Anatolian Build Co.</t>
        </is>
      </c>
      <c r="I135" s="47" t="n">
        <v>45642</v>
      </c>
      <c r="J135" s="45" t="inlineStr">
        <is>
          <t>Released</t>
        </is>
      </c>
      <c r="K135" s="47" t="n">
        <v>46267</v>
      </c>
      <c r="L135" s="46" t="inlineStr"/>
      <c r="N135">
        <f>IF(Search!$C$4="","",IF(ISNUMBER(SEARCH(Search!$C$4,A135&amp;" "&amp;B135&amp;" "&amp;D135&amp;" "&amp;H135&amp;" "&amp;J135)),ROW(),""))</f>
        <v/>
      </c>
    </row>
    <row r="136">
      <c r="A136" s="40" t="inlineStr">
        <is>
          <t>EMP-1132</t>
        </is>
      </c>
      <c r="B136" s="41" t="inlineStr">
        <is>
          <t>Imran Rahman</t>
        </is>
      </c>
      <c r="C136" s="40" t="inlineStr">
        <is>
          <t>Pakistan</t>
        </is>
      </c>
      <c r="D136" s="41" t="inlineStr">
        <is>
          <t>Administration</t>
        </is>
      </c>
      <c r="E136" s="41" t="inlineStr">
        <is>
          <t>Executive Secretary</t>
        </is>
      </c>
      <c r="F136" s="40" t="inlineStr">
        <is>
          <t>Staff</t>
        </is>
      </c>
      <c r="G136" s="40" t="inlineStr">
        <is>
          <t>White Collar</t>
        </is>
      </c>
      <c r="H136" s="41" t="inlineStr">
        <is>
          <t>Gulf Manpower Services</t>
        </is>
      </c>
      <c r="I136" s="42" t="n">
        <v>45245</v>
      </c>
      <c r="J136" s="40" t="inlineStr">
        <is>
          <t>Released</t>
        </is>
      </c>
      <c r="K136" s="42" t="n">
        <v>46284</v>
      </c>
      <c r="L136" s="41" t="inlineStr"/>
      <c r="N136">
        <f>IF(Search!$C$4="","",IF(ISNUMBER(SEARCH(Search!$C$4,A136&amp;" "&amp;B136&amp;" "&amp;D136&amp;" "&amp;H136&amp;" "&amp;J136)),ROW(),""))</f>
        <v/>
      </c>
    </row>
    <row r="137">
      <c r="A137" s="45" t="inlineStr">
        <is>
          <t>EMP-1133</t>
        </is>
      </c>
      <c r="B137" s="46" t="inlineStr">
        <is>
          <t>Adnan Cruz</t>
        </is>
      </c>
      <c r="C137" s="45" t="inlineStr">
        <is>
          <t>Pakistan</t>
        </is>
      </c>
      <c r="D137" s="46" t="inlineStr">
        <is>
          <t>Logistics</t>
        </is>
      </c>
      <c r="E137" s="46" t="inlineStr">
        <is>
          <t>Fleet Coordinator</t>
        </is>
      </c>
      <c r="F137" s="45" t="inlineStr">
        <is>
          <t>Staff</t>
        </is>
      </c>
      <c r="G137" s="45" t="inlineStr">
        <is>
          <t>White Collar</t>
        </is>
      </c>
      <c r="H137" s="46" t="inlineStr">
        <is>
          <t>Red Sea Rental Solutions</t>
        </is>
      </c>
      <c r="I137" s="47" t="n">
        <v>45043</v>
      </c>
      <c r="J137" s="45" t="inlineStr">
        <is>
          <t>Released</t>
        </is>
      </c>
      <c r="K137" s="47" t="n">
        <v>46261</v>
      </c>
      <c r="L137" s="46" t="inlineStr"/>
      <c r="N137">
        <f>IF(Search!$C$4="","",IF(ISNUMBER(SEARCH(Search!$C$4,A137&amp;" "&amp;B137&amp;" "&amp;D137&amp;" "&amp;H137&amp;" "&amp;J137)),ROW(),""))</f>
        <v/>
      </c>
    </row>
    <row r="138">
      <c r="A138" s="40" t="inlineStr">
        <is>
          <t>EMP-1134</t>
        </is>
      </c>
      <c r="B138" s="41" t="inlineStr">
        <is>
          <t>Imran Saleh</t>
        </is>
      </c>
      <c r="C138" s="40" t="inlineStr">
        <is>
          <t>Pakistan</t>
        </is>
      </c>
      <c r="D138" s="41" t="inlineStr">
        <is>
          <t>Mechanical</t>
        </is>
      </c>
      <c r="E138" s="41" t="inlineStr">
        <is>
          <t>Fitter</t>
        </is>
      </c>
      <c r="F138" s="40" t="inlineStr">
        <is>
          <t>Labor</t>
        </is>
      </c>
      <c r="G138" s="40" t="inlineStr">
        <is>
          <t>Blue Collar</t>
        </is>
      </c>
      <c r="H138" s="41" t="inlineStr">
        <is>
          <t>Red Sea Rental Solutions</t>
        </is>
      </c>
      <c r="I138" s="42" t="n">
        <v>45225</v>
      </c>
      <c r="J138" s="40" t="inlineStr">
        <is>
          <t>Released</t>
        </is>
      </c>
      <c r="K138" s="42" t="n">
        <v>46273</v>
      </c>
      <c r="L138" s="41" t="inlineStr"/>
      <c r="N138">
        <f>IF(Search!$C$4="","",IF(ISNUMBER(SEARCH(Search!$C$4,A138&amp;" "&amp;B138&amp;" "&amp;D138&amp;" "&amp;H138&amp;" "&amp;J138)),ROW(),""))</f>
        <v/>
      </c>
    </row>
    <row r="139">
      <c r="A139" s="45" t="inlineStr">
        <is>
          <t>EMP-1135</t>
        </is>
      </c>
      <c r="B139" s="46" t="inlineStr">
        <is>
          <t>Noman Rao</t>
        </is>
      </c>
      <c r="C139" s="45" t="inlineStr">
        <is>
          <t>Pakistan</t>
        </is>
      </c>
      <c r="D139" s="46" t="inlineStr">
        <is>
          <t>Mechanical</t>
        </is>
      </c>
      <c r="E139" s="46" t="inlineStr">
        <is>
          <t>Fitter</t>
        </is>
      </c>
      <c r="F139" s="45" t="inlineStr">
        <is>
          <t>Labor</t>
        </is>
      </c>
      <c r="G139" s="45" t="inlineStr">
        <is>
          <t>Blue Collar</t>
        </is>
      </c>
      <c r="H139" s="46" t="inlineStr">
        <is>
          <t>Desert Horizon Contracting</t>
        </is>
      </c>
      <c r="I139" s="47" t="n">
        <v>45491</v>
      </c>
      <c r="J139" s="45" t="inlineStr">
        <is>
          <t>Released</t>
        </is>
      </c>
      <c r="K139" s="47" t="n">
        <v>46180</v>
      </c>
      <c r="L139" s="46" t="inlineStr"/>
      <c r="N139">
        <f>IF(Search!$C$4="","",IF(ISNUMBER(SEARCH(Search!$C$4,A139&amp;" "&amp;B139&amp;" "&amp;D139&amp;" "&amp;H139&amp;" "&amp;J139)),ROW(),""))</f>
        <v/>
      </c>
    </row>
    <row r="140">
      <c r="A140" s="40" t="inlineStr">
        <is>
          <t>EMP-1136</t>
        </is>
      </c>
      <c r="B140" s="41" t="inlineStr">
        <is>
          <t>Serkan Javed</t>
        </is>
      </c>
      <c r="C140" s="40" t="inlineStr">
        <is>
          <t>Turkiye</t>
        </is>
      </c>
      <c r="D140" s="41" t="inlineStr">
        <is>
          <t>Administration</t>
        </is>
      </c>
      <c r="E140" s="41" t="inlineStr">
        <is>
          <t>Executive Secretary</t>
        </is>
      </c>
      <c r="F140" s="40" t="inlineStr">
        <is>
          <t>Staff</t>
        </is>
      </c>
      <c r="G140" s="40" t="inlineStr">
        <is>
          <t>White Collar</t>
        </is>
      </c>
      <c r="H140" s="41" t="inlineStr">
        <is>
          <t>Red Sea Rental Solutions</t>
        </is>
      </c>
      <c r="I140" s="42" t="n">
        <v>45209</v>
      </c>
      <c r="J140" s="40" t="inlineStr">
        <is>
          <t>Active</t>
        </is>
      </c>
      <c r="K140" s="42" t="n">
        <v>46340</v>
      </c>
      <c r="L140" s="41" t="inlineStr"/>
      <c r="N140">
        <f>IF(Search!$C$4="","",IF(ISNUMBER(SEARCH(Search!$C$4,A140&amp;" "&amp;B140&amp;" "&amp;D140&amp;" "&amp;H140&amp;" "&amp;J140)),ROW(),""))</f>
        <v/>
      </c>
    </row>
    <row r="141">
      <c r="A141" s="45" t="inlineStr">
        <is>
          <t>EMP-1137</t>
        </is>
      </c>
      <c r="B141" s="46" t="inlineStr">
        <is>
          <t>Ravi Kurt</t>
        </is>
      </c>
      <c r="C141" s="45" t="inlineStr">
        <is>
          <t>India</t>
        </is>
      </c>
      <c r="D141" s="46" t="inlineStr">
        <is>
          <t>Administration</t>
        </is>
      </c>
      <c r="E141" s="46" t="inlineStr">
        <is>
          <t>HR Coordinator</t>
        </is>
      </c>
      <c r="F141" s="45" t="inlineStr">
        <is>
          <t>Staff</t>
        </is>
      </c>
      <c r="G141" s="45" t="inlineStr">
        <is>
          <t>White Collar</t>
        </is>
      </c>
      <c r="H141" s="46" t="inlineStr">
        <is>
          <t>Gulf Manpower Services</t>
        </is>
      </c>
      <c r="I141" s="47" t="n">
        <v>45216</v>
      </c>
      <c r="J141" s="45" t="inlineStr">
        <is>
          <t>Active</t>
        </is>
      </c>
      <c r="K141" s="47" t="n">
        <v>46328</v>
      </c>
      <c r="L141" s="46" t="inlineStr"/>
      <c r="N141">
        <f>IF(Search!$C$4="","",IF(ISNUMBER(SEARCH(Search!$C$4,A141&amp;" "&amp;B141&amp;" "&amp;D141&amp;" "&amp;H141&amp;" "&amp;J141)),ROW(),""))</f>
        <v/>
      </c>
    </row>
    <row r="142">
      <c r="A142" s="40" t="inlineStr">
        <is>
          <t>EMP-1138</t>
        </is>
      </c>
      <c r="B142" s="41" t="inlineStr">
        <is>
          <t>Omar Haddad</t>
        </is>
      </c>
      <c r="C142" s="40" t="inlineStr">
        <is>
          <t>Saudi Arabia</t>
        </is>
      </c>
      <c r="D142" s="41" t="inlineStr">
        <is>
          <t>Administration</t>
        </is>
      </c>
      <c r="E142" s="41" t="inlineStr">
        <is>
          <t>Timekeeper</t>
        </is>
      </c>
      <c r="F142" s="40" t="inlineStr">
        <is>
          <t>Staff</t>
        </is>
      </c>
      <c r="G142" s="40" t="inlineStr">
        <is>
          <t>White Collar</t>
        </is>
      </c>
      <c r="H142" s="41" t="inlineStr">
        <is>
          <t>Red Sea Rental Solutions</t>
        </is>
      </c>
      <c r="I142" s="42" t="n">
        <v>45384</v>
      </c>
      <c r="J142" s="40" t="inlineStr">
        <is>
          <t>Released</t>
        </is>
      </c>
      <c r="K142" s="42" t="n">
        <v>46280</v>
      </c>
      <c r="L142" s="41" t="inlineStr"/>
      <c r="N142">
        <f>IF(Search!$C$4="","",IF(ISNUMBER(SEARCH(Search!$C$4,A142&amp;" "&amp;B142&amp;" "&amp;D142&amp;" "&amp;H142&amp;" "&amp;J142)),ROW(),""))</f>
        <v/>
      </c>
    </row>
    <row r="143">
      <c r="A143" s="45" t="inlineStr">
        <is>
          <t>EMP-1139</t>
        </is>
      </c>
      <c r="B143" s="46" t="inlineStr">
        <is>
          <t>Joel Polat</t>
        </is>
      </c>
      <c r="C143" s="45" t="inlineStr">
        <is>
          <t>Philippines</t>
        </is>
      </c>
      <c r="D143" s="46" t="inlineStr">
        <is>
          <t>Logistics</t>
        </is>
      </c>
      <c r="E143" s="46" t="inlineStr">
        <is>
          <t>Logistics Clerk</t>
        </is>
      </c>
      <c r="F143" s="45" t="inlineStr">
        <is>
          <t>Staff</t>
        </is>
      </c>
      <c r="G143" s="45" t="inlineStr">
        <is>
          <t>White Collar</t>
        </is>
      </c>
      <c r="H143" s="46" t="inlineStr">
        <is>
          <t>Anatolian Build Co.</t>
        </is>
      </c>
      <c r="I143" s="47" t="n">
        <v>45256</v>
      </c>
      <c r="J143" s="45" t="inlineStr">
        <is>
          <t>Active</t>
        </is>
      </c>
      <c r="K143" s="47" t="n">
        <v>46365</v>
      </c>
      <c r="L143" s="46" t="inlineStr"/>
      <c r="N143">
        <f>IF(Search!$C$4="","",IF(ISNUMBER(SEARCH(Search!$C$4,A143&amp;" "&amp;B143&amp;" "&amp;D143&amp;" "&amp;H143&amp;" "&amp;J143)),ROW(),""))</f>
        <v/>
      </c>
    </row>
    <row r="144">
      <c r="A144" s="40" t="inlineStr">
        <is>
          <t>EMP-1140</t>
        </is>
      </c>
      <c r="B144" s="41" t="inlineStr">
        <is>
          <t>Adeel Haddad</t>
        </is>
      </c>
      <c r="C144" s="40" t="inlineStr">
        <is>
          <t>Pakistan</t>
        </is>
      </c>
      <c r="D144" s="41" t="inlineStr">
        <is>
          <t>Logistics</t>
        </is>
      </c>
      <c r="E144" s="41" t="inlineStr">
        <is>
          <t>Logistics Clerk</t>
        </is>
      </c>
      <c r="F144" s="40" t="inlineStr">
        <is>
          <t>Staff</t>
        </is>
      </c>
      <c r="G144" s="40" t="inlineStr">
        <is>
          <t>White Collar</t>
        </is>
      </c>
      <c r="H144" s="41" t="inlineStr">
        <is>
          <t>Desert Horizon Contracting</t>
        </is>
      </c>
      <c r="I144" s="42" t="n">
        <v>45689</v>
      </c>
      <c r="J144" s="40" t="inlineStr">
        <is>
          <t>Released</t>
        </is>
      </c>
      <c r="K144" s="42" t="n">
        <v>46264</v>
      </c>
      <c r="L144" s="41" t="inlineStr"/>
      <c r="N144">
        <f>IF(Search!$C$4="","",IF(ISNUMBER(SEARCH(Search!$C$4,A144&amp;" "&amp;B144&amp;" "&amp;D144&amp;" "&amp;H144&amp;" "&amp;J144)),ROW(),""))</f>
        <v/>
      </c>
    </row>
    <row r="145">
      <c r="A145" s="45" t="inlineStr">
        <is>
          <t>EMP-1141</t>
        </is>
      </c>
      <c r="B145" s="46" t="inlineStr">
        <is>
          <t>Serkan Menon</t>
        </is>
      </c>
      <c r="C145" s="45" t="inlineStr">
        <is>
          <t>Turkiye</t>
        </is>
      </c>
      <c r="D145" s="46" t="inlineStr">
        <is>
          <t>Administration</t>
        </is>
      </c>
      <c r="E145" s="46" t="inlineStr">
        <is>
          <t>Executive Secretary</t>
        </is>
      </c>
      <c r="F145" s="45" t="inlineStr">
        <is>
          <t>Staff</t>
        </is>
      </c>
      <c r="G145" s="45" t="inlineStr">
        <is>
          <t>White Collar</t>
        </is>
      </c>
      <c r="H145" s="46" t="inlineStr">
        <is>
          <t>Anatolian Build Co.</t>
        </is>
      </c>
      <c r="I145" s="47" t="n">
        <v>44964</v>
      </c>
      <c r="J145" s="45" t="inlineStr">
        <is>
          <t>Released</t>
        </is>
      </c>
      <c r="K145" s="47" t="n">
        <v>46175</v>
      </c>
      <c r="L145" s="46" t="inlineStr"/>
      <c r="N145">
        <f>IF(Search!$C$4="","",IF(ISNUMBER(SEARCH(Search!$C$4,A145&amp;" "&amp;B145&amp;" "&amp;D145&amp;" "&amp;H145&amp;" "&amp;J145)),ROW(),""))</f>
        <v/>
      </c>
    </row>
    <row r="146">
      <c r="A146" s="40" t="inlineStr">
        <is>
          <t>EMP-1142</t>
        </is>
      </c>
      <c r="B146" s="41" t="inlineStr">
        <is>
          <t>Ramon Haddad</t>
        </is>
      </c>
      <c r="C146" s="40" t="inlineStr">
        <is>
          <t>Philippines</t>
        </is>
      </c>
      <c r="D146" s="41" t="inlineStr">
        <is>
          <t>Logistics</t>
        </is>
      </c>
      <c r="E146" s="41" t="inlineStr">
        <is>
          <t>Driver</t>
        </is>
      </c>
      <c r="F146" s="40" t="inlineStr">
        <is>
          <t>Labor</t>
        </is>
      </c>
      <c r="G146" s="40" t="inlineStr">
        <is>
          <t>Blue Collar</t>
        </is>
      </c>
      <c r="H146" s="41" t="inlineStr">
        <is>
          <t>Red Sea Rental Solutions</t>
        </is>
      </c>
      <c r="I146" s="42" t="n">
        <v>45377</v>
      </c>
      <c r="J146" s="40" t="inlineStr">
        <is>
          <t>Released</t>
        </is>
      </c>
      <c r="K146" s="42" t="n">
        <v>46168</v>
      </c>
      <c r="L146" s="41" t="inlineStr"/>
      <c r="N146">
        <f>IF(Search!$C$4="","",IF(ISNUMBER(SEARCH(Search!$C$4,A146&amp;" "&amp;B146&amp;" "&amp;D146&amp;" "&amp;H146&amp;" "&amp;J146)),ROW(),""))</f>
        <v/>
      </c>
    </row>
    <row r="147">
      <c r="A147" s="45" t="inlineStr">
        <is>
          <t>EMP-1143</t>
        </is>
      </c>
      <c r="B147" s="46" t="inlineStr">
        <is>
          <t>Jose Pillai</t>
        </is>
      </c>
      <c r="C147" s="45" t="inlineStr">
        <is>
          <t>Philippines</t>
        </is>
      </c>
      <c r="D147" s="46" t="inlineStr">
        <is>
          <t>Tunnelling</t>
        </is>
      </c>
      <c r="E147" s="46" t="inlineStr">
        <is>
          <t>Segment Erector</t>
        </is>
      </c>
      <c r="F147" s="45" t="inlineStr">
        <is>
          <t>Labor</t>
        </is>
      </c>
      <c r="G147" s="45" t="inlineStr">
        <is>
          <t>Blue Collar</t>
        </is>
      </c>
      <c r="H147" s="46" t="inlineStr">
        <is>
          <t>Desert Horizon Contracting</t>
        </is>
      </c>
      <c r="I147" s="47" t="n">
        <v>45597</v>
      </c>
      <c r="J147" s="45" t="inlineStr">
        <is>
          <t>Released</t>
        </is>
      </c>
      <c r="K147" s="47" t="n">
        <v>46182</v>
      </c>
      <c r="L147" s="46" t="inlineStr"/>
      <c r="N147">
        <f>IF(Search!$C$4="","",IF(ISNUMBER(SEARCH(Search!$C$4,A147&amp;" "&amp;B147&amp;" "&amp;D147&amp;" "&amp;H147&amp;" "&amp;J147)),ROW(),""))</f>
        <v/>
      </c>
    </row>
    <row r="148">
      <c r="A148" s="40" t="inlineStr">
        <is>
          <t>EMP-1144</t>
        </is>
      </c>
      <c r="B148" s="41" t="inlineStr">
        <is>
          <t>Yasir Santos</t>
        </is>
      </c>
      <c r="C148" s="40" t="inlineStr">
        <is>
          <t>Pakistan</t>
        </is>
      </c>
      <c r="D148" s="41" t="inlineStr">
        <is>
          <t>Mechanical</t>
        </is>
      </c>
      <c r="E148" s="41" t="inlineStr">
        <is>
          <t>Welder</t>
        </is>
      </c>
      <c r="F148" s="40" t="inlineStr">
        <is>
          <t>Labor</t>
        </is>
      </c>
      <c r="G148" s="40" t="inlineStr">
        <is>
          <t>Blue Collar</t>
        </is>
      </c>
      <c r="H148" s="41" t="inlineStr">
        <is>
          <t>Desert Horizon Contracting</t>
        </is>
      </c>
      <c r="I148" s="42" t="n">
        <v>45636</v>
      </c>
      <c r="J148" s="40" t="inlineStr">
        <is>
          <t>Released</t>
        </is>
      </c>
      <c r="K148" s="42" t="n">
        <v>46244</v>
      </c>
      <c r="L148" s="41" t="inlineStr"/>
      <c r="N148">
        <f>IF(Search!$C$4="","",IF(ISNUMBER(SEARCH(Search!$C$4,A148&amp;" "&amp;B148&amp;" "&amp;D148&amp;" "&amp;H148&amp;" "&amp;J148)),ROW(),""))</f>
        <v/>
      </c>
    </row>
    <row r="149">
      <c r="A149" s="45" t="inlineStr">
        <is>
          <t>EMP-1145</t>
        </is>
      </c>
      <c r="B149" s="46" t="inlineStr">
        <is>
          <t>Tariq Kurt</t>
        </is>
      </c>
      <c r="C149" s="45" t="inlineStr">
        <is>
          <t>Pakistan</t>
        </is>
      </c>
      <c r="D149" s="46" t="inlineStr">
        <is>
          <t>Mechanical</t>
        </is>
      </c>
      <c r="E149" s="46" t="inlineStr">
        <is>
          <t>Fitter</t>
        </is>
      </c>
      <c r="F149" s="45" t="inlineStr">
        <is>
          <t>Labor</t>
        </is>
      </c>
      <c r="G149" s="45" t="inlineStr">
        <is>
          <t>Blue Collar</t>
        </is>
      </c>
      <c r="H149" s="46" t="inlineStr">
        <is>
          <t>Red Sea Rental Solutions</t>
        </is>
      </c>
      <c r="I149" s="47" t="n">
        <v>45568</v>
      </c>
      <c r="J149" s="45" t="inlineStr">
        <is>
          <t>Active</t>
        </is>
      </c>
      <c r="K149" s="47" t="n">
        <v>46326</v>
      </c>
      <c r="L149" s="46" t="inlineStr"/>
      <c r="N149">
        <f>IF(Search!$C$4="","",IF(ISNUMBER(SEARCH(Search!$C$4,A149&amp;" "&amp;B149&amp;" "&amp;D149&amp;" "&amp;H149&amp;" "&amp;J149)),ROW(),""))</f>
        <v/>
      </c>
    </row>
    <row r="150">
      <c r="A150" s="40" t="inlineStr">
        <is>
          <t>EMP-1146</t>
        </is>
      </c>
      <c r="B150" s="41" t="inlineStr">
        <is>
          <t>Mark Cruz</t>
        </is>
      </c>
      <c r="C150" s="40" t="inlineStr">
        <is>
          <t>Philippines</t>
        </is>
      </c>
      <c r="D150" s="41" t="inlineStr">
        <is>
          <t>Tunnelling</t>
        </is>
      </c>
      <c r="E150" s="41" t="inlineStr">
        <is>
          <t>TBM Operator</t>
        </is>
      </c>
      <c r="F150" s="40" t="inlineStr">
        <is>
          <t>Staff</t>
        </is>
      </c>
      <c r="G150" s="40" t="inlineStr">
        <is>
          <t>White Collar</t>
        </is>
      </c>
      <c r="H150" s="41" t="inlineStr">
        <is>
          <t>Desert Horizon Contracting</t>
        </is>
      </c>
      <c r="I150" s="42" t="n">
        <v>45627</v>
      </c>
      <c r="J150" s="40" t="inlineStr">
        <is>
          <t>Active</t>
        </is>
      </c>
      <c r="K150" s="42" t="n">
        <v>46378</v>
      </c>
      <c r="L150" s="41" t="inlineStr"/>
      <c r="N150">
        <f>IF(Search!$C$4="","",IF(ISNUMBER(SEARCH(Search!$C$4,A150&amp;" "&amp;B150&amp;" "&amp;D150&amp;" "&amp;H150&amp;" "&amp;J150)),ROW(),""))</f>
        <v/>
      </c>
    </row>
    <row r="151">
      <c r="A151" s="45" t="inlineStr">
        <is>
          <t>EMP-1147</t>
        </is>
      </c>
      <c r="B151" s="46" t="inlineStr">
        <is>
          <t>Waqas Anwar</t>
        </is>
      </c>
      <c r="C151" s="45" t="inlineStr">
        <is>
          <t>Pakistan</t>
        </is>
      </c>
      <c r="D151" s="46" t="inlineStr">
        <is>
          <t>Tunnelling</t>
        </is>
      </c>
      <c r="E151" s="46" t="inlineStr">
        <is>
          <t>TBM Operator</t>
        </is>
      </c>
      <c r="F151" s="45" t="inlineStr">
        <is>
          <t>Staff</t>
        </is>
      </c>
      <c r="G151" s="45" t="inlineStr">
        <is>
          <t>White Collar</t>
        </is>
      </c>
      <c r="H151" s="46" t="inlineStr">
        <is>
          <t>Gulf Manpower Services</t>
        </is>
      </c>
      <c r="I151" s="47" t="n">
        <v>45647</v>
      </c>
      <c r="J151" s="45" t="inlineStr">
        <is>
          <t>Active</t>
        </is>
      </c>
      <c r="K151" s="47" t="n">
        <v>46366</v>
      </c>
      <c r="L151" s="46" t="inlineStr">
        <is>
          <t>Extension approved</t>
        </is>
      </c>
      <c r="N151">
        <f>IF(Search!$C$4="","",IF(ISNUMBER(SEARCH(Search!$C$4,A151&amp;" "&amp;B151&amp;" "&amp;D151&amp;" "&amp;H151&amp;" "&amp;J151)),ROW(),""))</f>
        <v/>
      </c>
    </row>
    <row r="152">
      <c r="A152" s="40" t="inlineStr">
        <is>
          <t>EMP-1148</t>
        </is>
      </c>
      <c r="B152" s="41" t="inlineStr">
        <is>
          <t>Asim Latif</t>
        </is>
      </c>
      <c r="C152" s="40" t="inlineStr">
        <is>
          <t>Pakistan</t>
        </is>
      </c>
      <c r="D152" s="41" t="inlineStr">
        <is>
          <t>Logistics</t>
        </is>
      </c>
      <c r="E152" s="41" t="inlineStr">
        <is>
          <t>Driver</t>
        </is>
      </c>
      <c r="F152" s="40" t="inlineStr">
        <is>
          <t>Labor</t>
        </is>
      </c>
      <c r="G152" s="40" t="inlineStr">
        <is>
          <t>Blue Collar</t>
        </is>
      </c>
      <c r="H152" s="41" t="inlineStr">
        <is>
          <t>Desert Horizon Contracting</t>
        </is>
      </c>
      <c r="I152" s="42" t="n">
        <v>45742</v>
      </c>
      <c r="J152" s="40" t="inlineStr">
        <is>
          <t>Released</t>
        </is>
      </c>
      <c r="K152" s="42" t="n">
        <v>46157</v>
      </c>
      <c r="L152" s="41" t="inlineStr"/>
      <c r="N152">
        <f>IF(Search!$C$4="","",IF(ISNUMBER(SEARCH(Search!$C$4,A152&amp;" "&amp;B152&amp;" "&amp;D152&amp;" "&amp;H152&amp;" "&amp;J152)),ROW(),""))</f>
        <v/>
      </c>
    </row>
    <row r="153">
      <c r="A153" s="45" t="inlineStr">
        <is>
          <t>EMP-1149</t>
        </is>
      </c>
      <c r="B153" s="46" t="inlineStr">
        <is>
          <t>Danish Polat</t>
        </is>
      </c>
      <c r="C153" s="45" t="inlineStr">
        <is>
          <t>Pakistan</t>
        </is>
      </c>
      <c r="D153" s="46" t="inlineStr">
        <is>
          <t>Logistics</t>
        </is>
      </c>
      <c r="E153" s="46" t="inlineStr">
        <is>
          <t>Fleet Coordinator</t>
        </is>
      </c>
      <c r="F153" s="45" t="inlineStr">
        <is>
          <t>Staff</t>
        </is>
      </c>
      <c r="G153" s="45" t="inlineStr">
        <is>
          <t>White Collar</t>
        </is>
      </c>
      <c r="H153" s="46" t="inlineStr">
        <is>
          <t>Desert Horizon Contracting</t>
        </is>
      </c>
      <c r="I153" s="47" t="n">
        <v>45348</v>
      </c>
      <c r="J153" s="45" t="inlineStr">
        <is>
          <t>Released</t>
        </is>
      </c>
      <c r="K153" s="47" t="n">
        <v>46287</v>
      </c>
      <c r="L153" s="46" t="inlineStr"/>
      <c r="N153">
        <f>IF(Search!$C$4="","",IF(ISNUMBER(SEARCH(Search!$C$4,A153&amp;" "&amp;B153&amp;" "&amp;D153&amp;" "&amp;H153&amp;" "&amp;J153)),ROW(),""))</f>
        <v/>
      </c>
    </row>
    <row r="154">
      <c r="A154" s="40" t="inlineStr">
        <is>
          <t>EMP-1150</t>
        </is>
      </c>
      <c r="B154" s="41" t="inlineStr">
        <is>
          <t>Rizwan Aslam</t>
        </is>
      </c>
      <c r="C154" s="40" t="inlineStr">
        <is>
          <t>Pakistan</t>
        </is>
      </c>
      <c r="D154" s="41" t="inlineStr">
        <is>
          <t>Tunnelling</t>
        </is>
      </c>
      <c r="E154" s="41" t="inlineStr">
        <is>
          <t>Shift Engineer</t>
        </is>
      </c>
      <c r="F154" s="40" t="inlineStr">
        <is>
          <t>Staff</t>
        </is>
      </c>
      <c r="G154" s="40" t="inlineStr">
        <is>
          <t>White Collar</t>
        </is>
      </c>
      <c r="H154" s="41" t="inlineStr">
        <is>
          <t>Gulf Manpower Services</t>
        </is>
      </c>
      <c r="I154" s="42" t="n">
        <v>45173</v>
      </c>
      <c r="J154" s="40" t="inlineStr">
        <is>
          <t>Released</t>
        </is>
      </c>
      <c r="K154" s="42" t="n">
        <v>46270</v>
      </c>
      <c r="L154" s="41" t="inlineStr"/>
      <c r="N154">
        <f>IF(Search!$C$4="","",IF(ISNUMBER(SEARCH(Search!$C$4,A154&amp;" "&amp;B154&amp;" "&amp;D154&amp;" "&amp;H154&amp;" "&amp;J154)),ROW(),""))</f>
        <v/>
      </c>
    </row>
  </sheetData>
  <autoFilter ref="A4:L154"/>
  <mergeCells count="2">
    <mergeCell ref="A2:L2"/>
    <mergeCell ref="A1:L1"/>
  </mergeCells>
  <conditionalFormatting sqref="J5:J500">
    <cfRule type="cellIs" priority="1" operator="equal" dxfId="0">
      <formula>"Active"</formula>
    </cfRule>
    <cfRule type="cellIs" priority="2" operator="equal" dxfId="1">
      <formula>"Released"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2026-10-14T07:31:48Z</dcterms:created>
  <dcterms:modified xmlns:dcterms="http://purl.org/dc/terms/" xmlns:xsi="http://www.w3.org/2001/XMLSchema-instance" xsi:type="dcterms:W3CDTF">2026-10-14T07:31:48Z</dcterms:modified>
</cp:coreProperties>
</file>