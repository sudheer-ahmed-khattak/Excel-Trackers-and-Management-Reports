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Zip FIles\Friday work comparison\"/>
    </mc:Choice>
  </mc:AlternateContent>
  <xr:revisionPtr revIDLastSave="0" documentId="13_ncr:1_{64A758A0-29FC-4204-8FED-CDBA20CF79C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ld Friday" sheetId="1" r:id="rId1"/>
    <sheet name="Current Friday" sheetId="2" r:id="rId2"/>
    <sheet name="Comparison Report" sheetId="3" r:id="rId3"/>
  </sheets>
  <definedNames>
    <definedName name="_xlnm.Print_Area" localSheetId="2">'Comparison Report'!$A$1:$O$63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17" i="3"/>
  <c r="E18" i="3"/>
  <c r="E19" i="3"/>
  <c r="E20" i="3"/>
  <c r="E21" i="3"/>
  <c r="E22" i="3"/>
  <c r="E15" i="3"/>
  <c r="D16" i="3"/>
  <c r="D17" i="3"/>
  <c r="D18" i="3"/>
  <c r="D19" i="3"/>
  <c r="D20" i="3"/>
  <c r="D21" i="3"/>
  <c r="D22" i="3"/>
  <c r="D15" i="3"/>
  <c r="M5" i="3"/>
  <c r="K5" i="3"/>
  <c r="H5" i="3"/>
  <c r="D5" i="3"/>
  <c r="A5" i="3"/>
</calcChain>
</file>

<file path=xl/sharedStrings.xml><?xml version="1.0" encoding="utf-8"?>
<sst xmlns="http://schemas.openxmlformats.org/spreadsheetml/2006/main" count="4257" uniqueCount="590">
  <si>
    <t>LAST FRIDAY WORKFORCE PLAN</t>
  </si>
  <si>
    <t>MTBC Infrastructure Development Program  |  Friday: 31 July 2026  |  Synthetic Portfolio Data</t>
  </si>
  <si>
    <t>No.</t>
  </si>
  <si>
    <t>Employee ID</t>
  </si>
  <si>
    <t>National ID</t>
  </si>
  <si>
    <t>Employee Name</t>
  </si>
  <si>
    <t>Position</t>
  </si>
  <si>
    <t>Department</t>
  </si>
  <si>
    <t>Project</t>
  </si>
  <si>
    <t>Location</t>
  </si>
  <si>
    <t>Planned Activity</t>
  </si>
  <si>
    <t>Shift</t>
  </si>
  <si>
    <t>Status / Remarks</t>
  </si>
  <si>
    <t>MTB-1001</t>
  </si>
  <si>
    <t>George Smith</t>
  </si>
  <si>
    <t>Senior Operations Manager</t>
  </si>
  <si>
    <t>Project Administration</t>
  </si>
  <si>
    <t>MTBC Infrastructure Development Program</t>
  </si>
  <si>
    <t>Support Facility</t>
  </si>
  <si>
    <t>Technical review and field verification</t>
  </si>
  <si>
    <t>Day</t>
  </si>
  <si>
    <t>Planned</t>
  </si>
  <si>
    <t>MTB-1002</t>
  </si>
  <si>
    <t>Ali Jackson</t>
  </si>
  <si>
    <t>Project Administration Specialist</t>
  </si>
  <si>
    <t>MTB-1003</t>
  </si>
  <si>
    <t>Daniel Patel</t>
  </si>
  <si>
    <t>Project Engineer</t>
  </si>
  <si>
    <t>Tunnel Operations</t>
  </si>
  <si>
    <t>Equipment inspection and maintenance support</t>
  </si>
  <si>
    <t>MTB-1004</t>
  </si>
  <si>
    <t>Peter Khan</t>
  </si>
  <si>
    <t>Technical Specialist</t>
  </si>
  <si>
    <t>MTB-1005</t>
  </si>
  <si>
    <t>David Moore</t>
  </si>
  <si>
    <t>Electrical Technician</t>
  </si>
  <si>
    <t>Electrical &amp; MEP</t>
  </si>
  <si>
    <t>Safety coordination and operational support</t>
  </si>
  <si>
    <t>MTB-1006</t>
  </si>
  <si>
    <t>Carlos Young</t>
  </si>
  <si>
    <t>Mechanical Technician</t>
  </si>
  <si>
    <t>MTB-1007</t>
  </si>
  <si>
    <t>John Johnson</t>
  </si>
  <si>
    <t>Site Support Worker</t>
  </si>
  <si>
    <t>MTB-1008</t>
  </si>
  <si>
    <t>Brian Davis</t>
  </si>
  <si>
    <t>Assembly Technician</t>
  </si>
  <si>
    <t>MTB-1009</t>
  </si>
  <si>
    <t>Victor Saeed</t>
  </si>
  <si>
    <t>Utilities Technician</t>
  </si>
  <si>
    <t>MTB-1010</t>
  </si>
  <si>
    <t>Eric Reed</t>
  </si>
  <si>
    <t>Equipment Operator</t>
  </si>
  <si>
    <t>Night</t>
  </si>
  <si>
    <t>MTB-1011</t>
  </si>
  <si>
    <t>Robert Rahman</t>
  </si>
  <si>
    <t>MTB-1012</t>
  </si>
  <si>
    <t>Peter Moore</t>
  </si>
  <si>
    <t>MTB-1013</t>
  </si>
  <si>
    <t>Michael Smith</t>
  </si>
  <si>
    <t>MTB-1014</t>
  </si>
  <si>
    <t>Rashid Patel</t>
  </si>
  <si>
    <t>MTB-1015</t>
  </si>
  <si>
    <t>Isaac Lewis</t>
  </si>
  <si>
    <t>MTB-1016</t>
  </si>
  <si>
    <t>Kevin Ward</t>
  </si>
  <si>
    <t>MTB-1017</t>
  </si>
  <si>
    <t>John Omar</t>
  </si>
  <si>
    <t>MTB-1018</t>
  </si>
  <si>
    <t>Daniel Clark</t>
  </si>
  <si>
    <t>MTB-1019</t>
  </si>
  <si>
    <t>Rashid Davis</t>
  </si>
  <si>
    <t>MTB-1020</t>
  </si>
  <si>
    <t>Patrick Collins</t>
  </si>
  <si>
    <t>MTB-1021</t>
  </si>
  <si>
    <t>Ahmed Thomas</t>
  </si>
  <si>
    <t>MTB-1022</t>
  </si>
  <si>
    <t>Henry Garcia</t>
  </si>
  <si>
    <t>MTB-1023</t>
  </si>
  <si>
    <t>James Brown</t>
  </si>
  <si>
    <t>MTB-1024</t>
  </si>
  <si>
    <t>Emmanuel Walker</t>
  </si>
  <si>
    <t>MTB-1025</t>
  </si>
  <si>
    <t>William Johnson</t>
  </si>
  <si>
    <t>Operations Team Member</t>
  </si>
  <si>
    <t>MTB-1026</t>
  </si>
  <si>
    <t>Carlos Hassan</t>
  </si>
  <si>
    <t>MTB-1027</t>
  </si>
  <si>
    <t>Joseph Morgan</t>
  </si>
  <si>
    <t>MTB-1028</t>
  </si>
  <si>
    <t>Adam Robinson</t>
  </si>
  <si>
    <t>MTB-1029</t>
  </si>
  <si>
    <t>Omar Omar</t>
  </si>
  <si>
    <t>MTB-1030</t>
  </si>
  <si>
    <t>Ibrahim Johnson</t>
  </si>
  <si>
    <t>MTB-1031</t>
  </si>
  <si>
    <t>Elias Smith</t>
  </si>
  <si>
    <t>MTB-1032</t>
  </si>
  <si>
    <t>Robert Miller</t>
  </si>
  <si>
    <t>MTB-1033</t>
  </si>
  <si>
    <t>Patrick Roberts</t>
  </si>
  <si>
    <t>MTB-1034</t>
  </si>
  <si>
    <t>Joseph Hassan</t>
  </si>
  <si>
    <t>MTB-1035</t>
  </si>
  <si>
    <t>Nathan Smith</t>
  </si>
  <si>
    <t>MTB-1036</t>
  </si>
  <si>
    <t>Amir Harris</t>
  </si>
  <si>
    <t>MTB-1037</t>
  </si>
  <si>
    <t>Adam Green</t>
  </si>
  <si>
    <t>MTB-1038</t>
  </si>
  <si>
    <t>Mohammed White</t>
  </si>
  <si>
    <t>MTB-1039</t>
  </si>
  <si>
    <t>Daniel Martin</t>
  </si>
  <si>
    <t>MTB-1040</t>
  </si>
  <si>
    <t>George Moore</t>
  </si>
  <si>
    <t>MTB-1041</t>
  </si>
  <si>
    <t>Peter Johnson</t>
  </si>
  <si>
    <t>MTB-1042</t>
  </si>
  <si>
    <t>Hassan Carter</t>
  </si>
  <si>
    <t>MTB-1043</t>
  </si>
  <si>
    <t>Mark Robinson</t>
  </si>
  <si>
    <t>MTB-1044</t>
  </si>
  <si>
    <t>George Lewis</t>
  </si>
  <si>
    <t>MTB-1045</t>
  </si>
  <si>
    <t>Yasir Johnson</t>
  </si>
  <si>
    <t>MTB-1046</t>
  </si>
  <si>
    <t>Rashid Smith</t>
  </si>
  <si>
    <t>MTB-1047</t>
  </si>
  <si>
    <t>Bilal Ahmed</t>
  </si>
  <si>
    <t>MTB-1048</t>
  </si>
  <si>
    <t>Hassan Ali</t>
  </si>
  <si>
    <t>MTB-1049</t>
  </si>
  <si>
    <t>Kevin Thompson</t>
  </si>
  <si>
    <t>MTB-1050</t>
  </si>
  <si>
    <t>Tariq Hassan</t>
  </si>
  <si>
    <t>MTB-1051</t>
  </si>
  <si>
    <t>Henry Thompson</t>
  </si>
  <si>
    <t>MTB-1052</t>
  </si>
  <si>
    <t>Jason Khan</t>
  </si>
  <si>
    <t>MTB-1053</t>
  </si>
  <si>
    <t>David Thompson</t>
  </si>
  <si>
    <t>MTB-1054</t>
  </si>
  <si>
    <t>Robert Jackson</t>
  </si>
  <si>
    <t>MTB-1055</t>
  </si>
  <si>
    <t>Brian Omar</t>
  </si>
  <si>
    <t>MTB-1056</t>
  </si>
  <si>
    <t>Samuel Ali</t>
  </si>
  <si>
    <t>MTB-1057</t>
  </si>
  <si>
    <t>Khalid Khan</t>
  </si>
  <si>
    <t>MTB-1058</t>
  </si>
  <si>
    <t>William Harris</t>
  </si>
  <si>
    <t>MTB-1059</t>
  </si>
  <si>
    <t>Emmanuel Foster</t>
  </si>
  <si>
    <t>MTB-1060</t>
  </si>
  <si>
    <t>Carlos Davis</t>
  </si>
  <si>
    <t>MTB-1061</t>
  </si>
  <si>
    <t>Mohammed Mitchell</t>
  </si>
  <si>
    <t>MTB-1062</t>
  </si>
  <si>
    <t>Elias Lewis</t>
  </si>
  <si>
    <t>MTB-1063</t>
  </si>
  <si>
    <t>Adrian Anderson</t>
  </si>
  <si>
    <t>MTB-1064</t>
  </si>
  <si>
    <t>Isaac Robinson</t>
  </si>
  <si>
    <t>MTB-1065</t>
  </si>
  <si>
    <t>Zain Clark</t>
  </si>
  <si>
    <t>MTB-1066</t>
  </si>
  <si>
    <t>Henry Turner</t>
  </si>
  <si>
    <t>MTB-1067</t>
  </si>
  <si>
    <t>Henry Miller</t>
  </si>
  <si>
    <t>MTB-1068</t>
  </si>
  <si>
    <t>Victor Mitchell</t>
  </si>
  <si>
    <t>MTB-1069</t>
  </si>
  <si>
    <t>Thomas Thomas</t>
  </si>
  <si>
    <t>MTB-1070</t>
  </si>
  <si>
    <t>Adam Davis</t>
  </si>
  <si>
    <t>MTB-1071</t>
  </si>
  <si>
    <t>Rashid White</t>
  </si>
  <si>
    <t>MTB-1072</t>
  </si>
  <si>
    <t>Saud Johnson</t>
  </si>
  <si>
    <t>MTB-1073</t>
  </si>
  <si>
    <t>Emmanuel Carter</t>
  </si>
  <si>
    <t>MTB-1074</t>
  </si>
  <si>
    <t>Adrian Hassan</t>
  </si>
  <si>
    <t>MTB-1075</t>
  </si>
  <si>
    <t>Michael Anderson</t>
  </si>
  <si>
    <t>MTB-1076</t>
  </si>
  <si>
    <t>Peter Foster</t>
  </si>
  <si>
    <t>MTB-1077</t>
  </si>
  <si>
    <t>Michael Ward</t>
  </si>
  <si>
    <t>MTB-1078</t>
  </si>
  <si>
    <t>Luis Miller</t>
  </si>
  <si>
    <t>MTB-1079</t>
  </si>
  <si>
    <t>Daniel Khan</t>
  </si>
  <si>
    <t>MTB-1080</t>
  </si>
  <si>
    <t>James Baker</t>
  </si>
  <si>
    <t>MTB-1081</t>
  </si>
  <si>
    <t>Eric Taylor</t>
  </si>
  <si>
    <t>MTB-1082</t>
  </si>
  <si>
    <t>Mohammed Harris</t>
  </si>
  <si>
    <t>MTB-1083</t>
  </si>
  <si>
    <t>Adam Taylor</t>
  </si>
  <si>
    <t>MTB-1084</t>
  </si>
  <si>
    <t>Ibrahim Garcia</t>
  </si>
  <si>
    <t>MTB-1085</t>
  </si>
  <si>
    <t>Mark Garcia</t>
  </si>
  <si>
    <t>MTB-1086</t>
  </si>
  <si>
    <t>Zain Smith</t>
  </si>
  <si>
    <t>MTB-1087</t>
  </si>
  <si>
    <t>Eric Jackson</t>
  </si>
  <si>
    <t>MTB-1088</t>
  </si>
  <si>
    <t>Jason Wilson</t>
  </si>
  <si>
    <t>MTB-1089</t>
  </si>
  <si>
    <t>Tariq Thompson</t>
  </si>
  <si>
    <t>MTB-1090</t>
  </si>
  <si>
    <t>Ibrahim Scott</t>
  </si>
  <si>
    <t>MTB-1091</t>
  </si>
  <si>
    <t>Khalid Clark</t>
  </si>
  <si>
    <t>MTB-1092</t>
  </si>
  <si>
    <t>Andrew Mitchell</t>
  </si>
  <si>
    <t>MTB-1093</t>
  </si>
  <si>
    <t>Mohammed Smith</t>
  </si>
  <si>
    <t>MTB-1094</t>
  </si>
  <si>
    <t>Hassan Williams</t>
  </si>
  <si>
    <t>MTB-1095</t>
  </si>
  <si>
    <t>Daniel Ward</t>
  </si>
  <si>
    <t>MTB-1096</t>
  </si>
  <si>
    <t>Farhan Foster</t>
  </si>
  <si>
    <t>Civil Construction</t>
  </si>
  <si>
    <t>Workfront preparation and progress monitoring</t>
  </si>
  <si>
    <t>MTB-1097</t>
  </si>
  <si>
    <t>Peter White</t>
  </si>
  <si>
    <t>MTB-1098</t>
  </si>
  <si>
    <t>Zain Jackson</t>
  </si>
  <si>
    <t>MTB-1099</t>
  </si>
  <si>
    <t>Eric Garcia</t>
  </si>
  <si>
    <t>Site Foreman</t>
  </si>
  <si>
    <t>Documentation, reporting and action follow-up</t>
  </si>
  <si>
    <t>MTB-1100</t>
  </si>
  <si>
    <t>Samuel Carter</t>
  </si>
  <si>
    <t>Scheduled operations and site coordination</t>
  </si>
  <si>
    <t>MTB-1101</t>
  </si>
  <si>
    <t>Ibrahim Saeed</t>
  </si>
  <si>
    <t>MTB-1102</t>
  </si>
  <si>
    <t>Samuel Hall</t>
  </si>
  <si>
    <t>MTB-1103</t>
  </si>
  <si>
    <t>Joseph Wilson</t>
  </si>
  <si>
    <t>MTB-1104</t>
  </si>
  <si>
    <t>Samuel Rahman</t>
  </si>
  <si>
    <t>MTB-1105</t>
  </si>
  <si>
    <t>Ali Hall</t>
  </si>
  <si>
    <t>MTB-1106</t>
  </si>
  <si>
    <t>Victor Harris</t>
  </si>
  <si>
    <t>MTB-1107</t>
  </si>
  <si>
    <t>Khalid Jackson</t>
  </si>
  <si>
    <t>MTB-1108</t>
  </si>
  <si>
    <t>Isaac Jackson</t>
  </si>
  <si>
    <t>MTB-1109</t>
  </si>
  <si>
    <t>Zain Robinson</t>
  </si>
  <si>
    <t>MTB-1110</t>
  </si>
  <si>
    <t>Imran Williams</t>
  </si>
  <si>
    <t>MTB-1111</t>
  </si>
  <si>
    <t>Steven Clark</t>
  </si>
  <si>
    <t>MTB-1112</t>
  </si>
  <si>
    <t>Eric Evans</t>
  </si>
  <si>
    <t>MTB-1113</t>
  </si>
  <si>
    <t>Emmanuel Clark</t>
  </si>
  <si>
    <t>MTB-1114</t>
  </si>
  <si>
    <t>Samuel Davis</t>
  </si>
  <si>
    <t>Technical Office</t>
  </si>
  <si>
    <t>MTB-1115</t>
  </si>
  <si>
    <t>Nathan Thompson</t>
  </si>
  <si>
    <t>MTB-1116</t>
  </si>
  <si>
    <t>Michael Taylor</t>
  </si>
  <si>
    <t>Survey &amp; Geospatial</t>
  </si>
  <si>
    <t>MTB-1117</t>
  </si>
  <si>
    <t>Kevin Thomas</t>
  </si>
  <si>
    <t>MTB-1118</t>
  </si>
  <si>
    <t>Paul Patel</t>
  </si>
  <si>
    <t>MTB-1119</t>
  </si>
  <si>
    <t>Ali Omar</t>
  </si>
  <si>
    <t>MTB-1120</t>
  </si>
  <si>
    <t>Eric Baker</t>
  </si>
  <si>
    <t>MTB-1121</t>
  </si>
  <si>
    <t>Mark Ali</t>
  </si>
  <si>
    <t>MTB-1122</t>
  </si>
  <si>
    <t>Henry Taylor</t>
  </si>
  <si>
    <t>MTB-1123</t>
  </si>
  <si>
    <t>Imran Young</t>
  </si>
  <si>
    <t>MTB-1124</t>
  </si>
  <si>
    <t>James Ward</t>
  </si>
  <si>
    <t>MTB-1125</t>
  </si>
  <si>
    <t>Saud Saeed</t>
  </si>
  <si>
    <t>MTB-1126</t>
  </si>
  <si>
    <t>Samuel Mitchell</t>
  </si>
  <si>
    <t>MTB-1127</t>
  </si>
  <si>
    <t>Victor Patel</t>
  </si>
  <si>
    <t>MTB-1128</t>
  </si>
  <si>
    <t>Kevin Williams</t>
  </si>
  <si>
    <t>Geotechnical Services</t>
  </si>
  <si>
    <t>MTB-1129</t>
  </si>
  <si>
    <t>George Carter</t>
  </si>
  <si>
    <t>MTB-1130</t>
  </si>
  <si>
    <t>Henry Khan</t>
  </si>
  <si>
    <t>Mechanical Services</t>
  </si>
  <si>
    <t>MTB-1131</t>
  </si>
  <si>
    <t>Adrian Malik</t>
  </si>
  <si>
    <t>MTB-1132</t>
  </si>
  <si>
    <t>Ahmed Khan</t>
  </si>
  <si>
    <t>MTB-1133</t>
  </si>
  <si>
    <t>Nathan Rahman</t>
  </si>
  <si>
    <t>MTB-1134</t>
  </si>
  <si>
    <t>James Robinson</t>
  </si>
  <si>
    <t>MTB-1135</t>
  </si>
  <si>
    <t>Robert Walker</t>
  </si>
  <si>
    <t>MTB-1136</t>
  </si>
  <si>
    <t>Paul Mitchell</t>
  </si>
  <si>
    <t>MTB-1137</t>
  </si>
  <si>
    <t>Hassan Robinson</t>
  </si>
  <si>
    <t>MTB-1138</t>
  </si>
  <si>
    <t>Eric Harris</t>
  </si>
  <si>
    <t>MTB-1139</t>
  </si>
  <si>
    <t>William Mitchell</t>
  </si>
  <si>
    <t>MTB-1140</t>
  </si>
  <si>
    <t>Saud Walker</t>
  </si>
  <si>
    <t>MTB-1141</t>
  </si>
  <si>
    <t>Carlos Wilson</t>
  </si>
  <si>
    <t>MTB-1142</t>
  </si>
  <si>
    <t>Adeel Hassan</t>
  </si>
  <si>
    <t>MTB-1143</t>
  </si>
  <si>
    <t>Henry Robinson</t>
  </si>
  <si>
    <t>MTB-1144</t>
  </si>
  <si>
    <t>Samuel Hill</t>
  </si>
  <si>
    <t>MTB-1145</t>
  </si>
  <si>
    <t>Jason Omar</t>
  </si>
  <si>
    <t>MTB-1146</t>
  </si>
  <si>
    <t>John Scott</t>
  </si>
  <si>
    <t>MTB-1147</t>
  </si>
  <si>
    <t>Khalid Iqbal</t>
  </si>
  <si>
    <t>MTB-1148</t>
  </si>
  <si>
    <t>Patrick Walker</t>
  </si>
  <si>
    <t>MTB-1149</t>
  </si>
  <si>
    <t>Carlos Malik</t>
  </si>
  <si>
    <t>MTB-1150</t>
  </si>
  <si>
    <t>Omar Brown</t>
  </si>
  <si>
    <t>MTB-1151</t>
  </si>
  <si>
    <t>Bilal Khan</t>
  </si>
  <si>
    <t>MTB-1152</t>
  </si>
  <si>
    <t>Peter Scott</t>
  </si>
  <si>
    <t>MTB-1153</t>
  </si>
  <si>
    <t>Adrian Scott</t>
  </si>
  <si>
    <t>MTB-1154</t>
  </si>
  <si>
    <t>Steven Jackson</t>
  </si>
  <si>
    <t>MTB-1155</t>
  </si>
  <si>
    <t>Brian Reed</t>
  </si>
  <si>
    <t>MTB-1156</t>
  </si>
  <si>
    <t>Khalid Hassan</t>
  </si>
  <si>
    <t>MTB-1157</t>
  </si>
  <si>
    <t>Andrew Davis</t>
  </si>
  <si>
    <t>MTB-1158</t>
  </si>
  <si>
    <t>Ibrahim Martin</t>
  </si>
  <si>
    <t>MTB-1159</t>
  </si>
  <si>
    <t>Zain Parker</t>
  </si>
  <si>
    <t>MTB-1160</t>
  </si>
  <si>
    <t>Mark Parker</t>
  </si>
  <si>
    <t>MTB-1161</t>
  </si>
  <si>
    <t>Nathan Miller</t>
  </si>
  <si>
    <t>MTB-1162</t>
  </si>
  <si>
    <t>John Martin</t>
  </si>
  <si>
    <t>MTB-1163</t>
  </si>
  <si>
    <t>Robert Scott</t>
  </si>
  <si>
    <t>Central Work Zone</t>
  </si>
  <si>
    <t>MTB-1164</t>
  </si>
  <si>
    <t>James Omar</t>
  </si>
  <si>
    <t>MTB-1165</t>
  </si>
  <si>
    <t>George Hassan</t>
  </si>
  <si>
    <t>MTB-1166</t>
  </si>
  <si>
    <t>Farhan Jackson</t>
  </si>
  <si>
    <t>MTB-1167</t>
  </si>
  <si>
    <t>Victor Green</t>
  </si>
  <si>
    <t>MTB-1168</t>
  </si>
  <si>
    <t>Rashid Hassan</t>
  </si>
  <si>
    <t>MTB-1169</t>
  </si>
  <si>
    <t>Adeel Smith</t>
  </si>
  <si>
    <t>MTB-1170</t>
  </si>
  <si>
    <t>Fahad Hassan</t>
  </si>
  <si>
    <t>MTB-1171</t>
  </si>
  <si>
    <t>Saud Nelson</t>
  </si>
  <si>
    <t>MTB-1172</t>
  </si>
  <si>
    <t>Bilal Reed</t>
  </si>
  <si>
    <t>MTB-1173</t>
  </si>
  <si>
    <t>Elias Malik</t>
  </si>
  <si>
    <t>MTB-1174</t>
  </si>
  <si>
    <t>Robert Smith</t>
  </si>
  <si>
    <t>MTB-1175</t>
  </si>
  <si>
    <t>Jason Mitchell</t>
  </si>
  <si>
    <t>MTB-1176</t>
  </si>
  <si>
    <t>Tariq Hill</t>
  </si>
  <si>
    <t>MTB-1177</t>
  </si>
  <si>
    <t>Andrew Roberts</t>
  </si>
  <si>
    <t>MTB-1178</t>
  </si>
  <si>
    <t>Henry Mitchell</t>
  </si>
  <si>
    <t>MTB-1179</t>
  </si>
  <si>
    <t>Saud Patel</t>
  </si>
  <si>
    <t>MTB-1180</t>
  </si>
  <si>
    <t>Zain Khan</t>
  </si>
  <si>
    <t>MTB-1181</t>
  </si>
  <si>
    <t>Victor Roberts</t>
  </si>
  <si>
    <t>MTB-1182</t>
  </si>
  <si>
    <t>John Collins</t>
  </si>
  <si>
    <t>MTB-1183</t>
  </si>
  <si>
    <t>Emmanuel Patel</t>
  </si>
  <si>
    <t>MTB-1184</t>
  </si>
  <si>
    <t>Samuel Garcia</t>
  </si>
  <si>
    <t>MTB-1185</t>
  </si>
  <si>
    <t>Bilal Harris</t>
  </si>
  <si>
    <t>MTB-1186</t>
  </si>
  <si>
    <t>Steven Ahmed</t>
  </si>
  <si>
    <t>MTB-1187</t>
  </si>
  <si>
    <t>Ryan Garcia</t>
  </si>
  <si>
    <t>MTB-1188</t>
  </si>
  <si>
    <t>Carlos Nelson</t>
  </si>
  <si>
    <t>MTB-1189</t>
  </si>
  <si>
    <t>Imran Lewis</t>
  </si>
  <si>
    <t>MTB-1190</t>
  </si>
  <si>
    <t>Rashid Parker</t>
  </si>
  <si>
    <t>MTB-1191</t>
  </si>
  <si>
    <t>Emmanuel Malik</t>
  </si>
  <si>
    <t>MTB-1192</t>
  </si>
  <si>
    <t>Henry Nelson</t>
  </si>
  <si>
    <t>MTB-1193</t>
  </si>
  <si>
    <t>Kevin Evans</t>
  </si>
  <si>
    <t>MTB-1194</t>
  </si>
  <si>
    <t>Luis Patel</t>
  </si>
  <si>
    <t>MTB-1195</t>
  </si>
  <si>
    <t>Amir Mitchell</t>
  </si>
  <si>
    <t>MTB-1196</t>
  </si>
  <si>
    <t>Elias Patel</t>
  </si>
  <si>
    <t>MTB-1197</t>
  </si>
  <si>
    <t>Rashid Wilson</t>
  </si>
  <si>
    <t>MTB-1198</t>
  </si>
  <si>
    <t>Steven Khan</t>
  </si>
  <si>
    <t>MTB-1199</t>
  </si>
  <si>
    <t>Michael Clark</t>
  </si>
  <si>
    <t>MTB-1200</t>
  </si>
  <si>
    <t>Paul Thomas</t>
  </si>
  <si>
    <t>MTB-1201</t>
  </si>
  <si>
    <t>Henry Hassan</t>
  </si>
  <si>
    <t>MTB-1202</t>
  </si>
  <si>
    <t>Daniel Wilson</t>
  </si>
  <si>
    <t>MTB-1203</t>
  </si>
  <si>
    <t>Emmanuel Collins</t>
  </si>
  <si>
    <t>MTB-1204</t>
  </si>
  <si>
    <t>Isaac Ahmed</t>
  </si>
  <si>
    <t>MTB-1205</t>
  </si>
  <si>
    <t>Khalid Miller</t>
  </si>
  <si>
    <t>MTB-1206</t>
  </si>
  <si>
    <t>Tariq Jackson</t>
  </si>
  <si>
    <t>MTB-1207</t>
  </si>
  <si>
    <t>Kevin Smith</t>
  </si>
  <si>
    <t>MTB-1208</t>
  </si>
  <si>
    <t>Omar Robinson</t>
  </si>
  <si>
    <t>MTB-1209</t>
  </si>
  <si>
    <t>John Wilson</t>
  </si>
  <si>
    <t>MTB-1210</t>
  </si>
  <si>
    <t>Ahmed Parker</t>
  </si>
  <si>
    <t>South Portal</t>
  </si>
  <si>
    <t>MTB-1211</t>
  </si>
  <si>
    <t>George Khan</t>
  </si>
  <si>
    <t>MTB-1212</t>
  </si>
  <si>
    <t>Ryan Malik</t>
  </si>
  <si>
    <t>MTB-1213</t>
  </si>
  <si>
    <t>Ahmed Martin</t>
  </si>
  <si>
    <t>MTB-1214</t>
  </si>
  <si>
    <t>David Scott</t>
  </si>
  <si>
    <t>MTB-1215</t>
  </si>
  <si>
    <t>Thomas Iqbal</t>
  </si>
  <si>
    <t>MTB-1216</t>
  </si>
  <si>
    <t>Ibrahim Hill</t>
  </si>
  <si>
    <t>MTB-1217</t>
  </si>
  <si>
    <t>Michael Nelson</t>
  </si>
  <si>
    <t>MTB-1218</t>
  </si>
  <si>
    <t>Fahad Patel</t>
  </si>
  <si>
    <t>MTB-1219</t>
  </si>
  <si>
    <t>Amir Robinson</t>
  </si>
  <si>
    <t>MTB-1220</t>
  </si>
  <si>
    <t>Imran Miller</t>
  </si>
  <si>
    <t>MTB-1221</t>
  </si>
  <si>
    <t>Peter Thomas</t>
  </si>
  <si>
    <t>MTB-1222</t>
  </si>
  <si>
    <t>Adeel Thompson</t>
  </si>
  <si>
    <t>CURRENT FRIDAY WORKFORCE PLAN</t>
  </si>
  <si>
    <t>MTBC Infrastructure Development Program  |  Friday: 07 August 2026  |  Synthetic Portfolio Data</t>
  </si>
  <si>
    <t>Saud Thomas</t>
  </si>
  <si>
    <t>Bilal Williams</t>
  </si>
  <si>
    <t>Robert Martin</t>
  </si>
  <si>
    <t>MTB-1223</t>
  </si>
  <si>
    <t>Ibrahim Green</t>
  </si>
  <si>
    <t>MTB-1224</t>
  </si>
  <si>
    <t>Imran Saeed</t>
  </si>
  <si>
    <t>John Smith</t>
  </si>
  <si>
    <t>Isaac Saeed</t>
  </si>
  <si>
    <t>David Roberts</t>
  </si>
  <si>
    <t>MTB-1225</t>
  </si>
  <si>
    <t>Kevin Hill</t>
  </si>
  <si>
    <t>MTB-1226</t>
  </si>
  <si>
    <t>Carlos Iqbal</t>
  </si>
  <si>
    <t>Ryan Wright</t>
  </si>
  <si>
    <t>Victor Moore</t>
  </si>
  <si>
    <t>Zain Scott</t>
  </si>
  <si>
    <t>Amir Jackson</t>
  </si>
  <si>
    <t>MTB-1227</t>
  </si>
  <si>
    <t>Isaac Davis</t>
  </si>
  <si>
    <t>Ibrahim Brown</t>
  </si>
  <si>
    <t>Victor Smith</t>
  </si>
  <si>
    <t>MTB-1228</t>
  </si>
  <si>
    <t>Ryan Hill</t>
  </si>
  <si>
    <t>Victor Nelson</t>
  </si>
  <si>
    <t>Andrew Moore</t>
  </si>
  <si>
    <t>MTB-1229</t>
  </si>
  <si>
    <t>Steven Mitchell</t>
  </si>
  <si>
    <t>Hassan Green</t>
  </si>
  <si>
    <t>MTB-1230</t>
  </si>
  <si>
    <t>Isaac Wilson</t>
  </si>
  <si>
    <t>Bilal Patel</t>
  </si>
  <si>
    <t>Robert Mitchell</t>
  </si>
  <si>
    <t>Brian White</t>
  </si>
  <si>
    <t>MTB-1231</t>
  </si>
  <si>
    <t>Ahmed Carter</t>
  </si>
  <si>
    <t>Omar Malik</t>
  </si>
  <si>
    <t>MTB-1232</t>
  </si>
  <si>
    <t>Amir Evans</t>
  </si>
  <si>
    <t>MTB-1233</t>
  </si>
  <si>
    <t>Joseph Wright</t>
  </si>
  <si>
    <t>MTB-1234</t>
  </si>
  <si>
    <t>Imran Malik</t>
  </si>
  <si>
    <t>MTB-1235</t>
  </si>
  <si>
    <t>Carlos Harris</t>
  </si>
  <si>
    <t>MTB-1236</t>
  </si>
  <si>
    <t>Ibrahim Mitchell</t>
  </si>
  <si>
    <t>MTB-1237</t>
  </si>
  <si>
    <t>MTB-1238</t>
  </si>
  <si>
    <t>Adam White</t>
  </si>
  <si>
    <t>FRIDAY WORKFORCE COMPARISON &amp; MOVEMENT DASHBOARD</t>
  </si>
  <si>
    <t>Week</t>
  </si>
  <si>
    <t>Planned Workforce</t>
  </si>
  <si>
    <t>Actual Workforce</t>
  </si>
  <si>
    <t>Week 1</t>
  </si>
  <si>
    <t>Old Friday vs Current Friday  •  MTBC Infrastructure Development Program</t>
  </si>
  <si>
    <t>Week 2</t>
  </si>
  <si>
    <t>Week 3</t>
  </si>
  <si>
    <t>Week 4</t>
  </si>
  <si>
    <t>Week 5</t>
  </si>
  <si>
    <t>Week 6</t>
  </si>
  <si>
    <t>OLD FRIDAY</t>
  </si>
  <si>
    <t>CURRENT FRIDAY</t>
  </si>
  <si>
    <t>NET VARIANCE</t>
  </si>
  <si>
    <t>ADDED</t>
  </si>
  <si>
    <t>REMOVED</t>
  </si>
  <si>
    <t>DEPARTMENT PERFORMANCE COMPARISON</t>
  </si>
  <si>
    <t>SHIFT DISTRIBUTION</t>
  </si>
  <si>
    <t>Last Friday</t>
  </si>
  <si>
    <t>Current Friday</t>
  </si>
  <si>
    <t>Variance</t>
  </si>
  <si>
    <t>% Change</t>
  </si>
  <si>
    <t>Trend</t>
  </si>
  <si>
    <t>Decrease</t>
  </si>
  <si>
    <t>Increase</t>
  </si>
  <si>
    <t>EXECUTIVE CONTROL AREAS</t>
  </si>
  <si>
    <t>Control Area</t>
  </si>
  <si>
    <t>Metric</t>
  </si>
  <si>
    <t>Status</t>
  </si>
  <si>
    <t>Workforce Variance</t>
  </si>
  <si>
    <t>-1 employee</t>
  </si>
  <si>
    <t>Watch</t>
  </si>
  <si>
    <t>Department Movement</t>
  </si>
  <si>
    <t>5 departments changed</t>
  </si>
  <si>
    <t>Review</t>
  </si>
  <si>
    <t>Shift Distribution</t>
  </si>
  <si>
    <t>Day +1 / Night -2</t>
  </si>
  <si>
    <t>On Track</t>
  </si>
  <si>
    <t>New Employees</t>
  </si>
  <si>
    <t>16 added</t>
  </si>
  <si>
    <t>Complete</t>
  </si>
  <si>
    <t>Removed Employees</t>
  </si>
  <si>
    <t>17 removed</t>
  </si>
  <si>
    <t>Action</t>
  </si>
  <si>
    <t>Management Focus: review employee removals and department-level decreases before finalizing the current Friday workforce plan.</t>
  </si>
  <si>
    <t>NEW EMPLOYEES — CURRENT FRIDAY</t>
  </si>
  <si>
    <t>REMOVED EMPLOYEES — FROM OLD FRIDAY</t>
  </si>
  <si>
    <t>Prepared by: Sudheer Ahmed Khattak  |  Senior Executive Support Specialist  |  Portfolio Demonstration — Synthetic &amp; Anonymized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</si>
</sst>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38">
    <font>
      <sz val="11"/>
      <name val="Carlito"/>
    </font>
    <font>
      <b/>
      <sz val="11"/>
      <color rgb="FFFFFFFF"/>
      <name val="Carlito"/>
    </font>
    <font>
      <sz val="11"/>
      <name val="Aptos Narrow"/>
    </font>
    <font>
      <b/>
      <sz val="11"/>
      <color rgb="FFFFFFFF"/>
      <name val="Aptos Narrow"/>
    </font>
    <font>
      <sz val="11"/>
      <color rgb="FF111827"/>
      <name val="Aptos Narrow"/>
    </font>
    <font>
      <b/>
      <sz val="18"/>
      <color rgb="FFFFFFFF"/>
      <name val="Aptos Narrow"/>
    </font>
    <font>
      <sz val="9"/>
      <name val="Aptos Narrow"/>
    </font>
    <font>
      <sz val="9"/>
      <name val="Carlito"/>
    </font>
    <font>
      <sz val="9"/>
      <color theme="1"/>
      <name val="Aptos Narrow"/>
    </font>
    <font>
      <b/>
      <sz val="9"/>
      <color rgb="FFFFFFFF"/>
      <name val="Aptos Narrow"/>
    </font>
    <font>
      <b/>
      <sz val="10"/>
      <color rgb="FF1F2937"/>
      <name val="Aptos Narrow"/>
    </font>
    <font>
      <sz val="9"/>
      <color rgb="FF1F2937"/>
      <name val="Aptos Narrow"/>
    </font>
    <font>
      <sz val="9"/>
      <color rgb="FF1F2937"/>
      <name val="Carlito"/>
    </font>
    <font>
      <b/>
      <sz val="9"/>
      <color rgb="FFFFFFFF"/>
      <name val="Carlito"/>
    </font>
    <font>
      <b/>
      <sz val="9"/>
      <color rgb="FF1F2937"/>
      <name val="Aptos Narrow"/>
    </font>
    <font>
      <b/>
      <sz val="24"/>
      <color rgb="FF2F5597"/>
      <name val="Carlito"/>
    </font>
    <font>
      <b/>
      <sz val="24"/>
      <color rgb="FF0F766E"/>
      <name val="Carlito"/>
    </font>
    <font>
      <b/>
      <sz val="24"/>
      <color rgb="FFD97706"/>
      <name val="Carlito"/>
    </font>
    <font>
      <b/>
      <sz val="24"/>
      <color rgb="FF2E7D32"/>
      <name val="Carlito"/>
    </font>
    <font>
      <b/>
      <sz val="24"/>
      <color rgb="FFC2413B"/>
      <name val="Carlito"/>
    </font>
    <font>
      <b/>
      <sz val="9"/>
      <color rgb="FF475569"/>
      <name val="Aptos Narrow"/>
    </font>
    <font>
      <b/>
      <sz val="9"/>
      <color rgb="FF475569"/>
      <name val="Carlito"/>
    </font>
    <font>
      <b/>
      <sz val="10"/>
      <color rgb="FFFFFFFF"/>
      <name val="Carlito"/>
    </font>
    <font>
      <sz val="10"/>
      <color rgb="FF1F2937"/>
      <name val="Carlito"/>
    </font>
    <font>
      <b/>
      <sz val="10"/>
      <color rgb="FFD97706"/>
      <name val="Carlito"/>
    </font>
    <font>
      <b/>
      <sz val="10"/>
      <color rgb="FF2E7D32"/>
      <name val="Carlito"/>
    </font>
    <font>
      <b/>
      <sz val="10"/>
      <color rgb="FFC2413B"/>
      <name val="Carlito"/>
    </font>
    <font>
      <b/>
      <sz val="10"/>
      <color rgb="FF7A4B00"/>
      <name val="Carlito"/>
    </font>
    <font>
      <sz val="11"/>
      <color theme="0"/>
      <name val="Carlito"/>
    </font>
    <font>
      <b/>
      <sz val="12"/>
      <color rgb="FFFFFFFF"/>
      <name val="Aptos Narrow"/>
      <family val="2"/>
    </font>
    <font>
      <b/>
      <sz val="14"/>
      <color rgb="FFFFFFFF"/>
      <name val="Aptos Narrow"/>
      <family val="2"/>
    </font>
    <font>
      <sz val="11"/>
      <name val="Carlito"/>
    </font>
    <font>
      <b/>
      <sz val="9"/>
      <color rgb="FF0B5550"/>
      <name val="Aptos Narrow"/>
      <family val="2"/>
    </font>
    <font>
      <sz val="9"/>
      <color rgb="FF475569"/>
      <name val="Aptos Narrow"/>
      <family val="2"/>
    </font>
    <font>
      <sz val="9"/>
      <color rgb="FF475569"/>
      <name val="Carlito"/>
    </font>
    <font>
      <b/>
      <sz val="9"/>
      <color rgb="FF475569"/>
      <name val="Aptos Narrow"/>
      <family val="2"/>
    </font>
    <font>
      <b/>
      <sz val="9"/>
      <color rgb="FFC00000"/>
      <name val="Carlito"/>
    </font>
    <font>
      <b/>
      <sz val="9"/>
      <color rgb="FF0070C0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0F766E"/>
      </patternFill>
    </fill>
    <fill>
      <patternFill patternType="solid">
        <fgColor rgb="FFD4A72C"/>
      </patternFill>
    </fill>
    <fill>
      <patternFill patternType="solid">
        <fgColor rgb="FFF6F8FB"/>
      </patternFill>
    </fill>
    <fill>
      <patternFill patternType="solid">
        <fgColor rgb="FFD9EAD3"/>
      </patternFill>
    </fill>
    <fill>
      <patternFill patternType="solid">
        <fgColor rgb="FFC2413B"/>
      </patternFill>
    </fill>
    <fill>
      <patternFill patternType="solid">
        <fgColor rgb="FFF4CCCC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EEF2F7"/>
      </patternFill>
    </fill>
    <fill>
      <patternFill patternType="solid">
        <fgColor rgb="FFF2EDE3"/>
      </patternFill>
    </fill>
    <fill>
      <patternFill patternType="solid">
        <fgColor rgb="FFFFF7E6"/>
      </patternFill>
    </fill>
    <fill>
      <patternFill patternType="solid">
        <fgColor rgb="FF0B555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D6DEE8"/>
      </top>
      <bottom/>
      <diagonal/>
    </border>
    <border>
      <left/>
      <right style="thin">
        <color rgb="FFD6DEE8"/>
      </right>
      <top style="thin">
        <color rgb="FFD6DEE8"/>
      </top>
      <bottom/>
      <diagonal/>
    </border>
    <border>
      <left style="thin">
        <color rgb="FFD6DEE8"/>
      </left>
      <right/>
      <top/>
      <bottom/>
      <diagonal/>
    </border>
    <border>
      <left/>
      <right style="thin">
        <color rgb="FFD6DEE8"/>
      </right>
      <top/>
      <bottom/>
      <diagonal/>
    </border>
    <border>
      <left style="thin">
        <color rgb="FFD6DEE8"/>
      </left>
      <right/>
      <top/>
      <bottom style="thin">
        <color rgb="FFD6DEE8"/>
      </bottom>
      <diagonal/>
    </border>
    <border>
      <left/>
      <right/>
      <top/>
      <bottom style="thin">
        <color rgb="FFD6DEE8"/>
      </bottom>
      <diagonal/>
    </border>
    <border>
      <left/>
      <right style="thin">
        <color rgb="FFD6DEE8"/>
      </right>
      <top/>
      <bottom style="thin">
        <color rgb="FFD6DEE8"/>
      </bottom>
      <diagonal/>
    </border>
    <border>
      <left/>
      <right style="thin">
        <color rgb="FFD6DEE8"/>
      </right>
      <top/>
      <bottom/>
      <diagonal/>
    </border>
    <border>
      <left/>
      <right/>
      <top/>
      <bottom style="thin">
        <color rgb="FFD6DEE8"/>
      </bottom>
      <diagonal/>
    </border>
    <border>
      <left style="thick">
        <color rgb="FFD4A72C"/>
      </left>
      <right/>
      <top style="thin">
        <color rgb="FFF1D5A5"/>
      </top>
      <bottom/>
      <diagonal/>
    </border>
    <border>
      <left/>
      <right/>
      <top style="thin">
        <color rgb="FFF1D5A5"/>
      </top>
      <bottom/>
      <diagonal/>
    </border>
    <border>
      <left/>
      <right style="thin">
        <color rgb="FFF1D5A5"/>
      </right>
      <top style="thin">
        <color rgb="FFF1D5A5"/>
      </top>
      <bottom/>
      <diagonal/>
    </border>
    <border>
      <left style="thick">
        <color rgb="FFD4A72C"/>
      </left>
      <right/>
      <top/>
      <bottom/>
      <diagonal/>
    </border>
    <border>
      <left/>
      <right style="thin">
        <color rgb="FFF1D5A5"/>
      </right>
      <top/>
      <bottom/>
      <diagonal/>
    </border>
    <border>
      <left style="thick">
        <color rgb="FFD4A72C"/>
      </left>
      <right/>
      <top/>
      <bottom style="thin">
        <color rgb="FFF1D5A5"/>
      </bottom>
      <diagonal/>
    </border>
    <border>
      <left/>
      <right/>
      <top/>
      <bottom style="thin">
        <color rgb="FFF1D5A5"/>
      </bottom>
      <diagonal/>
    </border>
    <border>
      <left/>
      <right style="thin">
        <color rgb="FFF1D5A5"/>
      </right>
      <top/>
      <bottom style="thin">
        <color rgb="FFF1D5A5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/>
      <diagonal/>
    </border>
    <border>
      <left/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D6DEE8"/>
      </left>
      <right style="thin">
        <color rgb="FFD6DEE8"/>
      </right>
      <top/>
      <bottom/>
      <diagonal/>
    </border>
    <border>
      <left style="thin">
        <color rgb="FFD6DEE8"/>
      </left>
      <right style="thin">
        <color rgb="FFD6DEE8"/>
      </right>
      <top/>
      <bottom style="thin">
        <color rgb="FFD6DEE8"/>
      </bottom>
      <diagonal/>
    </border>
    <border>
      <left style="thin">
        <color rgb="FFD6DEE8"/>
      </left>
      <right/>
      <top style="thin">
        <color rgb="FFD6DEE8"/>
      </top>
      <bottom style="thin">
        <color rgb="FFD6DEE8"/>
      </bottom>
      <diagonal/>
    </border>
    <border>
      <left/>
      <right/>
      <top style="thin">
        <color rgb="FFD6DEE8"/>
      </top>
      <bottom style="thin">
        <color rgb="FFD6DEE8"/>
      </bottom>
      <diagonal/>
    </border>
  </borders>
  <cellStyleXfs count="2">
    <xf numFmtId="0" fontId="0" fillId="0" borderId="1"/>
    <xf numFmtId="43" fontId="31" fillId="0" borderId="0" applyFont="0" applyFill="0" applyBorder="0" applyAlignment="0" applyProtection="0"/>
  </cellStyleXfs>
  <cellXfs count="140"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0" fillId="5" borderId="0" xfId="0" applyFill="1" applyBorder="1"/>
    <xf numFmtId="0" fontId="2" fillId="5" borderId="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center" vertical="center" wrapText="1"/>
    </xf>
    <xf numFmtId="164" fontId="2" fillId="5" borderId="0" xfId="0" applyNumberFormat="1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2" fillId="5" borderId="0" xfId="0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vertical="center" wrapText="1"/>
    </xf>
    <xf numFmtId="0" fontId="7" fillId="5" borderId="0" xfId="0" applyFont="1" applyFill="1" applyBorder="1" applyAlignment="1">
      <alignment horizontal="center" wrapText="1"/>
    </xf>
    <xf numFmtId="0" fontId="7" fillId="5" borderId="0" xfId="0" applyFont="1" applyFill="1" applyBorder="1" applyAlignment="1">
      <alignment wrapText="1"/>
    </xf>
    <xf numFmtId="0" fontId="22" fillId="9" borderId="0" xfId="0" applyFont="1" applyFill="1" applyBorder="1" applyAlignment="1">
      <alignment horizontal="center" vertical="center"/>
    </xf>
    <xf numFmtId="0" fontId="0" fillId="0" borderId="1" xfId="0"/>
    <xf numFmtId="1" fontId="28" fillId="0" borderId="0" xfId="0" applyNumberFormat="1" applyFont="1" applyBorder="1"/>
    <xf numFmtId="0" fontId="28" fillId="0" borderId="0" xfId="0" applyFont="1" applyBorder="1"/>
    <xf numFmtId="0" fontId="8" fillId="5" borderId="0" xfId="0" applyFont="1" applyFill="1" applyBorder="1" applyAlignment="1">
      <alignment horizontal="left" vertical="center" wrapText="1"/>
    </xf>
    <xf numFmtId="0" fontId="2" fillId="5" borderId="1" xfId="0" applyFont="1" applyFill="1" applyAlignment="1">
      <alignment wrapText="1"/>
    </xf>
    <xf numFmtId="0" fontId="2" fillId="5" borderId="1" xfId="0" applyFont="1" applyFill="1" applyAlignment="1">
      <alignment horizontal="center" wrapText="1"/>
    </xf>
    <xf numFmtId="0" fontId="0" fillId="5" borderId="1" xfId="0" applyFill="1" applyAlignment="1">
      <alignment wrapText="1"/>
    </xf>
    <xf numFmtId="0" fontId="28" fillId="0" borderId="1" xfId="0" applyFont="1"/>
    <xf numFmtId="0" fontId="7" fillId="5" borderId="1" xfId="0" applyFont="1" applyFill="1" applyAlignment="1">
      <alignment horizontal="center" wrapText="1"/>
    </xf>
    <xf numFmtId="0" fontId="0" fillId="0" borderId="1" xfId="0" applyAlignment="1">
      <alignment horizontal="center"/>
    </xf>
    <xf numFmtId="0" fontId="8" fillId="5" borderId="0" xfId="0" applyFont="1" applyFill="1" applyBorder="1" applyAlignment="1">
      <alignment horizontal="left" vertical="center"/>
    </xf>
    <xf numFmtId="0" fontId="22" fillId="9" borderId="10" xfId="0" applyFont="1" applyFill="1" applyBorder="1" applyAlignment="1">
      <alignment horizontal="center" vertical="center"/>
    </xf>
    <xf numFmtId="0" fontId="3" fillId="7" borderId="1" xfId="0" applyFont="1" applyFill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23" fillId="10" borderId="24" xfId="0" applyFont="1" applyFill="1" applyBorder="1" applyAlignment="1">
      <alignment vertical="center"/>
    </xf>
    <xf numFmtId="0" fontId="23" fillId="10" borderId="25" xfId="0" applyFont="1" applyFill="1" applyBorder="1" applyAlignment="1">
      <alignment vertical="center"/>
    </xf>
    <xf numFmtId="0" fontId="23" fillId="10" borderId="25" xfId="0" applyFont="1" applyFill="1" applyBorder="1" applyAlignment="1">
      <alignment horizontal="center" vertical="center"/>
    </xf>
    <xf numFmtId="0" fontId="26" fillId="10" borderId="25" xfId="0" applyFont="1" applyFill="1" applyBorder="1" applyAlignment="1">
      <alignment horizontal="center" vertical="center"/>
    </xf>
    <xf numFmtId="0" fontId="26" fillId="10" borderId="21" xfId="0" applyFont="1" applyFill="1" applyBorder="1" applyAlignment="1">
      <alignment horizontal="center" vertical="center"/>
    </xf>
    <xf numFmtId="0" fontId="27" fillId="13" borderId="11" xfId="0" applyFont="1" applyFill="1" applyBorder="1" applyAlignment="1">
      <alignment horizontal="center" vertical="center" wrapText="1"/>
    </xf>
    <xf numFmtId="0" fontId="27" fillId="13" borderId="12" xfId="0" applyFont="1" applyFill="1" applyBorder="1" applyAlignment="1">
      <alignment horizontal="center" vertical="center" wrapText="1"/>
    </xf>
    <xf numFmtId="0" fontId="27" fillId="13" borderId="13" xfId="0" applyFont="1" applyFill="1" applyBorder="1" applyAlignment="1">
      <alignment horizontal="center" vertical="center" wrapText="1"/>
    </xf>
    <xf numFmtId="0" fontId="27" fillId="13" borderId="14" xfId="0" applyFont="1" applyFill="1" applyBorder="1" applyAlignment="1">
      <alignment horizontal="center" vertical="center" wrapText="1"/>
    </xf>
    <xf numFmtId="0" fontId="27" fillId="13" borderId="0" xfId="0" applyFont="1" applyFill="1" applyBorder="1" applyAlignment="1">
      <alignment horizontal="center" vertical="center" wrapText="1"/>
    </xf>
    <xf numFmtId="0" fontId="27" fillId="13" borderId="15" xfId="0" applyFont="1" applyFill="1" applyBorder="1" applyAlignment="1">
      <alignment horizontal="center" vertical="center" wrapText="1"/>
    </xf>
    <xf numFmtId="0" fontId="27" fillId="13" borderId="16" xfId="0" applyFont="1" applyFill="1" applyBorder="1" applyAlignment="1">
      <alignment horizontal="center" vertical="center" wrapText="1"/>
    </xf>
    <xf numFmtId="0" fontId="27" fillId="13" borderId="17" xfId="0" applyFont="1" applyFill="1" applyBorder="1" applyAlignment="1">
      <alignment horizontal="center" vertical="center" wrapText="1"/>
    </xf>
    <xf numFmtId="0" fontId="27" fillId="13" borderId="18" xfId="0" applyFont="1" applyFill="1" applyBorder="1" applyAlignment="1">
      <alignment horizontal="center" vertical="center" wrapText="1"/>
    </xf>
    <xf numFmtId="0" fontId="25" fillId="10" borderId="25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3" fillId="12" borderId="24" xfId="0" applyFont="1" applyFill="1" applyBorder="1" applyAlignment="1">
      <alignment vertical="center"/>
    </xf>
    <xf numFmtId="0" fontId="23" fillId="12" borderId="25" xfId="0" applyFont="1" applyFill="1" applyBorder="1" applyAlignment="1">
      <alignment vertical="center"/>
    </xf>
    <xf numFmtId="0" fontId="23" fillId="12" borderId="25" xfId="0" applyFont="1" applyFill="1" applyBorder="1" applyAlignment="1">
      <alignment horizontal="center" vertical="center"/>
    </xf>
    <xf numFmtId="0" fontId="25" fillId="12" borderId="25" xfId="0" applyFont="1" applyFill="1" applyBorder="1" applyAlignment="1">
      <alignment horizontal="center" vertical="center"/>
    </xf>
    <xf numFmtId="0" fontId="25" fillId="12" borderId="21" xfId="0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/>
    </xf>
    <xf numFmtId="0" fontId="21" fillId="11" borderId="0" xfId="0" applyFont="1" applyFill="1" applyBorder="1" applyAlignment="1">
      <alignment horizontal="center" vertical="center"/>
    </xf>
    <xf numFmtId="0" fontId="30" fillId="14" borderId="5" xfId="0" applyFont="1" applyFill="1" applyBorder="1" applyAlignment="1">
      <alignment horizontal="center" vertical="center" wrapText="1"/>
    </xf>
    <xf numFmtId="0" fontId="30" fillId="14" borderId="9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13" fillId="9" borderId="0" xfId="0" applyFont="1" applyFill="1" applyBorder="1" applyAlignment="1">
      <alignment horizontal="center" vertical="center"/>
    </xf>
    <xf numFmtId="0" fontId="13" fillId="9" borderId="1" xfId="0" applyFont="1" applyFill="1" applyAlignment="1">
      <alignment horizontal="center" vertical="center"/>
    </xf>
    <xf numFmtId="0" fontId="15" fillId="10" borderId="19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0" borderId="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0" fontId="16" fillId="10" borderId="19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0" fontId="19" fillId="10" borderId="20" xfId="0" applyFont="1" applyFill="1" applyBorder="1" applyAlignment="1">
      <alignment horizontal="center" vertical="center"/>
    </xf>
    <xf numFmtId="0" fontId="19" fillId="10" borderId="21" xfId="0" applyFont="1" applyFill="1" applyBorder="1" applyAlignment="1">
      <alignment horizontal="center" vertical="center"/>
    </xf>
    <xf numFmtId="0" fontId="19" fillId="10" borderId="22" xfId="0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0" fontId="19" fillId="10" borderId="23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29" fillId="14" borderId="1" xfId="0" applyFont="1" applyFill="1" applyAlignment="1">
      <alignment horizontal="center" vertical="center" wrapText="1"/>
    </xf>
    <xf numFmtId="0" fontId="29" fillId="14" borderId="9" xfId="0" applyFont="1" applyFill="1" applyBorder="1" applyAlignment="1">
      <alignment horizontal="center" vertical="center" wrapText="1"/>
    </xf>
    <xf numFmtId="0" fontId="3" fillId="14" borderId="1" xfId="0" applyFont="1" applyFill="1" applyAlignment="1">
      <alignment horizontal="center" vertical="center" wrapText="1"/>
    </xf>
    <xf numFmtId="0" fontId="0" fillId="14" borderId="1" xfId="0" applyFill="1"/>
    <xf numFmtId="0" fontId="29" fillId="14" borderId="5" xfId="0" applyFont="1" applyFill="1" applyBorder="1" applyAlignment="1">
      <alignment horizontal="center" vertical="center" wrapText="1"/>
    </xf>
    <xf numFmtId="0" fontId="24" fillId="10" borderId="25" xfId="0" applyFont="1" applyFill="1" applyBorder="1" applyAlignment="1">
      <alignment horizontal="center" vertical="center"/>
    </xf>
    <xf numFmtId="0" fontId="24" fillId="10" borderId="21" xfId="0" applyFont="1" applyFill="1" applyBorder="1" applyAlignment="1">
      <alignment horizontal="center" vertical="center"/>
    </xf>
    <xf numFmtId="0" fontId="24" fillId="12" borderId="25" xfId="0" applyFont="1" applyFill="1" applyBorder="1" applyAlignment="1">
      <alignment horizontal="center" vertical="center"/>
    </xf>
    <xf numFmtId="0" fontId="24" fillId="12" borderId="21" xfId="0" applyFont="1" applyFill="1" applyBorder="1" applyAlignment="1">
      <alignment horizontal="center" vertical="center"/>
    </xf>
    <xf numFmtId="0" fontId="5" fillId="2" borderId="1" xfId="0" applyFont="1" applyFill="1" applyAlignment="1">
      <alignment horizontal="center" vertical="center" wrapText="1"/>
    </xf>
    <xf numFmtId="0" fontId="0" fillId="0" borderId="1" xfId="0"/>
    <xf numFmtId="0" fontId="9" fillId="3" borderId="1" xfId="0" applyFont="1" applyFill="1" applyAlignment="1">
      <alignment horizontal="center" vertical="center" wrapText="1"/>
    </xf>
    <xf numFmtId="0" fontId="29" fillId="14" borderId="5" xfId="0" applyFont="1" applyFill="1" applyBorder="1" applyAlignment="1">
      <alignment horizontal="left" vertical="center" wrapText="1"/>
    </xf>
    <xf numFmtId="0" fontId="32" fillId="5" borderId="0" xfId="0" applyFont="1" applyFill="1" applyBorder="1" applyAlignment="1">
      <alignment horizontal="left" vertical="center" wrapText="1"/>
    </xf>
    <xf numFmtId="0" fontId="32" fillId="5" borderId="0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28" fillId="0" borderId="1" xfId="0" applyFont="1" applyBorder="1"/>
    <xf numFmtId="0" fontId="0" fillId="0" borderId="1" xfId="0" applyBorder="1"/>
    <xf numFmtId="0" fontId="21" fillId="15" borderId="1" xfId="0" applyFont="1" applyFill="1" applyBorder="1" applyAlignment="1">
      <alignment horizontal="center" vertical="center"/>
    </xf>
    <xf numFmtId="0" fontId="33" fillId="15" borderId="1" xfId="0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0" fontId="33" fillId="15" borderId="1" xfId="0" applyFont="1" applyFill="1" applyBorder="1" applyAlignment="1">
      <alignment horizontal="left" vertical="center"/>
    </xf>
    <xf numFmtId="0" fontId="35" fillId="15" borderId="1" xfId="0" applyFont="1" applyFill="1" applyBorder="1" applyAlignment="1">
      <alignment horizontal="left" vertical="center"/>
    </xf>
    <xf numFmtId="0" fontId="35" fillId="15" borderId="1" xfId="0" applyFont="1" applyFill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/>
    </xf>
    <xf numFmtId="0" fontId="37" fillId="15" borderId="1" xfId="0" applyFont="1" applyFill="1" applyBorder="1" applyAlignment="1">
      <alignment horizontal="center" vertical="center"/>
    </xf>
    <xf numFmtId="10" fontId="34" fillId="15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0"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C6E0B4"/>
        </patternFill>
      </fill>
    </dxf>
    <dxf>
      <fill>
        <patternFill>
          <bgColor rgb="FFFFFFFF"/>
        </patternFill>
      </fill>
    </dxf>
    <dxf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C00000"/>
      </font>
    </dxf>
    <dxf>
      <font>
        <b/>
        <color rgb="FF008000"/>
      </font>
    </dxf>
    <dxf>
      <fill>
        <patternFill>
          <bgColor rgb="FFFFFFFF"/>
        </patternFill>
      </fill>
    </dxf>
    <dxf>
      <fill>
        <patternFill>
          <bgColor rgb="FFD9EAF7"/>
        </patternFill>
      </fill>
    </dxf>
    <dxf>
      <fill>
        <patternFill>
          <bgColor rgb="FFE8F5F1"/>
        </patternFill>
      </fill>
    </dxf>
    <dxf>
      <fill>
        <patternFill>
          <bgColor rgb="FFD9EAF7"/>
        </patternFill>
      </fill>
    </dxf>
    <dxf>
      <fill>
        <patternFill>
          <bgColor rgb="FFFFFFFF"/>
        </patternFill>
      </fill>
    </dxf>
    <dxf>
      <fill>
        <patternFill>
          <bgColor rgb="FFEEF6FC"/>
        </patternFill>
      </fill>
    </dxf>
    <dxf>
      <fill>
        <patternFill>
          <bgColor rgb="FFE8F5F1"/>
        </patternFill>
      </fill>
    </dxf>
    <dxf>
      <fill>
        <patternFill>
          <bgColor rgb="FFD9EAF7"/>
        </patternFill>
      </fill>
    </dxf>
    <dxf>
      <fill>
        <patternFill>
          <bgColor rgb="FFFFFFFF"/>
        </patternFill>
      </fill>
    </dxf>
    <dxf>
      <fill>
        <patternFill>
          <bgColor rgb="FFEEF6FC"/>
        </patternFill>
      </fill>
    </dxf>
  </dxfs>
  <tableStyles count="0" defaultTableStyle="TableStyleMedium2" defaultPivotStyle="PivotStyleLight16"/>
  <colors>
    <mruColors>
      <color rgb="FFFF9797"/>
      <color rgb="FF0B5550"/>
      <color rgb="FFCACE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Department-wise Workforce Comparison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7759059187369011E-2"/>
          <c:y val="0.44103446486462866"/>
          <c:w val="0.93190502349996951"/>
          <c:h val="0.30503603802906532"/>
        </c:manualLayout>
      </c:layout>
      <c:lineChart>
        <c:grouping val="stacked"/>
        <c:varyColors val="0"/>
        <c:ser>
          <c:idx val="0"/>
          <c:order val="0"/>
          <c:tx>
            <c:v>Last Friday</c:v>
          </c:tx>
          <c:spPr>
            <a:ln w="2222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3.0249784668389318E-2"/>
                  <c:y val="-6.2383071002701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FD1-48F5-8C3E-6A3CD643554D}"/>
                </c:ext>
              </c:extLst>
            </c:dLbl>
            <c:dLbl>
              <c:idx val="2"/>
              <c:layout>
                <c:manualLayout>
                  <c:x val="-3.8863049095607234E-2"/>
                  <c:y val="3.4737983454461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FD1-48F5-8C3E-6A3CD643554D}"/>
                </c:ext>
              </c:extLst>
            </c:dLbl>
            <c:dLbl>
              <c:idx val="3"/>
              <c:layout>
                <c:manualLayout>
                  <c:x val="-2.6873385012920526E-3"/>
                  <c:y val="-6.9320289178212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FD1-48F5-8C3E-6A3CD643554D}"/>
                </c:ext>
              </c:extLst>
            </c:dLbl>
            <c:dLbl>
              <c:idx val="4"/>
              <c:layout>
                <c:manualLayout>
                  <c:x val="7.5796726959505029E-4"/>
                  <c:y val="-9.0131943704747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FD1-48F5-8C3E-6A3CD643554D}"/>
                </c:ext>
              </c:extLst>
            </c:dLbl>
            <c:dLbl>
              <c:idx val="5"/>
              <c:layout>
                <c:manualLayout>
                  <c:x val="-2.2049956933679125E-3"/>
                  <c:y val="-9.01319437047476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FD1-48F5-8C3E-6A3CD64355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'Comparison Report'!$A$15:$A$22</c:f>
              <c:strCache>
                <c:ptCount val="8"/>
                <c:pt idx="0">
                  <c:v>Tunnel Operations</c:v>
                </c:pt>
                <c:pt idx="1">
                  <c:v>Mechanical Services</c:v>
                </c:pt>
                <c:pt idx="2">
                  <c:v>Electrical &amp; MEP</c:v>
                </c:pt>
                <c:pt idx="3">
                  <c:v>Civil Construction</c:v>
                </c:pt>
                <c:pt idx="4">
                  <c:v>Survey &amp; Geospatial</c:v>
                </c:pt>
                <c:pt idx="5">
                  <c:v>Geotechnical Services</c:v>
                </c:pt>
                <c:pt idx="6">
                  <c:v>Technical Office</c:v>
                </c:pt>
                <c:pt idx="7">
                  <c:v>Project Administration</c:v>
                </c:pt>
              </c:strCache>
            </c:strRef>
          </c:cat>
          <c:val>
            <c:numRef>
              <c:f>'Comparison Report'!$B$15:$B$22</c:f>
              <c:numCache>
                <c:formatCode>General</c:formatCode>
                <c:ptCount val="8"/>
                <c:pt idx="0">
                  <c:v>93</c:v>
                </c:pt>
                <c:pt idx="1">
                  <c:v>71</c:v>
                </c:pt>
                <c:pt idx="2">
                  <c:v>24</c:v>
                </c:pt>
                <c:pt idx="3">
                  <c:v>17</c:v>
                </c:pt>
                <c:pt idx="4">
                  <c:v>10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1-48F5-8C3E-6A3CD643554D}"/>
            </c:ext>
          </c:extLst>
        </c:ser>
        <c:ser>
          <c:idx val="1"/>
          <c:order val="1"/>
          <c:tx>
            <c:v>Current Friday</c:v>
          </c:tx>
          <c:spPr>
            <a:ln w="2222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</c:marker>
          <c:dLbls>
            <c:dLbl>
              <c:idx val="2"/>
              <c:layout>
                <c:manualLayout>
                  <c:x val="-2.3359173126614986E-2"/>
                  <c:y val="-0.1386924709333289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FD1-48F5-8C3E-6A3CD643554D}"/>
                </c:ext>
              </c:extLst>
            </c:dLbl>
            <c:dLbl>
              <c:idx val="3"/>
              <c:layout>
                <c:manualLayout>
                  <c:x val="-2.3359173126615049E-2"/>
                  <c:y val="-0.1733785618108870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FD1-48F5-8C3E-6A3CD643554D}"/>
                </c:ext>
              </c:extLst>
            </c:dLbl>
            <c:dLbl>
              <c:idx val="4"/>
              <c:layout>
                <c:manualLayout>
                  <c:x val="-1.943152454780368E-2"/>
                  <c:y val="-0.1733785618108870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FD1-48F5-8C3E-6A3CD643554D}"/>
                </c:ext>
              </c:extLst>
            </c:dLbl>
            <c:dLbl>
              <c:idx val="5"/>
              <c:layout>
                <c:manualLayout>
                  <c:x val="-1.9431524547803617E-2"/>
                  <c:y val="-0.201127434512933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FD1-48F5-8C3E-6A3CD64355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'Comparison Report'!$A$15:$A$22</c:f>
              <c:strCache>
                <c:ptCount val="8"/>
                <c:pt idx="0">
                  <c:v>Tunnel Operations</c:v>
                </c:pt>
                <c:pt idx="1">
                  <c:v>Mechanical Services</c:v>
                </c:pt>
                <c:pt idx="2">
                  <c:v>Electrical &amp; MEP</c:v>
                </c:pt>
                <c:pt idx="3">
                  <c:v>Civil Construction</c:v>
                </c:pt>
                <c:pt idx="4">
                  <c:v>Survey &amp; Geospatial</c:v>
                </c:pt>
                <c:pt idx="5">
                  <c:v>Geotechnical Services</c:v>
                </c:pt>
                <c:pt idx="6">
                  <c:v>Technical Office</c:v>
                </c:pt>
                <c:pt idx="7">
                  <c:v>Project Administration</c:v>
                </c:pt>
              </c:strCache>
            </c:strRef>
          </c:cat>
          <c:val>
            <c:numRef>
              <c:f>'Comparison Report'!$C$15:$C$22</c:f>
              <c:numCache>
                <c:formatCode>General</c:formatCode>
                <c:ptCount val="8"/>
                <c:pt idx="0">
                  <c:v>91</c:v>
                </c:pt>
                <c:pt idx="1">
                  <c:v>74</c:v>
                </c:pt>
                <c:pt idx="2">
                  <c:v>25</c:v>
                </c:pt>
                <c:pt idx="3">
                  <c:v>16</c:v>
                </c:pt>
                <c:pt idx="4">
                  <c:v>9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D1-48F5-8C3E-6A3CD64355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Six-Week Friday Workforce Trend</a:t>
            </a:r>
          </a:p>
        </c:rich>
      </c:tx>
      <c:layout>
        <c:manualLayout>
          <c:xMode val="edge"/>
          <c:yMode val="edge"/>
          <c:x val="0.236893436108845"/>
          <c:y val="2.240895699538822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Planned Workforce</c:v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'Comparison Report'!$P$2:$P$7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'Comparison Report'!$Q$2:$Q$7</c:f>
              <c:numCache>
                <c:formatCode>0</c:formatCode>
                <c:ptCount val="6"/>
                <c:pt idx="0">
                  <c:v>214</c:v>
                </c:pt>
                <c:pt idx="1">
                  <c:v>216</c:v>
                </c:pt>
                <c:pt idx="2">
                  <c:v>219</c:v>
                </c:pt>
                <c:pt idx="3">
                  <c:v>221</c:v>
                </c:pt>
                <c:pt idx="4">
                  <c:v>222</c:v>
                </c:pt>
                <c:pt idx="5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1-4E3C-848A-3ED876D6ABAC}"/>
            </c:ext>
          </c:extLst>
        </c:ser>
        <c:ser>
          <c:idx val="1"/>
          <c:order val="1"/>
          <c:tx>
            <c:v>Actual Workforce</c:v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'Comparison Report'!$P$2:$P$7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'Comparison Report'!$R$2:$R$7</c:f>
              <c:numCache>
                <c:formatCode>0</c:formatCode>
                <c:ptCount val="6"/>
                <c:pt idx="0">
                  <c:v>211</c:v>
                </c:pt>
                <c:pt idx="1">
                  <c:v>215</c:v>
                </c:pt>
                <c:pt idx="2">
                  <c:v>217</c:v>
                </c:pt>
                <c:pt idx="3">
                  <c:v>220</c:v>
                </c:pt>
                <c:pt idx="4">
                  <c:v>222</c:v>
                </c:pt>
                <c:pt idx="5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1-4E3C-848A-3ED876D6AB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"/>
          <c:y val="3.7537537537537538E-2"/>
          <c:w val="0.53416666666666668"/>
          <c:h val="0.96246246246246248"/>
        </c:manualLayout>
      </c:layout>
      <c:doughnutChart>
        <c:varyColors val="1"/>
        <c:ser>
          <c:idx val="0"/>
          <c:order val="0"/>
          <c:tx>
            <c:strRef>
              <c:f>'Comparison Report'!$J$14</c:f>
              <c:strCache>
                <c:ptCount val="1"/>
                <c:pt idx="0">
                  <c:v>Current Friday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88-4443-A114-7F2EACA9B83E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588-4443-A114-7F2EACA9B83E}"/>
              </c:ext>
            </c:extLst>
          </c:dPt>
          <c:dLbls>
            <c:dLbl>
              <c:idx val="0"/>
              <c:layout>
                <c:manualLayout>
                  <c:x val="0.1"/>
                  <c:y val="-6.75675675675676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88-4443-A114-7F2EACA9B83E}"/>
                </c:ext>
              </c:extLst>
            </c:dLbl>
            <c:dLbl>
              <c:idx val="1"/>
              <c:layout>
                <c:manualLayout>
                  <c:x val="-7.9166666666666677E-2"/>
                  <c:y val="-0.105105105105105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88-4443-A114-7F2EACA9B8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'Comparison Report'!$H$15:$H$16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'Comparison Report'!$J$15:$J$16</c:f>
              <c:numCache>
                <c:formatCode>General</c:formatCode>
                <c:ptCount val="2"/>
                <c:pt idx="0">
                  <c:v>136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8-4443-A114-7F2EACA9B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16</xdr:row>
      <xdr:rowOff>20954</xdr:rowOff>
    </xdr:from>
    <xdr:to>
      <xdr:col>13</xdr:col>
      <xdr:colOff>1196340</xdr:colOff>
      <xdr:row>25</xdr:row>
      <xdr:rowOff>114300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205740</xdr:rowOff>
    </xdr:from>
    <xdr:to>
      <xdr:col>6</xdr:col>
      <xdr:colOff>47624</xdr:colOff>
      <xdr:row>39</xdr:row>
      <xdr:rowOff>15241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266700</xdr:colOff>
      <xdr:row>7</xdr:row>
      <xdr:rowOff>213360</xdr:rowOff>
    </xdr:from>
    <xdr:to>
      <xdr:col>13</xdr:col>
      <xdr:colOff>1028700</xdr:colOff>
      <xdr:row>15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F0F5CF-B9EC-9BC9-ECC3-BDDA64CEB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stFridayTable" displayName="LastFridayTable" ref="A5:K227">
  <tableColumns count="11">
    <tableColumn id="1" xr3:uid="{00000000-0010-0000-0000-000001000000}" name="No."/>
    <tableColumn id="2" xr3:uid="{00000000-0010-0000-0000-000002000000}" name="Employee ID"/>
    <tableColumn id="3" xr3:uid="{00000000-0010-0000-0000-000003000000}" name="National ID"/>
    <tableColumn id="4" xr3:uid="{00000000-0010-0000-0000-000004000000}" name="Employee Name"/>
    <tableColumn id="5" xr3:uid="{00000000-0010-0000-0000-000005000000}" name="Position"/>
    <tableColumn id="6" xr3:uid="{00000000-0010-0000-0000-000006000000}" name="Department"/>
    <tableColumn id="7" xr3:uid="{00000000-0010-0000-0000-000007000000}" name="Project"/>
    <tableColumn id="8" xr3:uid="{00000000-0010-0000-0000-000008000000}" name="Location"/>
    <tableColumn id="9" xr3:uid="{00000000-0010-0000-0000-000009000000}" name="Planned Activity"/>
    <tableColumn id="10" xr3:uid="{00000000-0010-0000-0000-00000A000000}" name="Shift"/>
    <tableColumn id="11" xr3:uid="{00000000-0010-0000-0000-00000B000000}" name="Status / 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rrentFridayTable" displayName="CurrentFridayTable" ref="A5:K226">
  <tableColumns count="11">
    <tableColumn id="1" xr3:uid="{00000000-0010-0000-0100-000001000000}" name="No."/>
    <tableColumn id="2" xr3:uid="{00000000-0010-0000-0100-000002000000}" name="Employee ID"/>
    <tableColumn id="3" xr3:uid="{00000000-0010-0000-0100-000003000000}" name="National ID"/>
    <tableColumn id="4" xr3:uid="{00000000-0010-0000-0100-000004000000}" name="Employee Name"/>
    <tableColumn id="5" xr3:uid="{00000000-0010-0000-0100-000005000000}" name="Position"/>
    <tableColumn id="6" xr3:uid="{00000000-0010-0000-0100-000006000000}" name="Department"/>
    <tableColumn id="7" xr3:uid="{00000000-0010-0000-0100-000007000000}" name="Project"/>
    <tableColumn id="8" xr3:uid="{00000000-0010-0000-0100-000008000000}" name="Location"/>
    <tableColumn id="9" xr3:uid="{00000000-0010-0000-0100-000009000000}" name="Planned Activity"/>
    <tableColumn id="10" xr3:uid="{00000000-0010-0000-0100-00000A000000}" name="Shift"/>
    <tableColumn id="11" xr3:uid="{00000000-0010-0000-0100-00000B000000}" name="Status / 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7"/>
  <sheetViews>
    <sheetView showGridLines="0" workbookViewId="0">
      <selection activeCell="D31" sqref="D31"/>
    </sheetView>
  </sheetViews>
  <sheetFormatPr defaultRowHeight="14.4"/>
  <cols>
    <col min="1" max="1" width="7" style="3" customWidth="1"/>
    <col min="2" max="2" width="14" style="3" customWidth="1"/>
    <col min="3" max="3" width="15" style="3" customWidth="1"/>
    <col min="4" max="4" width="22" style="2" customWidth="1"/>
    <col min="5" max="5" width="24" style="3" customWidth="1"/>
    <col min="6" max="6" width="22" style="3" customWidth="1"/>
    <col min="7" max="7" width="34" style="3" customWidth="1"/>
    <col min="8" max="8" width="20" style="3" customWidth="1"/>
    <col min="9" max="9" width="38" style="3" customWidth="1"/>
    <col min="10" max="10" width="10" style="3" customWidth="1"/>
    <col min="11" max="11" width="18" style="3" customWidth="1"/>
    <col min="12" max="12" width="8.796875" style="2" customWidth="1"/>
    <col min="13" max="16384" width="8.796875" style="2"/>
  </cols>
  <sheetData>
    <row r="1" spans="1:11" customFormat="1" ht="24" customHeight="1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1">
      <c r="A3" s="122" t="s">
        <v>1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>
      <c r="A4" s="5"/>
      <c r="B4" s="5"/>
      <c r="C4" s="5"/>
      <c r="D4" s="4"/>
      <c r="E4" s="7"/>
      <c r="F4" s="7"/>
      <c r="G4" s="7"/>
      <c r="H4" s="7"/>
      <c r="I4" s="7"/>
      <c r="J4" s="7"/>
      <c r="K4" s="7"/>
    </row>
    <row r="5" spans="1:11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</row>
    <row r="6" spans="1:11">
      <c r="A6" s="9">
        <v>1</v>
      </c>
      <c r="B6" s="9" t="s">
        <v>13</v>
      </c>
      <c r="C6" s="9">
        <v>7000000001</v>
      </c>
      <c r="D6" s="10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9" t="s">
        <v>19</v>
      </c>
      <c r="J6" s="9" t="s">
        <v>20</v>
      </c>
      <c r="K6" s="9" t="s">
        <v>21</v>
      </c>
    </row>
    <row r="7" spans="1:11">
      <c r="A7" s="9">
        <v>2</v>
      </c>
      <c r="B7" s="9" t="s">
        <v>22</v>
      </c>
      <c r="C7" s="9">
        <v>7000000002</v>
      </c>
      <c r="D7" s="10" t="s">
        <v>23</v>
      </c>
      <c r="E7" s="9" t="s">
        <v>24</v>
      </c>
      <c r="F7" s="9" t="s">
        <v>16</v>
      </c>
      <c r="G7" s="9" t="s">
        <v>17</v>
      </c>
      <c r="H7" s="9" t="s">
        <v>18</v>
      </c>
      <c r="I7" s="9" t="s">
        <v>19</v>
      </c>
      <c r="J7" s="9" t="s">
        <v>20</v>
      </c>
      <c r="K7" s="9" t="s">
        <v>21</v>
      </c>
    </row>
    <row r="8" spans="1:11">
      <c r="A8" s="9">
        <v>3</v>
      </c>
      <c r="B8" s="9" t="s">
        <v>25</v>
      </c>
      <c r="C8" s="9">
        <v>7000000003</v>
      </c>
      <c r="D8" s="10" t="s">
        <v>26</v>
      </c>
      <c r="E8" s="9" t="s">
        <v>27</v>
      </c>
      <c r="F8" s="9" t="s">
        <v>28</v>
      </c>
      <c r="G8" s="9" t="s">
        <v>17</v>
      </c>
      <c r="H8" s="9" t="s">
        <v>18</v>
      </c>
      <c r="I8" s="9" t="s">
        <v>29</v>
      </c>
      <c r="J8" s="9" t="s">
        <v>20</v>
      </c>
      <c r="K8" s="9" t="s">
        <v>21</v>
      </c>
    </row>
    <row r="9" spans="1:11">
      <c r="A9" s="9">
        <v>4</v>
      </c>
      <c r="B9" s="9" t="s">
        <v>30</v>
      </c>
      <c r="C9" s="9">
        <v>7000000004</v>
      </c>
      <c r="D9" s="10" t="s">
        <v>31</v>
      </c>
      <c r="E9" s="9" t="s">
        <v>32</v>
      </c>
      <c r="F9" s="9" t="s">
        <v>28</v>
      </c>
      <c r="G9" s="9" t="s">
        <v>17</v>
      </c>
      <c r="H9" s="9" t="s">
        <v>18</v>
      </c>
      <c r="I9" s="9" t="s">
        <v>29</v>
      </c>
      <c r="J9" s="9" t="s">
        <v>20</v>
      </c>
      <c r="K9" s="9" t="s">
        <v>21</v>
      </c>
    </row>
    <row r="10" spans="1:11">
      <c r="A10" s="9">
        <v>5</v>
      </c>
      <c r="B10" s="9" t="s">
        <v>33</v>
      </c>
      <c r="C10" s="9">
        <v>7000000005</v>
      </c>
      <c r="D10" s="10" t="s">
        <v>34</v>
      </c>
      <c r="E10" s="9" t="s">
        <v>35</v>
      </c>
      <c r="F10" s="9" t="s">
        <v>36</v>
      </c>
      <c r="G10" s="9" t="s">
        <v>17</v>
      </c>
      <c r="H10" s="9" t="s">
        <v>18</v>
      </c>
      <c r="I10" s="9" t="s">
        <v>37</v>
      </c>
      <c r="J10" s="9" t="s">
        <v>20</v>
      </c>
      <c r="K10" s="9" t="s">
        <v>21</v>
      </c>
    </row>
    <row r="11" spans="1:11">
      <c r="A11" s="9">
        <v>6</v>
      </c>
      <c r="B11" s="9" t="s">
        <v>38</v>
      </c>
      <c r="C11" s="9">
        <v>7000000006</v>
      </c>
      <c r="D11" s="10" t="s">
        <v>39</v>
      </c>
      <c r="E11" s="9" t="s">
        <v>40</v>
      </c>
      <c r="F11" s="9" t="s">
        <v>28</v>
      </c>
      <c r="G11" s="9" t="s">
        <v>17</v>
      </c>
      <c r="H11" s="9" t="s">
        <v>18</v>
      </c>
      <c r="I11" s="9" t="s">
        <v>29</v>
      </c>
      <c r="J11" s="9" t="s">
        <v>20</v>
      </c>
      <c r="K11" s="9" t="s">
        <v>21</v>
      </c>
    </row>
    <row r="12" spans="1:11">
      <c r="A12" s="9">
        <v>7</v>
      </c>
      <c r="B12" s="9" t="s">
        <v>41</v>
      </c>
      <c r="C12" s="9">
        <v>7000000007</v>
      </c>
      <c r="D12" s="10" t="s">
        <v>42</v>
      </c>
      <c r="E12" s="9" t="s">
        <v>43</v>
      </c>
      <c r="F12" s="9" t="s">
        <v>28</v>
      </c>
      <c r="G12" s="9" t="s">
        <v>17</v>
      </c>
      <c r="H12" s="9" t="s">
        <v>18</v>
      </c>
      <c r="I12" s="9" t="s">
        <v>29</v>
      </c>
      <c r="J12" s="9" t="s">
        <v>20</v>
      </c>
      <c r="K12" s="9" t="s">
        <v>21</v>
      </c>
    </row>
    <row r="13" spans="1:11">
      <c r="A13" s="9">
        <v>8</v>
      </c>
      <c r="B13" s="9" t="s">
        <v>44</v>
      </c>
      <c r="C13" s="9">
        <v>7000000008</v>
      </c>
      <c r="D13" s="10" t="s">
        <v>45</v>
      </c>
      <c r="E13" s="9" t="s">
        <v>46</v>
      </c>
      <c r="F13" s="9" t="s">
        <v>28</v>
      </c>
      <c r="G13" s="9" t="s">
        <v>17</v>
      </c>
      <c r="H13" s="9" t="s">
        <v>18</v>
      </c>
      <c r="I13" s="9" t="s">
        <v>29</v>
      </c>
      <c r="J13" s="9" t="s">
        <v>20</v>
      </c>
      <c r="K13" s="9" t="s">
        <v>21</v>
      </c>
    </row>
    <row r="14" spans="1:11">
      <c r="A14" s="9">
        <v>9</v>
      </c>
      <c r="B14" s="9" t="s">
        <v>47</v>
      </c>
      <c r="C14" s="9">
        <v>7000000009</v>
      </c>
      <c r="D14" s="10" t="s">
        <v>48</v>
      </c>
      <c r="E14" s="9" t="s">
        <v>49</v>
      </c>
      <c r="F14" s="9" t="s">
        <v>28</v>
      </c>
      <c r="G14" s="9" t="s">
        <v>17</v>
      </c>
      <c r="H14" s="9" t="s">
        <v>18</v>
      </c>
      <c r="I14" s="9" t="s">
        <v>29</v>
      </c>
      <c r="J14" s="9" t="s">
        <v>20</v>
      </c>
      <c r="K14" s="9" t="s">
        <v>21</v>
      </c>
    </row>
    <row r="15" spans="1:11">
      <c r="A15" s="9">
        <v>10</v>
      </c>
      <c r="B15" s="9" t="s">
        <v>50</v>
      </c>
      <c r="C15" s="9">
        <v>7000000010</v>
      </c>
      <c r="D15" s="10" t="s">
        <v>51</v>
      </c>
      <c r="E15" s="9" t="s">
        <v>52</v>
      </c>
      <c r="F15" s="9" t="s">
        <v>28</v>
      </c>
      <c r="G15" s="9" t="s">
        <v>17</v>
      </c>
      <c r="H15" s="9" t="s">
        <v>18</v>
      </c>
      <c r="I15" s="9" t="s">
        <v>29</v>
      </c>
      <c r="J15" s="9" t="s">
        <v>53</v>
      </c>
      <c r="K15" s="9" t="s">
        <v>21</v>
      </c>
    </row>
    <row r="16" spans="1:11">
      <c r="A16" s="9">
        <v>11</v>
      </c>
      <c r="B16" s="9" t="s">
        <v>54</v>
      </c>
      <c r="C16" s="9">
        <v>7000000011</v>
      </c>
      <c r="D16" s="10" t="s">
        <v>55</v>
      </c>
      <c r="E16" s="9" t="s">
        <v>52</v>
      </c>
      <c r="F16" s="9" t="s">
        <v>28</v>
      </c>
      <c r="G16" s="9" t="s">
        <v>17</v>
      </c>
      <c r="H16" s="9" t="s">
        <v>18</v>
      </c>
      <c r="I16" s="9" t="s">
        <v>29</v>
      </c>
      <c r="J16" s="9" t="s">
        <v>20</v>
      </c>
      <c r="K16" s="9" t="s">
        <v>21</v>
      </c>
    </row>
    <row r="17" spans="1:11">
      <c r="A17" s="9">
        <v>12</v>
      </c>
      <c r="B17" s="9" t="s">
        <v>56</v>
      </c>
      <c r="C17" s="9">
        <v>7000000012</v>
      </c>
      <c r="D17" s="10" t="s">
        <v>57</v>
      </c>
      <c r="E17" s="9" t="s">
        <v>52</v>
      </c>
      <c r="F17" s="9" t="s">
        <v>28</v>
      </c>
      <c r="G17" s="9" t="s">
        <v>17</v>
      </c>
      <c r="H17" s="9" t="s">
        <v>18</v>
      </c>
      <c r="I17" s="9" t="s">
        <v>29</v>
      </c>
      <c r="J17" s="9" t="s">
        <v>20</v>
      </c>
      <c r="K17" s="9" t="s">
        <v>21</v>
      </c>
    </row>
    <row r="18" spans="1:11">
      <c r="A18" s="9">
        <v>13</v>
      </c>
      <c r="B18" s="9" t="s">
        <v>58</v>
      </c>
      <c r="C18" s="9">
        <v>7000000013</v>
      </c>
      <c r="D18" s="10" t="s">
        <v>59</v>
      </c>
      <c r="E18" s="9" t="s">
        <v>32</v>
      </c>
      <c r="F18" s="9" t="s">
        <v>28</v>
      </c>
      <c r="G18" s="9" t="s">
        <v>17</v>
      </c>
      <c r="H18" s="9" t="s">
        <v>18</v>
      </c>
      <c r="I18" s="9" t="s">
        <v>29</v>
      </c>
      <c r="J18" s="9" t="s">
        <v>20</v>
      </c>
      <c r="K18" s="9" t="s">
        <v>21</v>
      </c>
    </row>
    <row r="19" spans="1:11">
      <c r="A19" s="9">
        <v>14</v>
      </c>
      <c r="B19" s="9" t="s">
        <v>60</v>
      </c>
      <c r="C19" s="9">
        <v>7000000014</v>
      </c>
      <c r="D19" s="10" t="s">
        <v>61</v>
      </c>
      <c r="E19" s="9" t="s">
        <v>43</v>
      </c>
      <c r="F19" s="9" t="s">
        <v>28</v>
      </c>
      <c r="G19" s="9" t="s">
        <v>17</v>
      </c>
      <c r="H19" s="9" t="s">
        <v>18</v>
      </c>
      <c r="I19" s="9" t="s">
        <v>29</v>
      </c>
      <c r="J19" s="9" t="s">
        <v>20</v>
      </c>
      <c r="K19" s="9" t="s">
        <v>21</v>
      </c>
    </row>
    <row r="20" spans="1:11">
      <c r="A20" s="9">
        <v>15</v>
      </c>
      <c r="B20" s="9" t="s">
        <v>62</v>
      </c>
      <c r="C20" s="9">
        <v>7000000015</v>
      </c>
      <c r="D20" s="10" t="s">
        <v>63</v>
      </c>
      <c r="E20" s="9" t="s">
        <v>43</v>
      </c>
      <c r="F20" s="9" t="s">
        <v>28</v>
      </c>
      <c r="G20" s="9" t="s">
        <v>17</v>
      </c>
      <c r="H20" s="9" t="s">
        <v>18</v>
      </c>
      <c r="I20" s="9" t="s">
        <v>29</v>
      </c>
      <c r="J20" s="9" t="s">
        <v>20</v>
      </c>
      <c r="K20" s="9" t="s">
        <v>21</v>
      </c>
    </row>
    <row r="21" spans="1:11">
      <c r="A21" s="9">
        <v>16</v>
      </c>
      <c r="B21" s="9" t="s">
        <v>64</v>
      </c>
      <c r="C21" s="9">
        <v>7000000016</v>
      </c>
      <c r="D21" s="10" t="s">
        <v>65</v>
      </c>
      <c r="E21" s="9" t="s">
        <v>43</v>
      </c>
      <c r="F21" s="9" t="s">
        <v>28</v>
      </c>
      <c r="G21" s="9" t="s">
        <v>17</v>
      </c>
      <c r="H21" s="9" t="s">
        <v>18</v>
      </c>
      <c r="I21" s="9" t="s">
        <v>29</v>
      </c>
      <c r="J21" s="9" t="s">
        <v>20</v>
      </c>
      <c r="K21" s="9" t="s">
        <v>21</v>
      </c>
    </row>
    <row r="22" spans="1:11">
      <c r="A22" s="9">
        <v>17</v>
      </c>
      <c r="B22" s="9" t="s">
        <v>66</v>
      </c>
      <c r="C22" s="9">
        <v>7000000017</v>
      </c>
      <c r="D22" s="10" t="s">
        <v>67</v>
      </c>
      <c r="E22" s="9" t="s">
        <v>43</v>
      </c>
      <c r="F22" s="9" t="s">
        <v>28</v>
      </c>
      <c r="G22" s="9" t="s">
        <v>17</v>
      </c>
      <c r="H22" s="9" t="s">
        <v>18</v>
      </c>
      <c r="I22" s="9" t="s">
        <v>29</v>
      </c>
      <c r="J22" s="9" t="s">
        <v>20</v>
      </c>
      <c r="K22" s="9" t="s">
        <v>21</v>
      </c>
    </row>
    <row r="23" spans="1:11">
      <c r="A23" s="9">
        <v>18</v>
      </c>
      <c r="B23" s="9" t="s">
        <v>68</v>
      </c>
      <c r="C23" s="9">
        <v>7000000018</v>
      </c>
      <c r="D23" s="10" t="s">
        <v>69</v>
      </c>
      <c r="E23" s="9" t="s">
        <v>43</v>
      </c>
      <c r="F23" s="9" t="s">
        <v>28</v>
      </c>
      <c r="G23" s="9" t="s">
        <v>17</v>
      </c>
      <c r="H23" s="9" t="s">
        <v>18</v>
      </c>
      <c r="I23" s="9" t="s">
        <v>29</v>
      </c>
      <c r="J23" s="9" t="s">
        <v>20</v>
      </c>
      <c r="K23" s="9" t="s">
        <v>21</v>
      </c>
    </row>
    <row r="24" spans="1:11">
      <c r="A24" s="9">
        <v>19</v>
      </c>
      <c r="B24" s="9" t="s">
        <v>70</v>
      </c>
      <c r="C24" s="9">
        <v>7000000019</v>
      </c>
      <c r="D24" s="10" t="s">
        <v>71</v>
      </c>
      <c r="E24" s="9" t="s">
        <v>43</v>
      </c>
      <c r="F24" s="9" t="s">
        <v>28</v>
      </c>
      <c r="G24" s="9" t="s">
        <v>17</v>
      </c>
      <c r="H24" s="9" t="s">
        <v>18</v>
      </c>
      <c r="I24" s="9" t="s">
        <v>29</v>
      </c>
      <c r="J24" s="9" t="s">
        <v>20</v>
      </c>
      <c r="K24" s="9" t="s">
        <v>21</v>
      </c>
    </row>
    <row r="25" spans="1:11">
      <c r="A25" s="9">
        <v>20</v>
      </c>
      <c r="B25" s="9" t="s">
        <v>72</v>
      </c>
      <c r="C25" s="9">
        <v>7000000020</v>
      </c>
      <c r="D25" s="10" t="s">
        <v>73</v>
      </c>
      <c r="E25" s="9" t="s">
        <v>43</v>
      </c>
      <c r="F25" s="9" t="s">
        <v>28</v>
      </c>
      <c r="G25" s="9" t="s">
        <v>17</v>
      </c>
      <c r="H25" s="9" t="s">
        <v>18</v>
      </c>
      <c r="I25" s="9" t="s">
        <v>29</v>
      </c>
      <c r="J25" s="9" t="s">
        <v>20</v>
      </c>
      <c r="K25" s="9" t="s">
        <v>21</v>
      </c>
    </row>
    <row r="26" spans="1:11">
      <c r="A26" s="9">
        <v>21</v>
      </c>
      <c r="B26" s="9" t="s">
        <v>74</v>
      </c>
      <c r="C26" s="9">
        <v>7000000021</v>
      </c>
      <c r="D26" s="10" t="s">
        <v>75</v>
      </c>
      <c r="E26" s="9" t="s">
        <v>43</v>
      </c>
      <c r="F26" s="9" t="s">
        <v>28</v>
      </c>
      <c r="G26" s="9" t="s">
        <v>17</v>
      </c>
      <c r="H26" s="9" t="s">
        <v>18</v>
      </c>
      <c r="I26" s="9" t="s">
        <v>29</v>
      </c>
      <c r="J26" s="9" t="s">
        <v>20</v>
      </c>
      <c r="K26" s="9" t="s">
        <v>21</v>
      </c>
    </row>
    <row r="27" spans="1:11">
      <c r="A27" s="9">
        <v>22</v>
      </c>
      <c r="B27" s="9" t="s">
        <v>76</v>
      </c>
      <c r="C27" s="9">
        <v>7000000022</v>
      </c>
      <c r="D27" s="10" t="s">
        <v>77</v>
      </c>
      <c r="E27" s="9" t="s">
        <v>43</v>
      </c>
      <c r="F27" s="9" t="s">
        <v>28</v>
      </c>
      <c r="G27" s="9" t="s">
        <v>17</v>
      </c>
      <c r="H27" s="9" t="s">
        <v>18</v>
      </c>
      <c r="I27" s="9" t="s">
        <v>29</v>
      </c>
      <c r="J27" s="9" t="s">
        <v>20</v>
      </c>
      <c r="K27" s="9" t="s">
        <v>21</v>
      </c>
    </row>
    <row r="28" spans="1:11">
      <c r="A28" s="9">
        <v>23</v>
      </c>
      <c r="B28" s="9" t="s">
        <v>78</v>
      </c>
      <c r="C28" s="9">
        <v>7000000023</v>
      </c>
      <c r="D28" s="10" t="s">
        <v>79</v>
      </c>
      <c r="E28" s="9" t="s">
        <v>43</v>
      </c>
      <c r="F28" s="9" t="s">
        <v>28</v>
      </c>
      <c r="G28" s="9" t="s">
        <v>17</v>
      </c>
      <c r="H28" s="9" t="s">
        <v>18</v>
      </c>
      <c r="I28" s="9" t="s">
        <v>29</v>
      </c>
      <c r="J28" s="9" t="s">
        <v>20</v>
      </c>
      <c r="K28" s="9" t="s">
        <v>21</v>
      </c>
    </row>
    <row r="29" spans="1:11">
      <c r="A29" s="9">
        <v>24</v>
      </c>
      <c r="B29" s="9" t="s">
        <v>80</v>
      </c>
      <c r="C29" s="9">
        <v>7000000024</v>
      </c>
      <c r="D29" s="10" t="s">
        <v>81</v>
      </c>
      <c r="E29" s="9" t="s">
        <v>43</v>
      </c>
      <c r="F29" s="9" t="s">
        <v>28</v>
      </c>
      <c r="G29" s="9" t="s">
        <v>17</v>
      </c>
      <c r="H29" s="9" t="s">
        <v>18</v>
      </c>
      <c r="I29" s="9" t="s">
        <v>29</v>
      </c>
      <c r="J29" s="9" t="s">
        <v>20</v>
      </c>
      <c r="K29" s="9" t="s">
        <v>21</v>
      </c>
    </row>
    <row r="30" spans="1:11">
      <c r="A30" s="9">
        <v>25</v>
      </c>
      <c r="B30" s="9" t="s">
        <v>82</v>
      </c>
      <c r="C30" s="9">
        <v>7000000025</v>
      </c>
      <c r="D30" s="10" t="s">
        <v>83</v>
      </c>
      <c r="E30" s="9" t="s">
        <v>84</v>
      </c>
      <c r="F30" s="9" t="s">
        <v>28</v>
      </c>
      <c r="G30" s="9" t="s">
        <v>17</v>
      </c>
      <c r="H30" s="9" t="s">
        <v>18</v>
      </c>
      <c r="I30" s="9" t="s">
        <v>29</v>
      </c>
      <c r="J30" s="9" t="s">
        <v>20</v>
      </c>
      <c r="K30" s="9" t="s">
        <v>21</v>
      </c>
    </row>
    <row r="31" spans="1:11">
      <c r="A31" s="9">
        <v>26</v>
      </c>
      <c r="B31" s="9" t="s">
        <v>85</v>
      </c>
      <c r="C31" s="9">
        <v>7000000026</v>
      </c>
      <c r="D31" s="10" t="s">
        <v>86</v>
      </c>
      <c r="E31" s="9" t="s">
        <v>52</v>
      </c>
      <c r="F31" s="9" t="s">
        <v>28</v>
      </c>
      <c r="G31" s="9" t="s">
        <v>17</v>
      </c>
      <c r="H31" s="9" t="s">
        <v>18</v>
      </c>
      <c r="I31" s="9" t="s">
        <v>29</v>
      </c>
      <c r="J31" s="9" t="s">
        <v>20</v>
      </c>
      <c r="K31" s="9" t="s">
        <v>21</v>
      </c>
    </row>
    <row r="32" spans="1:11">
      <c r="A32" s="9">
        <v>27</v>
      </c>
      <c r="B32" s="9" t="s">
        <v>87</v>
      </c>
      <c r="C32" s="9">
        <v>7000000027</v>
      </c>
      <c r="D32" s="10" t="s">
        <v>88</v>
      </c>
      <c r="E32" s="9" t="s">
        <v>27</v>
      </c>
      <c r="F32" s="9" t="s">
        <v>36</v>
      </c>
      <c r="G32" s="9" t="s">
        <v>17</v>
      </c>
      <c r="H32" s="9" t="s">
        <v>18</v>
      </c>
      <c r="I32" s="9" t="s">
        <v>37</v>
      </c>
      <c r="J32" s="9" t="s">
        <v>20</v>
      </c>
      <c r="K32" s="9" t="s">
        <v>21</v>
      </c>
    </row>
    <row r="33" spans="1:11">
      <c r="A33" s="9">
        <v>28</v>
      </c>
      <c r="B33" s="9" t="s">
        <v>89</v>
      </c>
      <c r="C33" s="9">
        <v>7000000028</v>
      </c>
      <c r="D33" s="10" t="s">
        <v>90</v>
      </c>
      <c r="E33" s="9" t="s">
        <v>27</v>
      </c>
      <c r="F33" s="9" t="s">
        <v>36</v>
      </c>
      <c r="G33" s="9" t="s">
        <v>17</v>
      </c>
      <c r="H33" s="9" t="s">
        <v>18</v>
      </c>
      <c r="I33" s="9" t="s">
        <v>37</v>
      </c>
      <c r="J33" s="9" t="s">
        <v>20</v>
      </c>
      <c r="K33" s="9" t="s">
        <v>21</v>
      </c>
    </row>
    <row r="34" spans="1:11">
      <c r="A34" s="9">
        <v>29</v>
      </c>
      <c r="B34" s="9" t="s">
        <v>91</v>
      </c>
      <c r="C34" s="9">
        <v>7000000029</v>
      </c>
      <c r="D34" s="10" t="s">
        <v>92</v>
      </c>
      <c r="E34" s="9" t="s">
        <v>35</v>
      </c>
      <c r="F34" s="9" t="s">
        <v>36</v>
      </c>
      <c r="G34" s="9" t="s">
        <v>17</v>
      </c>
      <c r="H34" s="9" t="s">
        <v>18</v>
      </c>
      <c r="I34" s="9" t="s">
        <v>37</v>
      </c>
      <c r="J34" s="9" t="s">
        <v>20</v>
      </c>
      <c r="K34" s="9" t="s">
        <v>21</v>
      </c>
    </row>
    <row r="35" spans="1:11">
      <c r="A35" s="9">
        <v>30</v>
      </c>
      <c r="B35" s="9" t="s">
        <v>93</v>
      </c>
      <c r="C35" s="9">
        <v>7000000030</v>
      </c>
      <c r="D35" s="10" t="s">
        <v>94</v>
      </c>
      <c r="E35" s="9" t="s">
        <v>35</v>
      </c>
      <c r="F35" s="9" t="s">
        <v>36</v>
      </c>
      <c r="G35" s="9" t="s">
        <v>17</v>
      </c>
      <c r="H35" s="9" t="s">
        <v>18</v>
      </c>
      <c r="I35" s="9" t="s">
        <v>37</v>
      </c>
      <c r="J35" s="9" t="s">
        <v>20</v>
      </c>
      <c r="K35" s="9" t="s">
        <v>21</v>
      </c>
    </row>
    <row r="36" spans="1:11">
      <c r="A36" s="9">
        <v>31</v>
      </c>
      <c r="B36" s="9" t="s">
        <v>95</v>
      </c>
      <c r="C36" s="9">
        <v>7000000031</v>
      </c>
      <c r="D36" s="10" t="s">
        <v>96</v>
      </c>
      <c r="E36" s="9" t="s">
        <v>32</v>
      </c>
      <c r="F36" s="9" t="s">
        <v>28</v>
      </c>
      <c r="G36" s="9" t="s">
        <v>17</v>
      </c>
      <c r="H36" s="9" t="s">
        <v>18</v>
      </c>
      <c r="I36" s="9" t="s">
        <v>29</v>
      </c>
      <c r="J36" s="9" t="s">
        <v>53</v>
      </c>
      <c r="K36" s="9" t="s">
        <v>21</v>
      </c>
    </row>
    <row r="37" spans="1:11">
      <c r="A37" s="9">
        <v>32</v>
      </c>
      <c r="B37" s="9" t="s">
        <v>97</v>
      </c>
      <c r="C37" s="9">
        <v>7000000032</v>
      </c>
      <c r="D37" s="10" t="s">
        <v>98</v>
      </c>
      <c r="E37" s="9" t="s">
        <v>52</v>
      </c>
      <c r="F37" s="9" t="s">
        <v>28</v>
      </c>
      <c r="G37" s="9" t="s">
        <v>17</v>
      </c>
      <c r="H37" s="9" t="s">
        <v>18</v>
      </c>
      <c r="I37" s="9" t="s">
        <v>29</v>
      </c>
      <c r="J37" s="9" t="s">
        <v>53</v>
      </c>
      <c r="K37" s="9" t="s">
        <v>21</v>
      </c>
    </row>
    <row r="38" spans="1:11">
      <c r="A38" s="9">
        <v>33</v>
      </c>
      <c r="B38" s="9" t="s">
        <v>99</v>
      </c>
      <c r="C38" s="9">
        <v>7000000033</v>
      </c>
      <c r="D38" s="10" t="s">
        <v>100</v>
      </c>
      <c r="E38" s="9" t="s">
        <v>52</v>
      </c>
      <c r="F38" s="9" t="s">
        <v>28</v>
      </c>
      <c r="G38" s="9" t="s">
        <v>17</v>
      </c>
      <c r="H38" s="9" t="s">
        <v>18</v>
      </c>
      <c r="I38" s="9" t="s">
        <v>29</v>
      </c>
      <c r="J38" s="9" t="s">
        <v>53</v>
      </c>
      <c r="K38" s="9" t="s">
        <v>21</v>
      </c>
    </row>
    <row r="39" spans="1:11">
      <c r="A39" s="9">
        <v>34</v>
      </c>
      <c r="B39" s="9" t="s">
        <v>101</v>
      </c>
      <c r="C39" s="9">
        <v>7000000034</v>
      </c>
      <c r="D39" s="10" t="s">
        <v>102</v>
      </c>
      <c r="E39" s="9" t="s">
        <v>35</v>
      </c>
      <c r="F39" s="9" t="s">
        <v>36</v>
      </c>
      <c r="G39" s="9" t="s">
        <v>17</v>
      </c>
      <c r="H39" s="9" t="s">
        <v>18</v>
      </c>
      <c r="I39" s="9" t="s">
        <v>37</v>
      </c>
      <c r="J39" s="9" t="s">
        <v>53</v>
      </c>
      <c r="K39" s="9" t="s">
        <v>21</v>
      </c>
    </row>
    <row r="40" spans="1:11">
      <c r="A40" s="9">
        <v>35</v>
      </c>
      <c r="B40" s="9" t="s">
        <v>103</v>
      </c>
      <c r="C40" s="9">
        <v>7000000035</v>
      </c>
      <c r="D40" s="10" t="s">
        <v>104</v>
      </c>
      <c r="E40" s="9" t="s">
        <v>35</v>
      </c>
      <c r="F40" s="9" t="s">
        <v>36</v>
      </c>
      <c r="G40" s="9" t="s">
        <v>17</v>
      </c>
      <c r="H40" s="9" t="s">
        <v>18</v>
      </c>
      <c r="I40" s="9" t="s">
        <v>37</v>
      </c>
      <c r="J40" s="9" t="s">
        <v>53</v>
      </c>
      <c r="K40" s="9" t="s">
        <v>21</v>
      </c>
    </row>
    <row r="41" spans="1:11">
      <c r="A41" s="9">
        <v>36</v>
      </c>
      <c r="B41" s="9" t="s">
        <v>105</v>
      </c>
      <c r="C41" s="9">
        <v>7000000036</v>
      </c>
      <c r="D41" s="10" t="s">
        <v>106</v>
      </c>
      <c r="E41" s="9" t="s">
        <v>40</v>
      </c>
      <c r="F41" s="9" t="s">
        <v>28</v>
      </c>
      <c r="G41" s="9" t="s">
        <v>17</v>
      </c>
      <c r="H41" s="9" t="s">
        <v>18</v>
      </c>
      <c r="I41" s="9" t="s">
        <v>29</v>
      </c>
      <c r="J41" s="9" t="s">
        <v>53</v>
      </c>
      <c r="K41" s="9" t="s">
        <v>21</v>
      </c>
    </row>
    <row r="42" spans="1:11">
      <c r="A42" s="9">
        <v>37</v>
      </c>
      <c r="B42" s="9" t="s">
        <v>107</v>
      </c>
      <c r="C42" s="9">
        <v>7000000037</v>
      </c>
      <c r="D42" s="10" t="s">
        <v>108</v>
      </c>
      <c r="E42" s="9" t="s">
        <v>46</v>
      </c>
      <c r="F42" s="9" t="s">
        <v>28</v>
      </c>
      <c r="G42" s="9" t="s">
        <v>17</v>
      </c>
      <c r="H42" s="9" t="s">
        <v>18</v>
      </c>
      <c r="I42" s="9" t="s">
        <v>29</v>
      </c>
      <c r="J42" s="9" t="s">
        <v>53</v>
      </c>
      <c r="K42" s="9" t="s">
        <v>21</v>
      </c>
    </row>
    <row r="43" spans="1:11">
      <c r="A43" s="9">
        <v>38</v>
      </c>
      <c r="B43" s="9" t="s">
        <v>109</v>
      </c>
      <c r="C43" s="9">
        <v>7000000038</v>
      </c>
      <c r="D43" s="10" t="s">
        <v>110</v>
      </c>
      <c r="E43" s="9" t="s">
        <v>46</v>
      </c>
      <c r="F43" s="9" t="s">
        <v>28</v>
      </c>
      <c r="G43" s="9" t="s">
        <v>17</v>
      </c>
      <c r="H43" s="9" t="s">
        <v>18</v>
      </c>
      <c r="I43" s="9" t="s">
        <v>29</v>
      </c>
      <c r="J43" s="9" t="s">
        <v>53</v>
      </c>
      <c r="K43" s="9" t="s">
        <v>21</v>
      </c>
    </row>
    <row r="44" spans="1:11">
      <c r="A44" s="9">
        <v>39</v>
      </c>
      <c r="B44" s="9" t="s">
        <v>111</v>
      </c>
      <c r="C44" s="9">
        <v>7000000039</v>
      </c>
      <c r="D44" s="10" t="s">
        <v>112</v>
      </c>
      <c r="E44" s="9" t="s">
        <v>52</v>
      </c>
      <c r="F44" s="9" t="s">
        <v>28</v>
      </c>
      <c r="G44" s="9" t="s">
        <v>17</v>
      </c>
      <c r="H44" s="9" t="s">
        <v>18</v>
      </c>
      <c r="I44" s="9" t="s">
        <v>29</v>
      </c>
      <c r="J44" s="9" t="s">
        <v>20</v>
      </c>
      <c r="K44" s="9" t="s">
        <v>21</v>
      </c>
    </row>
    <row r="45" spans="1:11">
      <c r="A45" s="9">
        <v>40</v>
      </c>
      <c r="B45" s="9" t="s">
        <v>113</v>
      </c>
      <c r="C45" s="9">
        <v>7000000040</v>
      </c>
      <c r="D45" s="10" t="s">
        <v>114</v>
      </c>
      <c r="E45" s="9" t="s">
        <v>52</v>
      </c>
      <c r="F45" s="9" t="s">
        <v>28</v>
      </c>
      <c r="G45" s="9" t="s">
        <v>17</v>
      </c>
      <c r="H45" s="9" t="s">
        <v>18</v>
      </c>
      <c r="I45" s="9" t="s">
        <v>29</v>
      </c>
      <c r="J45" s="9" t="s">
        <v>20</v>
      </c>
      <c r="K45" s="9" t="s">
        <v>21</v>
      </c>
    </row>
    <row r="46" spans="1:11">
      <c r="A46" s="9">
        <v>41</v>
      </c>
      <c r="B46" s="9" t="s">
        <v>115</v>
      </c>
      <c r="C46" s="9">
        <v>7000000041</v>
      </c>
      <c r="D46" s="10" t="s">
        <v>116</v>
      </c>
      <c r="E46" s="9" t="s">
        <v>52</v>
      </c>
      <c r="F46" s="9" t="s">
        <v>28</v>
      </c>
      <c r="G46" s="9" t="s">
        <v>17</v>
      </c>
      <c r="H46" s="9" t="s">
        <v>18</v>
      </c>
      <c r="I46" s="9" t="s">
        <v>29</v>
      </c>
      <c r="J46" s="9" t="s">
        <v>53</v>
      </c>
      <c r="K46" s="9" t="s">
        <v>21</v>
      </c>
    </row>
    <row r="47" spans="1:11">
      <c r="A47" s="9">
        <v>42</v>
      </c>
      <c r="B47" s="9" t="s">
        <v>117</v>
      </c>
      <c r="C47" s="9">
        <v>7000000042</v>
      </c>
      <c r="D47" s="10" t="s">
        <v>118</v>
      </c>
      <c r="E47" s="9" t="s">
        <v>52</v>
      </c>
      <c r="F47" s="9" t="s">
        <v>28</v>
      </c>
      <c r="G47" s="9" t="s">
        <v>17</v>
      </c>
      <c r="H47" s="9" t="s">
        <v>18</v>
      </c>
      <c r="I47" s="9" t="s">
        <v>29</v>
      </c>
      <c r="J47" s="9" t="s">
        <v>53</v>
      </c>
      <c r="K47" s="9" t="s">
        <v>21</v>
      </c>
    </row>
    <row r="48" spans="1:11">
      <c r="A48" s="9">
        <v>43</v>
      </c>
      <c r="B48" s="9" t="s">
        <v>119</v>
      </c>
      <c r="C48" s="9">
        <v>7000000043</v>
      </c>
      <c r="D48" s="10" t="s">
        <v>120</v>
      </c>
      <c r="E48" s="9" t="s">
        <v>32</v>
      </c>
      <c r="F48" s="9" t="s">
        <v>28</v>
      </c>
      <c r="G48" s="9" t="s">
        <v>17</v>
      </c>
      <c r="H48" s="9" t="s">
        <v>18</v>
      </c>
      <c r="I48" s="9" t="s">
        <v>29</v>
      </c>
      <c r="J48" s="9" t="s">
        <v>53</v>
      </c>
      <c r="K48" s="9" t="s">
        <v>21</v>
      </c>
    </row>
    <row r="49" spans="1:11">
      <c r="A49" s="9">
        <v>44</v>
      </c>
      <c r="B49" s="9" t="s">
        <v>121</v>
      </c>
      <c r="C49" s="9">
        <v>7000000044</v>
      </c>
      <c r="D49" s="10" t="s">
        <v>122</v>
      </c>
      <c r="E49" s="9" t="s">
        <v>43</v>
      </c>
      <c r="F49" s="9" t="s">
        <v>28</v>
      </c>
      <c r="G49" s="9" t="s">
        <v>17</v>
      </c>
      <c r="H49" s="9" t="s">
        <v>18</v>
      </c>
      <c r="I49" s="9" t="s">
        <v>29</v>
      </c>
      <c r="J49" s="9" t="s">
        <v>53</v>
      </c>
      <c r="K49" s="9" t="s">
        <v>21</v>
      </c>
    </row>
    <row r="50" spans="1:11">
      <c r="A50" s="9">
        <v>45</v>
      </c>
      <c r="B50" s="9" t="s">
        <v>123</v>
      </c>
      <c r="C50" s="9">
        <v>7000000045</v>
      </c>
      <c r="D50" s="10" t="s">
        <v>124</v>
      </c>
      <c r="E50" s="9" t="s">
        <v>43</v>
      </c>
      <c r="F50" s="9" t="s">
        <v>28</v>
      </c>
      <c r="G50" s="9" t="s">
        <v>17</v>
      </c>
      <c r="H50" s="9" t="s">
        <v>18</v>
      </c>
      <c r="I50" s="9" t="s">
        <v>29</v>
      </c>
      <c r="J50" s="9" t="s">
        <v>53</v>
      </c>
      <c r="K50" s="9" t="s">
        <v>21</v>
      </c>
    </row>
    <row r="51" spans="1:11">
      <c r="A51" s="9">
        <v>46</v>
      </c>
      <c r="B51" s="9" t="s">
        <v>125</v>
      </c>
      <c r="C51" s="9">
        <v>7000000046</v>
      </c>
      <c r="D51" s="10" t="s">
        <v>126</v>
      </c>
      <c r="E51" s="9" t="s">
        <v>43</v>
      </c>
      <c r="F51" s="9" t="s">
        <v>28</v>
      </c>
      <c r="G51" s="9" t="s">
        <v>17</v>
      </c>
      <c r="H51" s="9" t="s">
        <v>18</v>
      </c>
      <c r="I51" s="9" t="s">
        <v>29</v>
      </c>
      <c r="J51" s="9" t="s">
        <v>53</v>
      </c>
      <c r="K51" s="9" t="s">
        <v>21</v>
      </c>
    </row>
    <row r="52" spans="1:11">
      <c r="A52" s="9">
        <v>47</v>
      </c>
      <c r="B52" s="9" t="s">
        <v>127</v>
      </c>
      <c r="C52" s="9">
        <v>7000000047</v>
      </c>
      <c r="D52" s="10" t="s">
        <v>128</v>
      </c>
      <c r="E52" s="9" t="s">
        <v>43</v>
      </c>
      <c r="F52" s="9" t="s">
        <v>28</v>
      </c>
      <c r="G52" s="9" t="s">
        <v>17</v>
      </c>
      <c r="H52" s="9" t="s">
        <v>18</v>
      </c>
      <c r="I52" s="9" t="s">
        <v>29</v>
      </c>
      <c r="J52" s="9" t="s">
        <v>53</v>
      </c>
      <c r="K52" s="9" t="s">
        <v>21</v>
      </c>
    </row>
    <row r="53" spans="1:11">
      <c r="A53" s="9">
        <v>48</v>
      </c>
      <c r="B53" s="9" t="s">
        <v>129</v>
      </c>
      <c r="C53" s="9">
        <v>7000000048</v>
      </c>
      <c r="D53" s="10" t="s">
        <v>130</v>
      </c>
      <c r="E53" s="9" t="s">
        <v>43</v>
      </c>
      <c r="F53" s="9" t="s">
        <v>28</v>
      </c>
      <c r="G53" s="9" t="s">
        <v>17</v>
      </c>
      <c r="H53" s="9" t="s">
        <v>18</v>
      </c>
      <c r="I53" s="9" t="s">
        <v>29</v>
      </c>
      <c r="J53" s="9" t="s">
        <v>53</v>
      </c>
      <c r="K53" s="9" t="s">
        <v>21</v>
      </c>
    </row>
    <row r="54" spans="1:11">
      <c r="A54" s="9">
        <v>49</v>
      </c>
      <c r="B54" s="9" t="s">
        <v>131</v>
      </c>
      <c r="C54" s="9">
        <v>7000000049</v>
      </c>
      <c r="D54" s="10" t="s">
        <v>132</v>
      </c>
      <c r="E54" s="9" t="s">
        <v>43</v>
      </c>
      <c r="F54" s="9" t="s">
        <v>28</v>
      </c>
      <c r="G54" s="9" t="s">
        <v>17</v>
      </c>
      <c r="H54" s="9" t="s">
        <v>18</v>
      </c>
      <c r="I54" s="9" t="s">
        <v>29</v>
      </c>
      <c r="J54" s="9" t="s">
        <v>53</v>
      </c>
      <c r="K54" s="9" t="s">
        <v>21</v>
      </c>
    </row>
    <row r="55" spans="1:11">
      <c r="A55" s="9">
        <v>50</v>
      </c>
      <c r="B55" s="9" t="s">
        <v>133</v>
      </c>
      <c r="C55" s="9">
        <v>7000000050</v>
      </c>
      <c r="D55" s="10" t="s">
        <v>134</v>
      </c>
      <c r="E55" s="9" t="s">
        <v>43</v>
      </c>
      <c r="F55" s="9" t="s">
        <v>28</v>
      </c>
      <c r="G55" s="9" t="s">
        <v>17</v>
      </c>
      <c r="H55" s="9" t="s">
        <v>18</v>
      </c>
      <c r="I55" s="9" t="s">
        <v>29</v>
      </c>
      <c r="J55" s="9" t="s">
        <v>53</v>
      </c>
      <c r="K55" s="9" t="s">
        <v>21</v>
      </c>
    </row>
    <row r="56" spans="1:11">
      <c r="A56" s="9">
        <v>51</v>
      </c>
      <c r="B56" s="9" t="s">
        <v>135</v>
      </c>
      <c r="C56" s="9">
        <v>7000000051</v>
      </c>
      <c r="D56" s="10" t="s">
        <v>136</v>
      </c>
      <c r="E56" s="9" t="s">
        <v>52</v>
      </c>
      <c r="F56" s="9" t="s">
        <v>28</v>
      </c>
      <c r="G56" s="9" t="s">
        <v>17</v>
      </c>
      <c r="H56" s="9" t="s">
        <v>18</v>
      </c>
      <c r="I56" s="9" t="s">
        <v>29</v>
      </c>
      <c r="J56" s="9" t="s">
        <v>53</v>
      </c>
      <c r="K56" s="9" t="s">
        <v>21</v>
      </c>
    </row>
    <row r="57" spans="1:11">
      <c r="A57" s="9">
        <v>52</v>
      </c>
      <c r="B57" s="9" t="s">
        <v>137</v>
      </c>
      <c r="C57" s="9">
        <v>7000000052</v>
      </c>
      <c r="D57" s="10" t="s">
        <v>138</v>
      </c>
      <c r="E57" s="9" t="s">
        <v>27</v>
      </c>
      <c r="F57" s="9" t="s">
        <v>36</v>
      </c>
      <c r="G57" s="9" t="s">
        <v>17</v>
      </c>
      <c r="H57" s="9" t="s">
        <v>18</v>
      </c>
      <c r="I57" s="9" t="s">
        <v>37</v>
      </c>
      <c r="J57" s="9" t="s">
        <v>20</v>
      </c>
      <c r="K57" s="9" t="s">
        <v>21</v>
      </c>
    </row>
    <row r="58" spans="1:11">
      <c r="A58" s="9">
        <v>53</v>
      </c>
      <c r="B58" s="9" t="s">
        <v>139</v>
      </c>
      <c r="C58" s="9">
        <v>7000000053</v>
      </c>
      <c r="D58" s="10" t="s">
        <v>140</v>
      </c>
      <c r="E58" s="9" t="s">
        <v>27</v>
      </c>
      <c r="F58" s="9" t="s">
        <v>36</v>
      </c>
      <c r="G58" s="9" t="s">
        <v>17</v>
      </c>
      <c r="H58" s="9" t="s">
        <v>18</v>
      </c>
      <c r="I58" s="9" t="s">
        <v>37</v>
      </c>
      <c r="J58" s="9" t="s">
        <v>53</v>
      </c>
      <c r="K58" s="9" t="s">
        <v>21</v>
      </c>
    </row>
    <row r="59" spans="1:11">
      <c r="A59" s="9">
        <v>54</v>
      </c>
      <c r="B59" s="9" t="s">
        <v>141</v>
      </c>
      <c r="C59" s="9">
        <v>7000000054</v>
      </c>
      <c r="D59" s="10" t="s">
        <v>142</v>
      </c>
      <c r="E59" s="9" t="s">
        <v>35</v>
      </c>
      <c r="F59" s="9" t="s">
        <v>36</v>
      </c>
      <c r="G59" s="9" t="s">
        <v>17</v>
      </c>
      <c r="H59" s="9" t="s">
        <v>18</v>
      </c>
      <c r="I59" s="9" t="s">
        <v>37</v>
      </c>
      <c r="J59" s="9" t="s">
        <v>20</v>
      </c>
      <c r="K59" s="9" t="s">
        <v>21</v>
      </c>
    </row>
    <row r="60" spans="1:11">
      <c r="A60" s="9">
        <v>55</v>
      </c>
      <c r="B60" s="9" t="s">
        <v>143</v>
      </c>
      <c r="C60" s="9">
        <v>7000000055</v>
      </c>
      <c r="D60" s="10" t="s">
        <v>144</v>
      </c>
      <c r="E60" s="9" t="s">
        <v>35</v>
      </c>
      <c r="F60" s="9" t="s">
        <v>36</v>
      </c>
      <c r="G60" s="9" t="s">
        <v>17</v>
      </c>
      <c r="H60" s="9" t="s">
        <v>18</v>
      </c>
      <c r="I60" s="9" t="s">
        <v>37</v>
      </c>
      <c r="J60" s="9" t="s">
        <v>20</v>
      </c>
      <c r="K60" s="9" t="s">
        <v>21</v>
      </c>
    </row>
    <row r="61" spans="1:11">
      <c r="A61" s="9">
        <v>56</v>
      </c>
      <c r="B61" s="9" t="s">
        <v>145</v>
      </c>
      <c r="C61" s="9">
        <v>7000000056</v>
      </c>
      <c r="D61" s="10" t="s">
        <v>146</v>
      </c>
      <c r="E61" s="9" t="s">
        <v>27</v>
      </c>
      <c r="F61" s="9" t="s">
        <v>28</v>
      </c>
      <c r="G61" s="9" t="s">
        <v>17</v>
      </c>
      <c r="H61" s="9" t="s">
        <v>18</v>
      </c>
      <c r="I61" s="9" t="s">
        <v>29</v>
      </c>
      <c r="J61" s="9" t="s">
        <v>20</v>
      </c>
      <c r="K61" s="9" t="s">
        <v>21</v>
      </c>
    </row>
    <row r="62" spans="1:11">
      <c r="A62" s="9">
        <v>57</v>
      </c>
      <c r="B62" s="9" t="s">
        <v>147</v>
      </c>
      <c r="C62" s="9">
        <v>7000000057</v>
      </c>
      <c r="D62" s="10" t="s">
        <v>148</v>
      </c>
      <c r="E62" s="9" t="s">
        <v>52</v>
      </c>
      <c r="F62" s="9" t="s">
        <v>28</v>
      </c>
      <c r="G62" s="9" t="s">
        <v>17</v>
      </c>
      <c r="H62" s="9" t="s">
        <v>18</v>
      </c>
      <c r="I62" s="9" t="s">
        <v>29</v>
      </c>
      <c r="J62" s="9" t="s">
        <v>20</v>
      </c>
      <c r="K62" s="9" t="s">
        <v>21</v>
      </c>
    </row>
    <row r="63" spans="1:11">
      <c r="A63" s="9">
        <v>58</v>
      </c>
      <c r="B63" s="9" t="s">
        <v>149</v>
      </c>
      <c r="C63" s="9">
        <v>7000000058</v>
      </c>
      <c r="D63" s="10" t="s">
        <v>150</v>
      </c>
      <c r="E63" s="9" t="s">
        <v>32</v>
      </c>
      <c r="F63" s="9" t="s">
        <v>28</v>
      </c>
      <c r="G63" s="9" t="s">
        <v>17</v>
      </c>
      <c r="H63" s="9" t="s">
        <v>18</v>
      </c>
      <c r="I63" s="9" t="s">
        <v>29</v>
      </c>
      <c r="J63" s="9" t="s">
        <v>20</v>
      </c>
      <c r="K63" s="9" t="s">
        <v>21</v>
      </c>
    </row>
    <row r="64" spans="1:11">
      <c r="A64" s="9">
        <v>59</v>
      </c>
      <c r="B64" s="9" t="s">
        <v>151</v>
      </c>
      <c r="C64" s="9">
        <v>7000000059</v>
      </c>
      <c r="D64" s="10" t="s">
        <v>152</v>
      </c>
      <c r="E64" s="9" t="s">
        <v>52</v>
      </c>
      <c r="F64" s="9" t="s">
        <v>28</v>
      </c>
      <c r="G64" s="9" t="s">
        <v>17</v>
      </c>
      <c r="H64" s="9" t="s">
        <v>18</v>
      </c>
      <c r="I64" s="9" t="s">
        <v>29</v>
      </c>
      <c r="J64" s="9" t="s">
        <v>20</v>
      </c>
      <c r="K64" s="9" t="s">
        <v>21</v>
      </c>
    </row>
    <row r="65" spans="1:11">
      <c r="A65" s="9">
        <v>60</v>
      </c>
      <c r="B65" s="9" t="s">
        <v>153</v>
      </c>
      <c r="C65" s="9">
        <v>7000000060</v>
      </c>
      <c r="D65" s="10" t="s">
        <v>154</v>
      </c>
      <c r="E65" s="9" t="s">
        <v>52</v>
      </c>
      <c r="F65" s="9" t="s">
        <v>28</v>
      </c>
      <c r="G65" s="9" t="s">
        <v>17</v>
      </c>
      <c r="H65" s="9" t="s">
        <v>18</v>
      </c>
      <c r="I65" s="9" t="s">
        <v>29</v>
      </c>
      <c r="J65" s="9" t="s">
        <v>20</v>
      </c>
      <c r="K65" s="9" t="s">
        <v>21</v>
      </c>
    </row>
    <row r="66" spans="1:11">
      <c r="A66" s="9">
        <v>61</v>
      </c>
      <c r="B66" s="9" t="s">
        <v>155</v>
      </c>
      <c r="C66" s="9">
        <v>7000000061</v>
      </c>
      <c r="D66" s="10" t="s">
        <v>156</v>
      </c>
      <c r="E66" s="9" t="s">
        <v>52</v>
      </c>
      <c r="F66" s="9" t="s">
        <v>28</v>
      </c>
      <c r="G66" s="9" t="s">
        <v>17</v>
      </c>
      <c r="H66" s="9" t="s">
        <v>18</v>
      </c>
      <c r="I66" s="9" t="s">
        <v>29</v>
      </c>
      <c r="J66" s="9" t="s">
        <v>20</v>
      </c>
      <c r="K66" s="9" t="s">
        <v>21</v>
      </c>
    </row>
    <row r="67" spans="1:11">
      <c r="A67" s="9">
        <v>62</v>
      </c>
      <c r="B67" s="9" t="s">
        <v>157</v>
      </c>
      <c r="C67" s="9">
        <v>7000000062</v>
      </c>
      <c r="D67" s="10" t="s">
        <v>158</v>
      </c>
      <c r="E67" s="9" t="s">
        <v>35</v>
      </c>
      <c r="F67" s="9" t="s">
        <v>36</v>
      </c>
      <c r="G67" s="9" t="s">
        <v>17</v>
      </c>
      <c r="H67" s="9" t="s">
        <v>18</v>
      </c>
      <c r="I67" s="9" t="s">
        <v>37</v>
      </c>
      <c r="J67" s="9" t="s">
        <v>53</v>
      </c>
      <c r="K67" s="9" t="s">
        <v>21</v>
      </c>
    </row>
    <row r="68" spans="1:11">
      <c r="A68" s="9">
        <v>63</v>
      </c>
      <c r="B68" s="9" t="s">
        <v>159</v>
      </c>
      <c r="C68" s="9">
        <v>7000000063</v>
      </c>
      <c r="D68" s="10" t="s">
        <v>160</v>
      </c>
      <c r="E68" s="9" t="s">
        <v>32</v>
      </c>
      <c r="F68" s="9" t="s">
        <v>28</v>
      </c>
      <c r="G68" s="9" t="s">
        <v>17</v>
      </c>
      <c r="H68" s="9" t="s">
        <v>18</v>
      </c>
      <c r="I68" s="9" t="s">
        <v>29</v>
      </c>
      <c r="J68" s="9" t="s">
        <v>20</v>
      </c>
      <c r="K68" s="9" t="s">
        <v>21</v>
      </c>
    </row>
    <row r="69" spans="1:11">
      <c r="A69" s="9">
        <v>64</v>
      </c>
      <c r="B69" s="9" t="s">
        <v>161</v>
      </c>
      <c r="C69" s="9">
        <v>7000000064</v>
      </c>
      <c r="D69" s="10" t="s">
        <v>162</v>
      </c>
      <c r="E69" s="9" t="s">
        <v>43</v>
      </c>
      <c r="F69" s="9" t="s">
        <v>28</v>
      </c>
      <c r="G69" s="9" t="s">
        <v>17</v>
      </c>
      <c r="H69" s="9" t="s">
        <v>18</v>
      </c>
      <c r="I69" s="9" t="s">
        <v>29</v>
      </c>
      <c r="J69" s="9" t="s">
        <v>20</v>
      </c>
      <c r="K69" s="9" t="s">
        <v>21</v>
      </c>
    </row>
    <row r="70" spans="1:11">
      <c r="A70" s="9">
        <v>65</v>
      </c>
      <c r="B70" s="9" t="s">
        <v>163</v>
      </c>
      <c r="C70" s="9">
        <v>7000000065</v>
      </c>
      <c r="D70" s="10" t="s">
        <v>164</v>
      </c>
      <c r="E70" s="9" t="s">
        <v>46</v>
      </c>
      <c r="F70" s="9" t="s">
        <v>28</v>
      </c>
      <c r="G70" s="9" t="s">
        <v>17</v>
      </c>
      <c r="H70" s="9" t="s">
        <v>18</v>
      </c>
      <c r="I70" s="9" t="s">
        <v>29</v>
      </c>
      <c r="J70" s="9" t="s">
        <v>20</v>
      </c>
      <c r="K70" s="9" t="s">
        <v>21</v>
      </c>
    </row>
    <row r="71" spans="1:11">
      <c r="A71" s="9">
        <v>66</v>
      </c>
      <c r="B71" s="9" t="s">
        <v>165</v>
      </c>
      <c r="C71" s="9">
        <v>7000000066</v>
      </c>
      <c r="D71" s="10" t="s">
        <v>166</v>
      </c>
      <c r="E71" s="9" t="s">
        <v>46</v>
      </c>
      <c r="F71" s="9" t="s">
        <v>28</v>
      </c>
      <c r="G71" s="9" t="s">
        <v>17</v>
      </c>
      <c r="H71" s="9" t="s">
        <v>18</v>
      </c>
      <c r="I71" s="9" t="s">
        <v>29</v>
      </c>
      <c r="J71" s="9" t="s">
        <v>20</v>
      </c>
      <c r="K71" s="9" t="s">
        <v>21</v>
      </c>
    </row>
    <row r="72" spans="1:11">
      <c r="A72" s="9">
        <v>67</v>
      </c>
      <c r="B72" s="9" t="s">
        <v>167</v>
      </c>
      <c r="C72" s="9">
        <v>7000000067</v>
      </c>
      <c r="D72" s="10" t="s">
        <v>168</v>
      </c>
      <c r="E72" s="9" t="s">
        <v>35</v>
      </c>
      <c r="F72" s="9" t="s">
        <v>36</v>
      </c>
      <c r="G72" s="9" t="s">
        <v>17</v>
      </c>
      <c r="H72" s="9" t="s">
        <v>18</v>
      </c>
      <c r="I72" s="9" t="s">
        <v>37</v>
      </c>
      <c r="J72" s="9" t="s">
        <v>53</v>
      </c>
      <c r="K72" s="9" t="s">
        <v>21</v>
      </c>
    </row>
    <row r="73" spans="1:11">
      <c r="A73" s="9">
        <v>68</v>
      </c>
      <c r="B73" s="9" t="s">
        <v>169</v>
      </c>
      <c r="C73" s="9">
        <v>7000000068</v>
      </c>
      <c r="D73" s="10" t="s">
        <v>170</v>
      </c>
      <c r="E73" s="9" t="s">
        <v>35</v>
      </c>
      <c r="F73" s="9" t="s">
        <v>36</v>
      </c>
      <c r="G73" s="9" t="s">
        <v>17</v>
      </c>
      <c r="H73" s="9" t="s">
        <v>18</v>
      </c>
      <c r="I73" s="9" t="s">
        <v>37</v>
      </c>
      <c r="J73" s="9" t="s">
        <v>53</v>
      </c>
      <c r="K73" s="9" t="s">
        <v>21</v>
      </c>
    </row>
    <row r="74" spans="1:11">
      <c r="A74" s="9">
        <v>69</v>
      </c>
      <c r="B74" s="9" t="s">
        <v>171</v>
      </c>
      <c r="C74" s="9">
        <v>7000000069</v>
      </c>
      <c r="D74" s="10" t="s">
        <v>172</v>
      </c>
      <c r="E74" s="9" t="s">
        <v>15</v>
      </c>
      <c r="F74" s="9" t="s">
        <v>36</v>
      </c>
      <c r="G74" s="9" t="s">
        <v>17</v>
      </c>
      <c r="H74" s="9" t="s">
        <v>18</v>
      </c>
      <c r="I74" s="9" t="s">
        <v>37</v>
      </c>
      <c r="J74" s="9" t="s">
        <v>20</v>
      </c>
      <c r="K74" s="9" t="s">
        <v>21</v>
      </c>
    </row>
    <row r="75" spans="1:11">
      <c r="A75" s="9">
        <v>70</v>
      </c>
      <c r="B75" s="9" t="s">
        <v>173</v>
      </c>
      <c r="C75" s="9">
        <v>7000000070</v>
      </c>
      <c r="D75" s="10" t="s">
        <v>174</v>
      </c>
      <c r="E75" s="9" t="s">
        <v>27</v>
      </c>
      <c r="F75" s="9" t="s">
        <v>28</v>
      </c>
      <c r="G75" s="9" t="s">
        <v>17</v>
      </c>
      <c r="H75" s="9" t="s">
        <v>18</v>
      </c>
      <c r="I75" s="9" t="s">
        <v>29</v>
      </c>
      <c r="J75" s="9" t="s">
        <v>53</v>
      </c>
      <c r="K75" s="9" t="s">
        <v>21</v>
      </c>
    </row>
    <row r="76" spans="1:11">
      <c r="A76" s="9">
        <v>71</v>
      </c>
      <c r="B76" s="9" t="s">
        <v>175</v>
      </c>
      <c r="C76" s="9">
        <v>7000000071</v>
      </c>
      <c r="D76" s="10" t="s">
        <v>176</v>
      </c>
      <c r="E76" s="9" t="s">
        <v>32</v>
      </c>
      <c r="F76" s="9" t="s">
        <v>28</v>
      </c>
      <c r="G76" s="9" t="s">
        <v>17</v>
      </c>
      <c r="H76" s="9" t="s">
        <v>18</v>
      </c>
      <c r="I76" s="9" t="s">
        <v>29</v>
      </c>
      <c r="J76" s="9" t="s">
        <v>53</v>
      </c>
      <c r="K76" s="9" t="s">
        <v>21</v>
      </c>
    </row>
    <row r="77" spans="1:11">
      <c r="A77" s="9">
        <v>72</v>
      </c>
      <c r="B77" s="9" t="s">
        <v>177</v>
      </c>
      <c r="C77" s="9">
        <v>7000000072</v>
      </c>
      <c r="D77" s="10" t="s">
        <v>178</v>
      </c>
      <c r="E77" s="9" t="s">
        <v>52</v>
      </c>
      <c r="F77" s="9" t="s">
        <v>28</v>
      </c>
      <c r="G77" s="9" t="s">
        <v>17</v>
      </c>
      <c r="H77" s="9" t="s">
        <v>18</v>
      </c>
      <c r="I77" s="9" t="s">
        <v>29</v>
      </c>
      <c r="J77" s="9" t="s">
        <v>53</v>
      </c>
      <c r="K77" s="9" t="s">
        <v>21</v>
      </c>
    </row>
    <row r="78" spans="1:11">
      <c r="A78" s="9">
        <v>73</v>
      </c>
      <c r="B78" s="9" t="s">
        <v>179</v>
      </c>
      <c r="C78" s="9">
        <v>7000000073</v>
      </c>
      <c r="D78" s="10" t="s">
        <v>180</v>
      </c>
      <c r="E78" s="9" t="s">
        <v>35</v>
      </c>
      <c r="F78" s="9" t="s">
        <v>36</v>
      </c>
      <c r="G78" s="9" t="s">
        <v>17</v>
      </c>
      <c r="H78" s="9" t="s">
        <v>18</v>
      </c>
      <c r="I78" s="9" t="s">
        <v>37</v>
      </c>
      <c r="J78" s="9" t="s">
        <v>53</v>
      </c>
      <c r="K78" s="9" t="s">
        <v>21</v>
      </c>
    </row>
    <row r="79" spans="1:11">
      <c r="A79" s="9">
        <v>74</v>
      </c>
      <c r="B79" s="9" t="s">
        <v>181</v>
      </c>
      <c r="C79" s="9">
        <v>7000000074</v>
      </c>
      <c r="D79" s="10" t="s">
        <v>182</v>
      </c>
      <c r="E79" s="9" t="s">
        <v>35</v>
      </c>
      <c r="F79" s="9" t="s">
        <v>36</v>
      </c>
      <c r="G79" s="9" t="s">
        <v>17</v>
      </c>
      <c r="H79" s="9" t="s">
        <v>18</v>
      </c>
      <c r="I79" s="9" t="s">
        <v>37</v>
      </c>
      <c r="J79" s="9" t="s">
        <v>53</v>
      </c>
      <c r="K79" s="9" t="s">
        <v>21</v>
      </c>
    </row>
    <row r="80" spans="1:11">
      <c r="A80" s="9">
        <v>75</v>
      </c>
      <c r="B80" s="9" t="s">
        <v>183</v>
      </c>
      <c r="C80" s="9">
        <v>7000000075</v>
      </c>
      <c r="D80" s="10" t="s">
        <v>184</v>
      </c>
      <c r="E80" s="9" t="s">
        <v>40</v>
      </c>
      <c r="F80" s="9" t="s">
        <v>28</v>
      </c>
      <c r="G80" s="9" t="s">
        <v>17</v>
      </c>
      <c r="H80" s="9" t="s">
        <v>18</v>
      </c>
      <c r="I80" s="9" t="s">
        <v>29</v>
      </c>
      <c r="J80" s="9" t="s">
        <v>53</v>
      </c>
      <c r="K80" s="9" t="s">
        <v>21</v>
      </c>
    </row>
    <row r="81" spans="1:11">
      <c r="A81" s="9">
        <v>76</v>
      </c>
      <c r="B81" s="9" t="s">
        <v>185</v>
      </c>
      <c r="C81" s="9">
        <v>7000000076</v>
      </c>
      <c r="D81" s="10" t="s">
        <v>186</v>
      </c>
      <c r="E81" s="9" t="s">
        <v>40</v>
      </c>
      <c r="F81" s="9" t="s">
        <v>28</v>
      </c>
      <c r="G81" s="9" t="s">
        <v>17</v>
      </c>
      <c r="H81" s="9" t="s">
        <v>18</v>
      </c>
      <c r="I81" s="9" t="s">
        <v>29</v>
      </c>
      <c r="J81" s="9" t="s">
        <v>53</v>
      </c>
      <c r="K81" s="9" t="s">
        <v>21</v>
      </c>
    </row>
    <row r="82" spans="1:11">
      <c r="A82" s="9">
        <v>77</v>
      </c>
      <c r="B82" s="9" t="s">
        <v>187</v>
      </c>
      <c r="C82" s="9">
        <v>7000000077</v>
      </c>
      <c r="D82" s="10" t="s">
        <v>188</v>
      </c>
      <c r="E82" s="9" t="s">
        <v>32</v>
      </c>
      <c r="F82" s="9" t="s">
        <v>28</v>
      </c>
      <c r="G82" s="9" t="s">
        <v>17</v>
      </c>
      <c r="H82" s="9" t="s">
        <v>18</v>
      </c>
      <c r="I82" s="9" t="s">
        <v>29</v>
      </c>
      <c r="J82" s="9" t="s">
        <v>53</v>
      </c>
      <c r="K82" s="9" t="s">
        <v>21</v>
      </c>
    </row>
    <row r="83" spans="1:11">
      <c r="A83" s="9">
        <v>78</v>
      </c>
      <c r="B83" s="9" t="s">
        <v>189</v>
      </c>
      <c r="C83" s="9">
        <v>7000000078</v>
      </c>
      <c r="D83" s="10" t="s">
        <v>190</v>
      </c>
      <c r="E83" s="9" t="s">
        <v>43</v>
      </c>
      <c r="F83" s="9" t="s">
        <v>28</v>
      </c>
      <c r="G83" s="9" t="s">
        <v>17</v>
      </c>
      <c r="H83" s="9" t="s">
        <v>18</v>
      </c>
      <c r="I83" s="9" t="s">
        <v>29</v>
      </c>
      <c r="J83" s="9" t="s">
        <v>53</v>
      </c>
      <c r="K83" s="9" t="s">
        <v>21</v>
      </c>
    </row>
    <row r="84" spans="1:11">
      <c r="A84" s="9">
        <v>79</v>
      </c>
      <c r="B84" s="9" t="s">
        <v>191</v>
      </c>
      <c r="C84" s="9">
        <v>7000000079</v>
      </c>
      <c r="D84" s="10" t="s">
        <v>192</v>
      </c>
      <c r="E84" s="9" t="s">
        <v>43</v>
      </c>
      <c r="F84" s="9" t="s">
        <v>28</v>
      </c>
      <c r="G84" s="9" t="s">
        <v>17</v>
      </c>
      <c r="H84" s="9" t="s">
        <v>18</v>
      </c>
      <c r="I84" s="9" t="s">
        <v>29</v>
      </c>
      <c r="J84" s="9" t="s">
        <v>53</v>
      </c>
      <c r="K84" s="9" t="s">
        <v>21</v>
      </c>
    </row>
    <row r="85" spans="1:11">
      <c r="A85" s="9">
        <v>80</v>
      </c>
      <c r="B85" s="9" t="s">
        <v>193</v>
      </c>
      <c r="C85" s="9">
        <v>7000000080</v>
      </c>
      <c r="D85" s="10" t="s">
        <v>194</v>
      </c>
      <c r="E85" s="9" t="s">
        <v>46</v>
      </c>
      <c r="F85" s="9" t="s">
        <v>28</v>
      </c>
      <c r="G85" s="9" t="s">
        <v>17</v>
      </c>
      <c r="H85" s="9" t="s">
        <v>18</v>
      </c>
      <c r="I85" s="9" t="s">
        <v>29</v>
      </c>
      <c r="J85" s="9" t="s">
        <v>53</v>
      </c>
      <c r="K85" s="9" t="s">
        <v>21</v>
      </c>
    </row>
    <row r="86" spans="1:11">
      <c r="A86" s="9">
        <v>81</v>
      </c>
      <c r="B86" s="9" t="s">
        <v>195</v>
      </c>
      <c r="C86" s="9">
        <v>7000000081</v>
      </c>
      <c r="D86" s="10" t="s">
        <v>196</v>
      </c>
      <c r="E86" s="9" t="s">
        <v>49</v>
      </c>
      <c r="F86" s="9" t="s">
        <v>28</v>
      </c>
      <c r="G86" s="9" t="s">
        <v>17</v>
      </c>
      <c r="H86" s="9" t="s">
        <v>18</v>
      </c>
      <c r="I86" s="9" t="s">
        <v>29</v>
      </c>
      <c r="J86" s="9" t="s">
        <v>53</v>
      </c>
      <c r="K86" s="9" t="s">
        <v>21</v>
      </c>
    </row>
    <row r="87" spans="1:11">
      <c r="A87" s="9">
        <v>82</v>
      </c>
      <c r="B87" s="9" t="s">
        <v>197</v>
      </c>
      <c r="C87" s="9">
        <v>7000000082</v>
      </c>
      <c r="D87" s="10" t="s">
        <v>198</v>
      </c>
      <c r="E87" s="9" t="s">
        <v>49</v>
      </c>
      <c r="F87" s="9" t="s">
        <v>28</v>
      </c>
      <c r="G87" s="9" t="s">
        <v>17</v>
      </c>
      <c r="H87" s="9" t="s">
        <v>18</v>
      </c>
      <c r="I87" s="9" t="s">
        <v>29</v>
      </c>
      <c r="J87" s="9" t="s">
        <v>53</v>
      </c>
      <c r="K87" s="9" t="s">
        <v>21</v>
      </c>
    </row>
    <row r="88" spans="1:11">
      <c r="A88" s="9">
        <v>83</v>
      </c>
      <c r="B88" s="9" t="s">
        <v>199</v>
      </c>
      <c r="C88" s="9">
        <v>7000000083</v>
      </c>
      <c r="D88" s="10" t="s">
        <v>200</v>
      </c>
      <c r="E88" s="9" t="s">
        <v>46</v>
      </c>
      <c r="F88" s="9" t="s">
        <v>28</v>
      </c>
      <c r="G88" s="9" t="s">
        <v>17</v>
      </c>
      <c r="H88" s="9" t="s">
        <v>18</v>
      </c>
      <c r="I88" s="9" t="s">
        <v>29</v>
      </c>
      <c r="J88" s="9" t="s">
        <v>53</v>
      </c>
      <c r="K88" s="9" t="s">
        <v>21</v>
      </c>
    </row>
    <row r="89" spans="1:11">
      <c r="A89" s="9">
        <v>84</v>
      </c>
      <c r="B89" s="9" t="s">
        <v>201</v>
      </c>
      <c r="C89" s="9">
        <v>7000000084</v>
      </c>
      <c r="D89" s="10" t="s">
        <v>202</v>
      </c>
      <c r="E89" s="9" t="s">
        <v>52</v>
      </c>
      <c r="F89" s="9" t="s">
        <v>28</v>
      </c>
      <c r="G89" s="9" t="s">
        <v>17</v>
      </c>
      <c r="H89" s="9" t="s">
        <v>18</v>
      </c>
      <c r="I89" s="9" t="s">
        <v>29</v>
      </c>
      <c r="J89" s="9" t="s">
        <v>20</v>
      </c>
      <c r="K89" s="9" t="s">
        <v>21</v>
      </c>
    </row>
    <row r="90" spans="1:11">
      <c r="A90" s="9">
        <v>85</v>
      </c>
      <c r="B90" s="9" t="s">
        <v>203</v>
      </c>
      <c r="C90" s="9">
        <v>7000000085</v>
      </c>
      <c r="D90" s="10" t="s">
        <v>204</v>
      </c>
      <c r="E90" s="9" t="s">
        <v>52</v>
      </c>
      <c r="F90" s="9" t="s">
        <v>28</v>
      </c>
      <c r="G90" s="9" t="s">
        <v>17</v>
      </c>
      <c r="H90" s="9" t="s">
        <v>18</v>
      </c>
      <c r="I90" s="9" t="s">
        <v>29</v>
      </c>
      <c r="J90" s="9" t="s">
        <v>53</v>
      </c>
      <c r="K90" s="9" t="s">
        <v>21</v>
      </c>
    </row>
    <row r="91" spans="1:11">
      <c r="A91" s="9">
        <v>86</v>
      </c>
      <c r="B91" s="9" t="s">
        <v>205</v>
      </c>
      <c r="C91" s="9">
        <v>7000000086</v>
      </c>
      <c r="D91" s="10" t="s">
        <v>206</v>
      </c>
      <c r="E91" s="9" t="s">
        <v>43</v>
      </c>
      <c r="F91" s="9" t="s">
        <v>28</v>
      </c>
      <c r="G91" s="9" t="s">
        <v>17</v>
      </c>
      <c r="H91" s="9" t="s">
        <v>18</v>
      </c>
      <c r="I91" s="9" t="s">
        <v>29</v>
      </c>
      <c r="J91" s="9" t="s">
        <v>53</v>
      </c>
      <c r="K91" s="9" t="s">
        <v>21</v>
      </c>
    </row>
    <row r="92" spans="1:11">
      <c r="A92" s="9">
        <v>87</v>
      </c>
      <c r="B92" s="9" t="s">
        <v>207</v>
      </c>
      <c r="C92" s="9">
        <v>7000000087</v>
      </c>
      <c r="D92" s="10" t="s">
        <v>208</v>
      </c>
      <c r="E92" s="9" t="s">
        <v>52</v>
      </c>
      <c r="F92" s="9" t="s">
        <v>28</v>
      </c>
      <c r="G92" s="9" t="s">
        <v>17</v>
      </c>
      <c r="H92" s="9" t="s">
        <v>18</v>
      </c>
      <c r="I92" s="9" t="s">
        <v>29</v>
      </c>
      <c r="J92" s="9" t="s">
        <v>53</v>
      </c>
      <c r="K92" s="9" t="s">
        <v>21</v>
      </c>
    </row>
    <row r="93" spans="1:11">
      <c r="A93" s="9">
        <v>88</v>
      </c>
      <c r="B93" s="9" t="s">
        <v>209</v>
      </c>
      <c r="C93" s="9">
        <v>7000000088</v>
      </c>
      <c r="D93" s="10" t="s">
        <v>210</v>
      </c>
      <c r="E93" s="9" t="s">
        <v>32</v>
      </c>
      <c r="F93" s="9" t="s">
        <v>36</v>
      </c>
      <c r="G93" s="9" t="s">
        <v>17</v>
      </c>
      <c r="H93" s="9" t="s">
        <v>18</v>
      </c>
      <c r="I93" s="9" t="s">
        <v>37</v>
      </c>
      <c r="J93" s="9" t="s">
        <v>20</v>
      </c>
      <c r="K93" s="9" t="s">
        <v>21</v>
      </c>
    </row>
    <row r="94" spans="1:11">
      <c r="A94" s="9">
        <v>89</v>
      </c>
      <c r="B94" s="9" t="s">
        <v>211</v>
      </c>
      <c r="C94" s="9">
        <v>7000000089</v>
      </c>
      <c r="D94" s="10" t="s">
        <v>212</v>
      </c>
      <c r="E94" s="9" t="s">
        <v>84</v>
      </c>
      <c r="F94" s="9" t="s">
        <v>28</v>
      </c>
      <c r="G94" s="9" t="s">
        <v>17</v>
      </c>
      <c r="H94" s="9" t="s">
        <v>18</v>
      </c>
      <c r="I94" s="9" t="s">
        <v>29</v>
      </c>
      <c r="J94" s="9" t="s">
        <v>20</v>
      </c>
      <c r="K94" s="9" t="s">
        <v>21</v>
      </c>
    </row>
    <row r="95" spans="1:11">
      <c r="A95" s="9">
        <v>90</v>
      </c>
      <c r="B95" s="9" t="s">
        <v>213</v>
      </c>
      <c r="C95" s="9">
        <v>7000000090</v>
      </c>
      <c r="D95" s="10" t="s">
        <v>214</v>
      </c>
      <c r="E95" s="9" t="s">
        <v>84</v>
      </c>
      <c r="F95" s="9" t="s">
        <v>28</v>
      </c>
      <c r="G95" s="9" t="s">
        <v>17</v>
      </c>
      <c r="H95" s="9" t="s">
        <v>18</v>
      </c>
      <c r="I95" s="9" t="s">
        <v>29</v>
      </c>
      <c r="J95" s="9" t="s">
        <v>20</v>
      </c>
      <c r="K95" s="9" t="s">
        <v>21</v>
      </c>
    </row>
    <row r="96" spans="1:11">
      <c r="A96" s="9">
        <v>91</v>
      </c>
      <c r="B96" s="9" t="s">
        <v>215</v>
      </c>
      <c r="C96" s="9">
        <v>7000000091</v>
      </c>
      <c r="D96" s="10" t="s">
        <v>216</v>
      </c>
      <c r="E96" s="9" t="s">
        <v>35</v>
      </c>
      <c r="F96" s="9" t="s">
        <v>36</v>
      </c>
      <c r="G96" s="9" t="s">
        <v>17</v>
      </c>
      <c r="H96" s="9" t="s">
        <v>18</v>
      </c>
      <c r="I96" s="9" t="s">
        <v>37</v>
      </c>
      <c r="J96" s="9" t="s">
        <v>53</v>
      </c>
      <c r="K96" s="9" t="s">
        <v>21</v>
      </c>
    </row>
    <row r="97" spans="1:11">
      <c r="A97" s="9">
        <v>92</v>
      </c>
      <c r="B97" s="9" t="s">
        <v>217</v>
      </c>
      <c r="C97" s="9">
        <v>7000000092</v>
      </c>
      <c r="D97" s="10" t="s">
        <v>218</v>
      </c>
      <c r="E97" s="9" t="s">
        <v>84</v>
      </c>
      <c r="F97" s="9" t="s">
        <v>36</v>
      </c>
      <c r="G97" s="9" t="s">
        <v>17</v>
      </c>
      <c r="H97" s="9" t="s">
        <v>18</v>
      </c>
      <c r="I97" s="9" t="s">
        <v>37</v>
      </c>
      <c r="J97" s="9" t="s">
        <v>53</v>
      </c>
      <c r="K97" s="9" t="s">
        <v>21</v>
      </c>
    </row>
    <row r="98" spans="1:11">
      <c r="A98" s="9">
        <v>93</v>
      </c>
      <c r="B98" s="9" t="s">
        <v>219</v>
      </c>
      <c r="C98" s="9">
        <v>7000000093</v>
      </c>
      <c r="D98" s="10" t="s">
        <v>220</v>
      </c>
      <c r="E98" s="9" t="s">
        <v>43</v>
      </c>
      <c r="F98" s="9" t="s">
        <v>36</v>
      </c>
      <c r="G98" s="9" t="s">
        <v>17</v>
      </c>
      <c r="H98" s="9" t="s">
        <v>18</v>
      </c>
      <c r="I98" s="9" t="s">
        <v>37</v>
      </c>
      <c r="J98" s="9" t="s">
        <v>20</v>
      </c>
      <c r="K98" s="9" t="s">
        <v>21</v>
      </c>
    </row>
    <row r="99" spans="1:11">
      <c r="A99" s="9">
        <v>94</v>
      </c>
      <c r="B99" s="9" t="s">
        <v>221</v>
      </c>
      <c r="C99" s="9">
        <v>7000000094</v>
      </c>
      <c r="D99" s="10" t="s">
        <v>222</v>
      </c>
      <c r="E99" s="9" t="s">
        <v>43</v>
      </c>
      <c r="F99" s="9" t="s">
        <v>36</v>
      </c>
      <c r="G99" s="9" t="s">
        <v>17</v>
      </c>
      <c r="H99" s="9" t="s">
        <v>18</v>
      </c>
      <c r="I99" s="9" t="s">
        <v>37</v>
      </c>
      <c r="J99" s="9" t="s">
        <v>20</v>
      </c>
      <c r="K99" s="9" t="s">
        <v>21</v>
      </c>
    </row>
    <row r="100" spans="1:11">
      <c r="A100" s="9">
        <v>95</v>
      </c>
      <c r="B100" s="9" t="s">
        <v>223</v>
      </c>
      <c r="C100" s="9">
        <v>7000000095</v>
      </c>
      <c r="D100" s="10" t="s">
        <v>224</v>
      </c>
      <c r="E100" s="9" t="s">
        <v>32</v>
      </c>
      <c r="F100" s="9" t="s">
        <v>36</v>
      </c>
      <c r="G100" s="9" t="s">
        <v>17</v>
      </c>
      <c r="H100" s="9" t="s">
        <v>18</v>
      </c>
      <c r="I100" s="9" t="s">
        <v>37</v>
      </c>
      <c r="J100" s="9" t="s">
        <v>20</v>
      </c>
      <c r="K100" s="9" t="s">
        <v>21</v>
      </c>
    </row>
    <row r="101" spans="1:11">
      <c r="A101" s="9">
        <v>96</v>
      </c>
      <c r="B101" s="9" t="s">
        <v>225</v>
      </c>
      <c r="C101" s="9">
        <v>7000000096</v>
      </c>
      <c r="D101" s="10" t="s">
        <v>226</v>
      </c>
      <c r="E101" s="9" t="s">
        <v>84</v>
      </c>
      <c r="F101" s="9" t="s">
        <v>227</v>
      </c>
      <c r="G101" s="9" t="s">
        <v>17</v>
      </c>
      <c r="H101" s="9" t="s">
        <v>18</v>
      </c>
      <c r="I101" s="9" t="s">
        <v>228</v>
      </c>
      <c r="J101" s="9" t="s">
        <v>20</v>
      </c>
      <c r="K101" s="9" t="s">
        <v>21</v>
      </c>
    </row>
    <row r="102" spans="1:11">
      <c r="A102" s="9">
        <v>97</v>
      </c>
      <c r="B102" s="9" t="s">
        <v>229</v>
      </c>
      <c r="C102" s="9">
        <v>7000000097</v>
      </c>
      <c r="D102" s="10" t="s">
        <v>230</v>
      </c>
      <c r="E102" s="9" t="s">
        <v>43</v>
      </c>
      <c r="F102" s="9" t="s">
        <v>227</v>
      </c>
      <c r="G102" s="9" t="s">
        <v>17</v>
      </c>
      <c r="H102" s="9" t="s">
        <v>18</v>
      </c>
      <c r="I102" s="9" t="s">
        <v>228</v>
      </c>
      <c r="J102" s="9" t="s">
        <v>20</v>
      </c>
      <c r="K102" s="9" t="s">
        <v>21</v>
      </c>
    </row>
    <row r="103" spans="1:11">
      <c r="A103" s="9">
        <v>98</v>
      </c>
      <c r="B103" s="9" t="s">
        <v>231</v>
      </c>
      <c r="C103" s="9">
        <v>7000000098</v>
      </c>
      <c r="D103" s="10" t="s">
        <v>232</v>
      </c>
      <c r="E103" s="9" t="s">
        <v>27</v>
      </c>
      <c r="F103" s="9" t="s">
        <v>227</v>
      </c>
      <c r="G103" s="9" t="s">
        <v>17</v>
      </c>
      <c r="H103" s="9" t="s">
        <v>18</v>
      </c>
      <c r="I103" s="9" t="s">
        <v>228</v>
      </c>
      <c r="J103" s="9" t="s">
        <v>20</v>
      </c>
      <c r="K103" s="9" t="s">
        <v>21</v>
      </c>
    </row>
    <row r="104" spans="1:11">
      <c r="A104" s="9">
        <v>99</v>
      </c>
      <c r="B104" s="9" t="s">
        <v>233</v>
      </c>
      <c r="C104" s="9">
        <v>7000000099</v>
      </c>
      <c r="D104" s="10" t="s">
        <v>234</v>
      </c>
      <c r="E104" s="9" t="s">
        <v>235</v>
      </c>
      <c r="F104" s="9" t="s">
        <v>227</v>
      </c>
      <c r="G104" s="9" t="s">
        <v>17</v>
      </c>
      <c r="H104" s="9" t="s">
        <v>18</v>
      </c>
      <c r="I104" s="9" t="s">
        <v>236</v>
      </c>
      <c r="J104" s="9" t="s">
        <v>20</v>
      </c>
      <c r="K104" s="9" t="s">
        <v>21</v>
      </c>
    </row>
    <row r="105" spans="1:11">
      <c r="A105" s="9">
        <v>100</v>
      </c>
      <c r="B105" s="9" t="s">
        <v>237</v>
      </c>
      <c r="C105" s="9">
        <v>7000000100</v>
      </c>
      <c r="D105" s="10" t="s">
        <v>238</v>
      </c>
      <c r="E105" s="9" t="s">
        <v>52</v>
      </c>
      <c r="F105" s="9" t="s">
        <v>227</v>
      </c>
      <c r="G105" s="9" t="s">
        <v>17</v>
      </c>
      <c r="H105" s="9" t="s">
        <v>18</v>
      </c>
      <c r="I105" s="9" t="s">
        <v>239</v>
      </c>
      <c r="J105" s="9" t="s">
        <v>20</v>
      </c>
      <c r="K105" s="9" t="s">
        <v>21</v>
      </c>
    </row>
    <row r="106" spans="1:11">
      <c r="A106" s="9">
        <v>101</v>
      </c>
      <c r="B106" s="9" t="s">
        <v>240</v>
      </c>
      <c r="C106" s="9">
        <v>7000000101</v>
      </c>
      <c r="D106" s="10" t="s">
        <v>241</v>
      </c>
      <c r="E106" s="9" t="s">
        <v>52</v>
      </c>
      <c r="F106" s="9" t="s">
        <v>227</v>
      </c>
      <c r="G106" s="9" t="s">
        <v>17</v>
      </c>
      <c r="H106" s="9" t="s">
        <v>18</v>
      </c>
      <c r="I106" s="9" t="s">
        <v>239</v>
      </c>
      <c r="J106" s="9" t="s">
        <v>20</v>
      </c>
      <c r="K106" s="9" t="s">
        <v>21</v>
      </c>
    </row>
    <row r="107" spans="1:11">
      <c r="A107" s="9">
        <v>102</v>
      </c>
      <c r="B107" s="9" t="s">
        <v>242</v>
      </c>
      <c r="C107" s="9">
        <v>7000000102</v>
      </c>
      <c r="D107" s="10" t="s">
        <v>243</v>
      </c>
      <c r="E107" s="9" t="s">
        <v>52</v>
      </c>
      <c r="F107" s="9" t="s">
        <v>227</v>
      </c>
      <c r="G107" s="9" t="s">
        <v>17</v>
      </c>
      <c r="H107" s="9" t="s">
        <v>18</v>
      </c>
      <c r="I107" s="9" t="s">
        <v>19</v>
      </c>
      <c r="J107" s="9" t="s">
        <v>53</v>
      </c>
      <c r="K107" s="9" t="s">
        <v>21</v>
      </c>
    </row>
    <row r="108" spans="1:11">
      <c r="A108" s="9">
        <v>103</v>
      </c>
      <c r="B108" s="9" t="s">
        <v>244</v>
      </c>
      <c r="C108" s="9">
        <v>7000000103</v>
      </c>
      <c r="D108" s="10" t="s">
        <v>245</v>
      </c>
      <c r="E108" s="9" t="s">
        <v>52</v>
      </c>
      <c r="F108" s="9" t="s">
        <v>227</v>
      </c>
      <c r="G108" s="9" t="s">
        <v>17</v>
      </c>
      <c r="H108" s="9" t="s">
        <v>18</v>
      </c>
      <c r="I108" s="9" t="s">
        <v>19</v>
      </c>
      <c r="J108" s="9" t="s">
        <v>20</v>
      </c>
      <c r="K108" s="9" t="s">
        <v>21</v>
      </c>
    </row>
    <row r="109" spans="1:11">
      <c r="A109" s="9">
        <v>104</v>
      </c>
      <c r="B109" s="9" t="s">
        <v>246</v>
      </c>
      <c r="C109" s="9">
        <v>7000000104</v>
      </c>
      <c r="D109" s="10" t="s">
        <v>247</v>
      </c>
      <c r="E109" s="9" t="s">
        <v>52</v>
      </c>
      <c r="F109" s="9" t="s">
        <v>227</v>
      </c>
      <c r="G109" s="9" t="s">
        <v>17</v>
      </c>
      <c r="H109" s="9" t="s">
        <v>18</v>
      </c>
      <c r="I109" s="9" t="s">
        <v>228</v>
      </c>
      <c r="J109" s="9" t="s">
        <v>20</v>
      </c>
      <c r="K109" s="9" t="s">
        <v>21</v>
      </c>
    </row>
    <row r="110" spans="1:11">
      <c r="A110" s="9">
        <v>105</v>
      </c>
      <c r="B110" s="9" t="s">
        <v>248</v>
      </c>
      <c r="C110" s="9">
        <v>7000000105</v>
      </c>
      <c r="D110" s="10" t="s">
        <v>249</v>
      </c>
      <c r="E110" s="9" t="s">
        <v>84</v>
      </c>
      <c r="F110" s="9" t="s">
        <v>227</v>
      </c>
      <c r="G110" s="9" t="s">
        <v>17</v>
      </c>
      <c r="H110" s="9" t="s">
        <v>18</v>
      </c>
      <c r="I110" s="9" t="s">
        <v>29</v>
      </c>
      <c r="J110" s="9" t="s">
        <v>53</v>
      </c>
      <c r="K110" s="9" t="s">
        <v>21</v>
      </c>
    </row>
    <row r="111" spans="1:11">
      <c r="A111" s="9">
        <v>106</v>
      </c>
      <c r="B111" s="9" t="s">
        <v>250</v>
      </c>
      <c r="C111" s="9">
        <v>7000000106</v>
      </c>
      <c r="D111" s="10" t="s">
        <v>251</v>
      </c>
      <c r="E111" s="9" t="s">
        <v>84</v>
      </c>
      <c r="F111" s="9" t="s">
        <v>227</v>
      </c>
      <c r="G111" s="9" t="s">
        <v>17</v>
      </c>
      <c r="H111" s="9" t="s">
        <v>18</v>
      </c>
      <c r="I111" s="9" t="s">
        <v>29</v>
      </c>
      <c r="J111" s="9" t="s">
        <v>20</v>
      </c>
      <c r="K111" s="9" t="s">
        <v>21</v>
      </c>
    </row>
    <row r="112" spans="1:11">
      <c r="A112" s="9">
        <v>107</v>
      </c>
      <c r="B112" s="9" t="s">
        <v>252</v>
      </c>
      <c r="C112" s="9">
        <v>7000000107</v>
      </c>
      <c r="D112" s="10" t="s">
        <v>253</v>
      </c>
      <c r="E112" s="9" t="s">
        <v>84</v>
      </c>
      <c r="F112" s="9" t="s">
        <v>227</v>
      </c>
      <c r="G112" s="9" t="s">
        <v>17</v>
      </c>
      <c r="H112" s="9" t="s">
        <v>18</v>
      </c>
      <c r="I112" s="9" t="s">
        <v>29</v>
      </c>
      <c r="J112" s="9" t="s">
        <v>20</v>
      </c>
      <c r="K112" s="9" t="s">
        <v>21</v>
      </c>
    </row>
    <row r="113" spans="1:11">
      <c r="A113" s="9">
        <v>108</v>
      </c>
      <c r="B113" s="9" t="s">
        <v>254</v>
      </c>
      <c r="C113" s="9">
        <v>7000000108</v>
      </c>
      <c r="D113" s="10" t="s">
        <v>255</v>
      </c>
      <c r="E113" s="9" t="s">
        <v>84</v>
      </c>
      <c r="F113" s="9" t="s">
        <v>227</v>
      </c>
      <c r="G113" s="9" t="s">
        <v>17</v>
      </c>
      <c r="H113" s="9" t="s">
        <v>18</v>
      </c>
      <c r="I113" s="9" t="s">
        <v>29</v>
      </c>
      <c r="J113" s="9" t="s">
        <v>53</v>
      </c>
      <c r="K113" s="9" t="s">
        <v>21</v>
      </c>
    </row>
    <row r="114" spans="1:11">
      <c r="A114" s="9">
        <v>109</v>
      </c>
      <c r="B114" s="9" t="s">
        <v>256</v>
      </c>
      <c r="C114" s="9">
        <v>7000000109</v>
      </c>
      <c r="D114" s="10" t="s">
        <v>257</v>
      </c>
      <c r="E114" s="9" t="s">
        <v>84</v>
      </c>
      <c r="F114" s="9" t="s">
        <v>227</v>
      </c>
      <c r="G114" s="9" t="s">
        <v>17</v>
      </c>
      <c r="H114" s="9" t="s">
        <v>18</v>
      </c>
      <c r="I114" s="9" t="s">
        <v>29</v>
      </c>
      <c r="J114" s="9" t="s">
        <v>20</v>
      </c>
      <c r="K114" s="9" t="s">
        <v>21</v>
      </c>
    </row>
    <row r="115" spans="1:11">
      <c r="A115" s="9">
        <v>110</v>
      </c>
      <c r="B115" s="9" t="s">
        <v>258</v>
      </c>
      <c r="C115" s="9">
        <v>7000000110</v>
      </c>
      <c r="D115" s="10" t="s">
        <v>259</v>
      </c>
      <c r="E115" s="9" t="s">
        <v>84</v>
      </c>
      <c r="F115" s="9" t="s">
        <v>227</v>
      </c>
      <c r="G115" s="9" t="s">
        <v>17</v>
      </c>
      <c r="H115" s="9" t="s">
        <v>18</v>
      </c>
      <c r="I115" s="9" t="s">
        <v>239</v>
      </c>
      <c r="J115" s="9" t="s">
        <v>53</v>
      </c>
      <c r="K115" s="9" t="s">
        <v>21</v>
      </c>
    </row>
    <row r="116" spans="1:11">
      <c r="A116" s="9">
        <v>111</v>
      </c>
      <c r="B116" s="9" t="s">
        <v>260</v>
      </c>
      <c r="C116" s="9">
        <v>7000000111</v>
      </c>
      <c r="D116" s="10" t="s">
        <v>261</v>
      </c>
      <c r="E116" s="9" t="s">
        <v>84</v>
      </c>
      <c r="F116" s="9" t="s">
        <v>227</v>
      </c>
      <c r="G116" s="9" t="s">
        <v>17</v>
      </c>
      <c r="H116" s="9" t="s">
        <v>18</v>
      </c>
      <c r="I116" s="9" t="s">
        <v>239</v>
      </c>
      <c r="J116" s="9" t="s">
        <v>20</v>
      </c>
      <c r="K116" s="9" t="s">
        <v>21</v>
      </c>
    </row>
    <row r="117" spans="1:11">
      <c r="A117" s="9">
        <v>112</v>
      </c>
      <c r="B117" s="9" t="s">
        <v>262</v>
      </c>
      <c r="C117" s="9">
        <v>7000000112</v>
      </c>
      <c r="D117" s="10" t="s">
        <v>263</v>
      </c>
      <c r="E117" s="9" t="s">
        <v>52</v>
      </c>
      <c r="F117" s="9" t="s">
        <v>227</v>
      </c>
      <c r="G117" s="9" t="s">
        <v>17</v>
      </c>
      <c r="H117" s="9" t="s">
        <v>18</v>
      </c>
      <c r="I117" s="9" t="s">
        <v>239</v>
      </c>
      <c r="J117" s="9" t="s">
        <v>20</v>
      </c>
      <c r="K117" s="9" t="s">
        <v>21</v>
      </c>
    </row>
    <row r="118" spans="1:11">
      <c r="A118" s="9">
        <v>113</v>
      </c>
      <c r="B118" s="9" t="s">
        <v>264</v>
      </c>
      <c r="C118" s="9">
        <v>7000000113</v>
      </c>
      <c r="D118" s="10" t="s">
        <v>265</v>
      </c>
      <c r="E118" s="9" t="s">
        <v>35</v>
      </c>
      <c r="F118" s="9" t="s">
        <v>36</v>
      </c>
      <c r="G118" s="9" t="s">
        <v>17</v>
      </c>
      <c r="H118" s="9" t="s">
        <v>18</v>
      </c>
      <c r="I118" s="9" t="s">
        <v>37</v>
      </c>
      <c r="J118" s="9" t="s">
        <v>53</v>
      </c>
      <c r="K118" s="9" t="s">
        <v>21</v>
      </c>
    </row>
    <row r="119" spans="1:11">
      <c r="A119" s="9">
        <v>114</v>
      </c>
      <c r="B119" s="9" t="s">
        <v>266</v>
      </c>
      <c r="C119" s="9">
        <v>7000000114</v>
      </c>
      <c r="D119" s="10" t="s">
        <v>267</v>
      </c>
      <c r="E119" s="9" t="s">
        <v>27</v>
      </c>
      <c r="F119" s="9" t="s">
        <v>268</v>
      </c>
      <c r="G119" s="9" t="s">
        <v>17</v>
      </c>
      <c r="H119" s="9" t="s">
        <v>18</v>
      </c>
      <c r="I119" s="9" t="s">
        <v>236</v>
      </c>
      <c r="J119" s="9" t="s">
        <v>20</v>
      </c>
      <c r="K119" s="9" t="s">
        <v>21</v>
      </c>
    </row>
    <row r="120" spans="1:11">
      <c r="A120" s="9">
        <v>115</v>
      </c>
      <c r="B120" s="9" t="s">
        <v>269</v>
      </c>
      <c r="C120" s="9">
        <v>7000000115</v>
      </c>
      <c r="D120" s="10" t="s">
        <v>270</v>
      </c>
      <c r="E120" s="9" t="s">
        <v>84</v>
      </c>
      <c r="F120" s="9" t="s">
        <v>28</v>
      </c>
      <c r="G120" s="9" t="s">
        <v>17</v>
      </c>
      <c r="H120" s="9" t="s">
        <v>18</v>
      </c>
      <c r="I120" s="9" t="s">
        <v>19</v>
      </c>
      <c r="J120" s="9" t="s">
        <v>20</v>
      </c>
      <c r="K120" s="9" t="s">
        <v>21</v>
      </c>
    </row>
    <row r="121" spans="1:11">
      <c r="A121" s="9">
        <v>116</v>
      </c>
      <c r="B121" s="9" t="s">
        <v>271</v>
      </c>
      <c r="C121" s="9">
        <v>7000000116</v>
      </c>
      <c r="D121" s="10" t="s">
        <v>272</v>
      </c>
      <c r="E121" s="9" t="s">
        <v>15</v>
      </c>
      <c r="F121" s="9" t="s">
        <v>273</v>
      </c>
      <c r="G121" s="9" t="s">
        <v>17</v>
      </c>
      <c r="H121" s="9" t="s">
        <v>18</v>
      </c>
      <c r="I121" s="9" t="s">
        <v>19</v>
      </c>
      <c r="J121" s="9" t="s">
        <v>20</v>
      </c>
      <c r="K121" s="9" t="s">
        <v>21</v>
      </c>
    </row>
    <row r="122" spans="1:11">
      <c r="A122" s="9">
        <v>117</v>
      </c>
      <c r="B122" s="9" t="s">
        <v>274</v>
      </c>
      <c r="C122" s="9">
        <v>7000000117</v>
      </c>
      <c r="D122" s="10" t="s">
        <v>275</v>
      </c>
      <c r="E122" s="9" t="s">
        <v>84</v>
      </c>
      <c r="F122" s="9" t="s">
        <v>273</v>
      </c>
      <c r="G122" s="9" t="s">
        <v>17</v>
      </c>
      <c r="H122" s="9" t="s">
        <v>18</v>
      </c>
      <c r="I122" s="9" t="s">
        <v>19</v>
      </c>
      <c r="J122" s="9" t="s">
        <v>20</v>
      </c>
      <c r="K122" s="9" t="s">
        <v>21</v>
      </c>
    </row>
    <row r="123" spans="1:11">
      <c r="A123" s="9">
        <v>118</v>
      </c>
      <c r="B123" s="9" t="s">
        <v>276</v>
      </c>
      <c r="C123" s="9">
        <v>7000000118</v>
      </c>
      <c r="D123" s="10" t="s">
        <v>277</v>
      </c>
      <c r="E123" s="9" t="s">
        <v>52</v>
      </c>
      <c r="F123" s="9" t="s">
        <v>273</v>
      </c>
      <c r="G123" s="9" t="s">
        <v>17</v>
      </c>
      <c r="H123" s="9" t="s">
        <v>18</v>
      </c>
      <c r="I123" s="9" t="s">
        <v>19</v>
      </c>
      <c r="J123" s="9" t="s">
        <v>20</v>
      </c>
      <c r="K123" s="9" t="s">
        <v>21</v>
      </c>
    </row>
    <row r="124" spans="1:11">
      <c r="A124" s="9">
        <v>119</v>
      </c>
      <c r="B124" s="9" t="s">
        <v>278</v>
      </c>
      <c r="C124" s="9">
        <v>7000000119</v>
      </c>
      <c r="D124" s="10" t="s">
        <v>279</v>
      </c>
      <c r="E124" s="9" t="s">
        <v>43</v>
      </c>
      <c r="F124" s="9" t="s">
        <v>273</v>
      </c>
      <c r="G124" s="9" t="s">
        <v>17</v>
      </c>
      <c r="H124" s="9" t="s">
        <v>18</v>
      </c>
      <c r="I124" s="9" t="s">
        <v>19</v>
      </c>
      <c r="J124" s="9" t="s">
        <v>20</v>
      </c>
      <c r="K124" s="9" t="s">
        <v>21</v>
      </c>
    </row>
    <row r="125" spans="1:11">
      <c r="A125" s="9">
        <v>120</v>
      </c>
      <c r="B125" s="9" t="s">
        <v>280</v>
      </c>
      <c r="C125" s="9">
        <v>7000000120</v>
      </c>
      <c r="D125" s="10" t="s">
        <v>281</v>
      </c>
      <c r="E125" s="9" t="s">
        <v>84</v>
      </c>
      <c r="F125" s="9" t="s">
        <v>273</v>
      </c>
      <c r="G125" s="9" t="s">
        <v>17</v>
      </c>
      <c r="H125" s="9" t="s">
        <v>18</v>
      </c>
      <c r="I125" s="9" t="s">
        <v>19</v>
      </c>
      <c r="J125" s="9" t="s">
        <v>53</v>
      </c>
      <c r="K125" s="9" t="s">
        <v>21</v>
      </c>
    </row>
    <row r="126" spans="1:11">
      <c r="A126" s="9">
        <v>121</v>
      </c>
      <c r="B126" s="9" t="s">
        <v>282</v>
      </c>
      <c r="C126" s="9">
        <v>7000000121</v>
      </c>
      <c r="D126" s="10" t="s">
        <v>283</v>
      </c>
      <c r="E126" s="9" t="s">
        <v>52</v>
      </c>
      <c r="F126" s="9" t="s">
        <v>273</v>
      </c>
      <c r="G126" s="9" t="s">
        <v>17</v>
      </c>
      <c r="H126" s="9" t="s">
        <v>18</v>
      </c>
      <c r="I126" s="9" t="s">
        <v>19</v>
      </c>
      <c r="J126" s="9" t="s">
        <v>53</v>
      </c>
      <c r="K126" s="9" t="s">
        <v>21</v>
      </c>
    </row>
    <row r="127" spans="1:11">
      <c r="A127" s="9">
        <v>122</v>
      </c>
      <c r="B127" s="9" t="s">
        <v>284</v>
      </c>
      <c r="C127" s="9">
        <v>7000000122</v>
      </c>
      <c r="D127" s="10" t="s">
        <v>285</v>
      </c>
      <c r="E127" s="9" t="s">
        <v>43</v>
      </c>
      <c r="F127" s="9" t="s">
        <v>273</v>
      </c>
      <c r="G127" s="9" t="s">
        <v>17</v>
      </c>
      <c r="H127" s="9" t="s">
        <v>18</v>
      </c>
      <c r="I127" s="9" t="s">
        <v>19</v>
      </c>
      <c r="J127" s="9" t="s">
        <v>53</v>
      </c>
      <c r="K127" s="9" t="s">
        <v>21</v>
      </c>
    </row>
    <row r="128" spans="1:11" customFormat="1" ht="28.8" customHeight="1">
      <c r="A128" s="9">
        <v>123</v>
      </c>
      <c r="B128" s="9" t="s">
        <v>286</v>
      </c>
      <c r="C128" s="9">
        <v>7000000123</v>
      </c>
      <c r="D128" s="10" t="s">
        <v>287</v>
      </c>
      <c r="E128" s="9" t="s">
        <v>52</v>
      </c>
      <c r="F128" s="9" t="s">
        <v>273</v>
      </c>
      <c r="G128" s="9" t="s">
        <v>17</v>
      </c>
      <c r="H128" s="9" t="s">
        <v>18</v>
      </c>
      <c r="I128" s="9" t="s">
        <v>19</v>
      </c>
      <c r="J128" s="9" t="s">
        <v>20</v>
      </c>
      <c r="K128" s="9" t="s">
        <v>21</v>
      </c>
    </row>
    <row r="129" spans="1:11" customFormat="1" ht="28.8" customHeight="1">
      <c r="A129" s="9">
        <v>124</v>
      </c>
      <c r="B129" s="9" t="s">
        <v>288</v>
      </c>
      <c r="C129" s="9">
        <v>7000000124</v>
      </c>
      <c r="D129" s="10" t="s">
        <v>289</v>
      </c>
      <c r="E129" s="9" t="s">
        <v>43</v>
      </c>
      <c r="F129" s="9" t="s">
        <v>273</v>
      </c>
      <c r="G129" s="9" t="s">
        <v>17</v>
      </c>
      <c r="H129" s="9" t="s">
        <v>18</v>
      </c>
      <c r="I129" s="9" t="s">
        <v>19</v>
      </c>
      <c r="J129" s="9" t="s">
        <v>20</v>
      </c>
      <c r="K129" s="9" t="s">
        <v>21</v>
      </c>
    </row>
    <row r="130" spans="1:11">
      <c r="A130" s="9">
        <v>125</v>
      </c>
      <c r="B130" s="9" t="s">
        <v>290</v>
      </c>
      <c r="C130" s="9">
        <v>7000000125</v>
      </c>
      <c r="D130" s="10" t="s">
        <v>291</v>
      </c>
      <c r="E130" s="9" t="s">
        <v>43</v>
      </c>
      <c r="F130" s="9" t="s">
        <v>273</v>
      </c>
      <c r="G130" s="9" t="s">
        <v>17</v>
      </c>
      <c r="H130" s="9" t="s">
        <v>18</v>
      </c>
      <c r="I130" s="9" t="s">
        <v>19</v>
      </c>
      <c r="J130" s="9" t="s">
        <v>20</v>
      </c>
      <c r="K130" s="9" t="s">
        <v>21</v>
      </c>
    </row>
    <row r="131" spans="1:11">
      <c r="A131" s="9">
        <v>126</v>
      </c>
      <c r="B131" s="9" t="s">
        <v>292</v>
      </c>
      <c r="C131" s="9">
        <v>7000000126</v>
      </c>
      <c r="D131" s="10" t="s">
        <v>293</v>
      </c>
      <c r="E131" s="9" t="s">
        <v>15</v>
      </c>
      <c r="F131" s="9" t="s">
        <v>268</v>
      </c>
      <c r="G131" s="9" t="s">
        <v>17</v>
      </c>
      <c r="H131" s="9" t="s">
        <v>18</v>
      </c>
      <c r="I131" s="9" t="s">
        <v>29</v>
      </c>
      <c r="J131" s="9" t="s">
        <v>20</v>
      </c>
      <c r="K131" s="9" t="s">
        <v>21</v>
      </c>
    </row>
    <row r="132" spans="1:11">
      <c r="A132" s="9">
        <v>127</v>
      </c>
      <c r="B132" s="9" t="s">
        <v>294</v>
      </c>
      <c r="C132" s="9">
        <v>7000000127</v>
      </c>
      <c r="D132" s="10" t="s">
        <v>295</v>
      </c>
      <c r="E132" s="9" t="s">
        <v>84</v>
      </c>
      <c r="F132" s="9" t="s">
        <v>28</v>
      </c>
      <c r="G132" s="9" t="s">
        <v>17</v>
      </c>
      <c r="H132" s="9" t="s">
        <v>18</v>
      </c>
      <c r="I132" s="9" t="s">
        <v>29</v>
      </c>
      <c r="J132" s="9" t="s">
        <v>20</v>
      </c>
      <c r="K132" s="9" t="s">
        <v>21</v>
      </c>
    </row>
    <row r="133" spans="1:11">
      <c r="A133" s="9">
        <v>128</v>
      </c>
      <c r="B133" s="9" t="s">
        <v>296</v>
      </c>
      <c r="C133" s="9">
        <v>7000000128</v>
      </c>
      <c r="D133" s="10" t="s">
        <v>297</v>
      </c>
      <c r="E133" s="9" t="s">
        <v>27</v>
      </c>
      <c r="F133" s="9" t="s">
        <v>298</v>
      </c>
      <c r="G133" s="9" t="s">
        <v>17</v>
      </c>
      <c r="H133" s="9" t="s">
        <v>18</v>
      </c>
      <c r="I133" s="9" t="s">
        <v>37</v>
      </c>
      <c r="J133" s="9" t="s">
        <v>20</v>
      </c>
      <c r="K133" s="9" t="s">
        <v>21</v>
      </c>
    </row>
    <row r="134" spans="1:11">
      <c r="A134" s="9">
        <v>129</v>
      </c>
      <c r="B134" s="9" t="s">
        <v>299</v>
      </c>
      <c r="C134" s="9">
        <v>7000000129</v>
      </c>
      <c r="D134" s="10" t="s">
        <v>300</v>
      </c>
      <c r="E134" s="9" t="s">
        <v>27</v>
      </c>
      <c r="F134" s="9" t="s">
        <v>298</v>
      </c>
      <c r="G134" s="9" t="s">
        <v>17</v>
      </c>
      <c r="H134" s="9" t="s">
        <v>18</v>
      </c>
      <c r="I134" s="9" t="s">
        <v>37</v>
      </c>
      <c r="J134" s="9" t="s">
        <v>53</v>
      </c>
      <c r="K134" s="9" t="s">
        <v>21</v>
      </c>
    </row>
    <row r="135" spans="1:11">
      <c r="A135" s="9">
        <v>130</v>
      </c>
      <c r="B135" s="9" t="s">
        <v>301</v>
      </c>
      <c r="C135" s="9">
        <v>7000000130</v>
      </c>
      <c r="D135" s="10" t="s">
        <v>302</v>
      </c>
      <c r="E135" s="9" t="s">
        <v>15</v>
      </c>
      <c r="F135" s="9" t="s">
        <v>303</v>
      </c>
      <c r="G135" s="9" t="s">
        <v>17</v>
      </c>
      <c r="H135" s="9" t="s">
        <v>18</v>
      </c>
      <c r="I135" s="9" t="s">
        <v>239</v>
      </c>
      <c r="J135" s="9" t="s">
        <v>20</v>
      </c>
      <c r="K135" s="9" t="s">
        <v>21</v>
      </c>
    </row>
    <row r="136" spans="1:11">
      <c r="A136" s="9">
        <v>131</v>
      </c>
      <c r="B136" s="9" t="s">
        <v>304</v>
      </c>
      <c r="C136" s="9">
        <v>7000000131</v>
      </c>
      <c r="D136" s="10" t="s">
        <v>305</v>
      </c>
      <c r="E136" s="9" t="s">
        <v>27</v>
      </c>
      <c r="F136" s="9" t="s">
        <v>303</v>
      </c>
      <c r="G136" s="9" t="s">
        <v>17</v>
      </c>
      <c r="H136" s="9" t="s">
        <v>18</v>
      </c>
      <c r="I136" s="9" t="s">
        <v>29</v>
      </c>
      <c r="J136" s="9" t="s">
        <v>20</v>
      </c>
      <c r="K136" s="9" t="s">
        <v>21</v>
      </c>
    </row>
    <row r="137" spans="1:11">
      <c r="A137" s="9">
        <v>132</v>
      </c>
      <c r="B137" s="9" t="s">
        <v>306</v>
      </c>
      <c r="C137" s="9">
        <v>7000000132</v>
      </c>
      <c r="D137" s="10" t="s">
        <v>307</v>
      </c>
      <c r="E137" s="9" t="s">
        <v>27</v>
      </c>
      <c r="F137" s="9" t="s">
        <v>303</v>
      </c>
      <c r="G137" s="9" t="s">
        <v>17</v>
      </c>
      <c r="H137" s="9" t="s">
        <v>18</v>
      </c>
      <c r="I137" s="9" t="s">
        <v>29</v>
      </c>
      <c r="J137" s="9" t="s">
        <v>53</v>
      </c>
      <c r="K137" s="9" t="s">
        <v>21</v>
      </c>
    </row>
    <row r="138" spans="1:11">
      <c r="A138" s="9">
        <v>133</v>
      </c>
      <c r="B138" s="9" t="s">
        <v>308</v>
      </c>
      <c r="C138" s="9">
        <v>7000000133</v>
      </c>
      <c r="D138" s="10" t="s">
        <v>309</v>
      </c>
      <c r="E138" s="9" t="s">
        <v>52</v>
      </c>
      <c r="F138" s="9" t="s">
        <v>303</v>
      </c>
      <c r="G138" s="9" t="s">
        <v>17</v>
      </c>
      <c r="H138" s="9" t="s">
        <v>18</v>
      </c>
      <c r="I138" s="9" t="s">
        <v>239</v>
      </c>
      <c r="J138" s="9" t="s">
        <v>20</v>
      </c>
      <c r="K138" s="9" t="s">
        <v>21</v>
      </c>
    </row>
    <row r="139" spans="1:11">
      <c r="A139" s="9">
        <v>134</v>
      </c>
      <c r="B139" s="9" t="s">
        <v>310</v>
      </c>
      <c r="C139" s="9">
        <v>7000000134</v>
      </c>
      <c r="D139" s="10" t="s">
        <v>311</v>
      </c>
      <c r="E139" s="9" t="s">
        <v>52</v>
      </c>
      <c r="F139" s="9" t="s">
        <v>303</v>
      </c>
      <c r="G139" s="9" t="s">
        <v>17</v>
      </c>
      <c r="H139" s="9" t="s">
        <v>18</v>
      </c>
      <c r="I139" s="9" t="s">
        <v>239</v>
      </c>
      <c r="J139" s="9" t="s">
        <v>20</v>
      </c>
      <c r="K139" s="9" t="s">
        <v>21</v>
      </c>
    </row>
    <row r="140" spans="1:11">
      <c r="A140" s="9">
        <v>135</v>
      </c>
      <c r="B140" s="9" t="s">
        <v>312</v>
      </c>
      <c r="C140" s="9">
        <v>7000000135</v>
      </c>
      <c r="D140" s="10" t="s">
        <v>313</v>
      </c>
      <c r="E140" s="9" t="s">
        <v>49</v>
      </c>
      <c r="F140" s="9" t="s">
        <v>303</v>
      </c>
      <c r="G140" s="9" t="s">
        <v>17</v>
      </c>
      <c r="H140" s="9" t="s">
        <v>18</v>
      </c>
      <c r="I140" s="9" t="s">
        <v>236</v>
      </c>
      <c r="J140" s="9" t="s">
        <v>20</v>
      </c>
      <c r="K140" s="9" t="s">
        <v>21</v>
      </c>
    </row>
    <row r="141" spans="1:11">
      <c r="A141" s="9">
        <v>136</v>
      </c>
      <c r="B141" s="9" t="s">
        <v>314</v>
      </c>
      <c r="C141" s="9">
        <v>7000000136</v>
      </c>
      <c r="D141" s="10" t="s">
        <v>315</v>
      </c>
      <c r="E141" s="9" t="s">
        <v>49</v>
      </c>
      <c r="F141" s="9" t="s">
        <v>303</v>
      </c>
      <c r="G141" s="9" t="s">
        <v>17</v>
      </c>
      <c r="H141" s="9" t="s">
        <v>18</v>
      </c>
      <c r="I141" s="9" t="s">
        <v>236</v>
      </c>
      <c r="J141" s="9" t="s">
        <v>20</v>
      </c>
      <c r="K141" s="9" t="s">
        <v>21</v>
      </c>
    </row>
    <row r="142" spans="1:11">
      <c r="A142" s="9">
        <v>137</v>
      </c>
      <c r="B142" s="9" t="s">
        <v>316</v>
      </c>
      <c r="C142" s="9">
        <v>7000000137</v>
      </c>
      <c r="D142" s="10" t="s">
        <v>317</v>
      </c>
      <c r="E142" s="9" t="s">
        <v>49</v>
      </c>
      <c r="F142" s="9" t="s">
        <v>303</v>
      </c>
      <c r="G142" s="9" t="s">
        <v>17</v>
      </c>
      <c r="H142" s="9" t="s">
        <v>18</v>
      </c>
      <c r="I142" s="9" t="s">
        <v>236</v>
      </c>
      <c r="J142" s="9" t="s">
        <v>53</v>
      </c>
      <c r="K142" s="9" t="s">
        <v>21</v>
      </c>
    </row>
    <row r="143" spans="1:11">
      <c r="A143" s="9">
        <v>138</v>
      </c>
      <c r="B143" s="9" t="s">
        <v>318</v>
      </c>
      <c r="C143" s="9">
        <v>7000000138</v>
      </c>
      <c r="D143" s="10" t="s">
        <v>319</v>
      </c>
      <c r="E143" s="9" t="s">
        <v>52</v>
      </c>
      <c r="F143" s="9" t="s">
        <v>303</v>
      </c>
      <c r="G143" s="9" t="s">
        <v>17</v>
      </c>
      <c r="H143" s="9" t="s">
        <v>18</v>
      </c>
      <c r="I143" s="9" t="s">
        <v>239</v>
      </c>
      <c r="J143" s="9" t="s">
        <v>53</v>
      </c>
      <c r="K143" s="9" t="s">
        <v>21</v>
      </c>
    </row>
    <row r="144" spans="1:11">
      <c r="A144" s="9">
        <v>139</v>
      </c>
      <c r="B144" s="9" t="s">
        <v>320</v>
      </c>
      <c r="C144" s="9">
        <v>7000000139</v>
      </c>
      <c r="D144" s="10" t="s">
        <v>321</v>
      </c>
      <c r="E144" s="9" t="s">
        <v>40</v>
      </c>
      <c r="F144" s="9" t="s">
        <v>303</v>
      </c>
      <c r="G144" s="9" t="s">
        <v>17</v>
      </c>
      <c r="H144" s="9" t="s">
        <v>18</v>
      </c>
      <c r="I144" s="9" t="s">
        <v>236</v>
      </c>
      <c r="J144" s="9" t="s">
        <v>20</v>
      </c>
      <c r="K144" s="9" t="s">
        <v>21</v>
      </c>
    </row>
    <row r="145" spans="1:11">
      <c r="A145" s="9">
        <v>140</v>
      </c>
      <c r="B145" s="9" t="s">
        <v>322</v>
      </c>
      <c r="C145" s="9">
        <v>7000000140</v>
      </c>
      <c r="D145" s="10" t="s">
        <v>323</v>
      </c>
      <c r="E145" s="9" t="s">
        <v>40</v>
      </c>
      <c r="F145" s="9" t="s">
        <v>303</v>
      </c>
      <c r="G145" s="9" t="s">
        <v>17</v>
      </c>
      <c r="H145" s="9" t="s">
        <v>18</v>
      </c>
      <c r="I145" s="9" t="s">
        <v>236</v>
      </c>
      <c r="J145" s="9" t="s">
        <v>20</v>
      </c>
      <c r="K145" s="9" t="s">
        <v>21</v>
      </c>
    </row>
    <row r="146" spans="1:11">
      <c r="A146" s="9">
        <v>141</v>
      </c>
      <c r="B146" s="9" t="s">
        <v>324</v>
      </c>
      <c r="C146" s="9">
        <v>7000000141</v>
      </c>
      <c r="D146" s="10" t="s">
        <v>325</v>
      </c>
      <c r="E146" s="9" t="s">
        <v>40</v>
      </c>
      <c r="F146" s="9" t="s">
        <v>303</v>
      </c>
      <c r="G146" s="9" t="s">
        <v>17</v>
      </c>
      <c r="H146" s="9" t="s">
        <v>18</v>
      </c>
      <c r="I146" s="9" t="s">
        <v>236</v>
      </c>
      <c r="J146" s="9" t="s">
        <v>20</v>
      </c>
      <c r="K146" s="9" t="s">
        <v>21</v>
      </c>
    </row>
    <row r="147" spans="1:11">
      <c r="A147" s="9">
        <v>142</v>
      </c>
      <c r="B147" s="9" t="s">
        <v>326</v>
      </c>
      <c r="C147" s="9">
        <v>7000000142</v>
      </c>
      <c r="D147" s="10" t="s">
        <v>327</v>
      </c>
      <c r="E147" s="9" t="s">
        <v>40</v>
      </c>
      <c r="F147" s="9" t="s">
        <v>303</v>
      </c>
      <c r="G147" s="9" t="s">
        <v>17</v>
      </c>
      <c r="H147" s="9" t="s">
        <v>18</v>
      </c>
      <c r="I147" s="9" t="s">
        <v>236</v>
      </c>
      <c r="J147" s="9" t="s">
        <v>20</v>
      </c>
      <c r="K147" s="9" t="s">
        <v>21</v>
      </c>
    </row>
    <row r="148" spans="1:11">
      <c r="A148" s="9">
        <v>143</v>
      </c>
      <c r="B148" s="9" t="s">
        <v>328</v>
      </c>
      <c r="C148" s="9">
        <v>7000000143</v>
      </c>
      <c r="D148" s="10" t="s">
        <v>329</v>
      </c>
      <c r="E148" s="9" t="s">
        <v>40</v>
      </c>
      <c r="F148" s="9" t="s">
        <v>303</v>
      </c>
      <c r="G148" s="9" t="s">
        <v>17</v>
      </c>
      <c r="H148" s="9" t="s">
        <v>18</v>
      </c>
      <c r="I148" s="9" t="s">
        <v>236</v>
      </c>
      <c r="J148" s="9" t="s">
        <v>53</v>
      </c>
      <c r="K148" s="9" t="s">
        <v>21</v>
      </c>
    </row>
    <row r="149" spans="1:11">
      <c r="A149" s="9">
        <v>144</v>
      </c>
      <c r="B149" s="9" t="s">
        <v>330</v>
      </c>
      <c r="C149" s="9">
        <v>7000000144</v>
      </c>
      <c r="D149" s="10" t="s">
        <v>331</v>
      </c>
      <c r="E149" s="9" t="s">
        <v>40</v>
      </c>
      <c r="F149" s="9" t="s">
        <v>303</v>
      </c>
      <c r="G149" s="9" t="s">
        <v>17</v>
      </c>
      <c r="H149" s="9" t="s">
        <v>18</v>
      </c>
      <c r="I149" s="9" t="s">
        <v>236</v>
      </c>
      <c r="J149" s="9" t="s">
        <v>53</v>
      </c>
      <c r="K149" s="9" t="s">
        <v>21</v>
      </c>
    </row>
    <row r="150" spans="1:11">
      <c r="A150" s="9">
        <v>145</v>
      </c>
      <c r="B150" s="9" t="s">
        <v>332</v>
      </c>
      <c r="C150" s="9">
        <v>7000000145</v>
      </c>
      <c r="D150" s="10" t="s">
        <v>333</v>
      </c>
      <c r="E150" s="9" t="s">
        <v>32</v>
      </c>
      <c r="F150" s="9" t="s">
        <v>303</v>
      </c>
      <c r="G150" s="9" t="s">
        <v>17</v>
      </c>
      <c r="H150" s="9" t="s">
        <v>18</v>
      </c>
      <c r="I150" s="9" t="s">
        <v>236</v>
      </c>
      <c r="J150" s="9" t="s">
        <v>20</v>
      </c>
      <c r="K150" s="9" t="s">
        <v>21</v>
      </c>
    </row>
    <row r="151" spans="1:11">
      <c r="A151" s="9">
        <v>146</v>
      </c>
      <c r="B151" s="9" t="s">
        <v>334</v>
      </c>
      <c r="C151" s="9">
        <v>7000000146</v>
      </c>
      <c r="D151" s="10" t="s">
        <v>335</v>
      </c>
      <c r="E151" s="9" t="s">
        <v>32</v>
      </c>
      <c r="F151" s="9" t="s">
        <v>303</v>
      </c>
      <c r="G151" s="9" t="s">
        <v>17</v>
      </c>
      <c r="H151" s="9" t="s">
        <v>18</v>
      </c>
      <c r="I151" s="9" t="s">
        <v>236</v>
      </c>
      <c r="J151" s="9" t="s">
        <v>20</v>
      </c>
      <c r="K151" s="9" t="s">
        <v>21</v>
      </c>
    </row>
    <row r="152" spans="1:11">
      <c r="A152" s="9">
        <v>147</v>
      </c>
      <c r="B152" s="9" t="s">
        <v>336</v>
      </c>
      <c r="C152" s="9">
        <v>7000000147</v>
      </c>
      <c r="D152" s="10" t="s">
        <v>337</v>
      </c>
      <c r="E152" s="9" t="s">
        <v>84</v>
      </c>
      <c r="F152" s="9" t="s">
        <v>303</v>
      </c>
      <c r="G152" s="9" t="s">
        <v>17</v>
      </c>
      <c r="H152" s="9" t="s">
        <v>18</v>
      </c>
      <c r="I152" s="9" t="s">
        <v>239</v>
      </c>
      <c r="J152" s="9" t="s">
        <v>20</v>
      </c>
      <c r="K152" s="9" t="s">
        <v>21</v>
      </c>
    </row>
    <row r="153" spans="1:11">
      <c r="A153" s="9">
        <v>148</v>
      </c>
      <c r="B153" s="9" t="s">
        <v>338</v>
      </c>
      <c r="C153" s="9">
        <v>7000000148</v>
      </c>
      <c r="D153" s="10" t="s">
        <v>339</v>
      </c>
      <c r="E153" s="9" t="s">
        <v>84</v>
      </c>
      <c r="F153" s="9" t="s">
        <v>303</v>
      </c>
      <c r="G153" s="9" t="s">
        <v>17</v>
      </c>
      <c r="H153" s="9" t="s">
        <v>18</v>
      </c>
      <c r="I153" s="9" t="s">
        <v>239</v>
      </c>
      <c r="J153" s="9" t="s">
        <v>20</v>
      </c>
      <c r="K153" s="9" t="s">
        <v>21</v>
      </c>
    </row>
    <row r="154" spans="1:11">
      <c r="A154" s="9">
        <v>149</v>
      </c>
      <c r="B154" s="9" t="s">
        <v>340</v>
      </c>
      <c r="C154" s="9">
        <v>7000000149</v>
      </c>
      <c r="D154" s="10" t="s">
        <v>341</v>
      </c>
      <c r="E154" s="9" t="s">
        <v>84</v>
      </c>
      <c r="F154" s="9" t="s">
        <v>303</v>
      </c>
      <c r="G154" s="9" t="s">
        <v>17</v>
      </c>
      <c r="H154" s="9" t="s">
        <v>18</v>
      </c>
      <c r="I154" s="9" t="s">
        <v>239</v>
      </c>
      <c r="J154" s="9" t="s">
        <v>20</v>
      </c>
      <c r="K154" s="9" t="s">
        <v>21</v>
      </c>
    </row>
    <row r="155" spans="1:11">
      <c r="A155" s="9">
        <v>150</v>
      </c>
      <c r="B155" s="9" t="s">
        <v>342</v>
      </c>
      <c r="C155" s="9">
        <v>7000000150</v>
      </c>
      <c r="D155" s="10" t="s">
        <v>343</v>
      </c>
      <c r="E155" s="9" t="s">
        <v>84</v>
      </c>
      <c r="F155" s="9" t="s">
        <v>303</v>
      </c>
      <c r="G155" s="9" t="s">
        <v>17</v>
      </c>
      <c r="H155" s="9" t="s">
        <v>18</v>
      </c>
      <c r="I155" s="9" t="s">
        <v>239</v>
      </c>
      <c r="J155" s="9" t="s">
        <v>20</v>
      </c>
      <c r="K155" s="9" t="s">
        <v>21</v>
      </c>
    </row>
    <row r="156" spans="1:11">
      <c r="A156" s="9">
        <v>151</v>
      </c>
      <c r="B156" s="9" t="s">
        <v>344</v>
      </c>
      <c r="C156" s="9">
        <v>7000000151</v>
      </c>
      <c r="D156" s="10" t="s">
        <v>345</v>
      </c>
      <c r="E156" s="9" t="s">
        <v>84</v>
      </c>
      <c r="F156" s="9" t="s">
        <v>303</v>
      </c>
      <c r="G156" s="9" t="s">
        <v>17</v>
      </c>
      <c r="H156" s="9" t="s">
        <v>18</v>
      </c>
      <c r="I156" s="9" t="s">
        <v>239</v>
      </c>
      <c r="J156" s="9" t="s">
        <v>20</v>
      </c>
      <c r="K156" s="9" t="s">
        <v>21</v>
      </c>
    </row>
    <row r="157" spans="1:11">
      <c r="A157" s="9">
        <v>152</v>
      </c>
      <c r="B157" s="9" t="s">
        <v>346</v>
      </c>
      <c r="C157" s="9">
        <v>7000000152</v>
      </c>
      <c r="D157" s="10" t="s">
        <v>347</v>
      </c>
      <c r="E157" s="9" t="s">
        <v>84</v>
      </c>
      <c r="F157" s="9" t="s">
        <v>303</v>
      </c>
      <c r="G157" s="9" t="s">
        <v>17</v>
      </c>
      <c r="H157" s="9" t="s">
        <v>18</v>
      </c>
      <c r="I157" s="9" t="s">
        <v>239</v>
      </c>
      <c r="J157" s="9" t="s">
        <v>53</v>
      </c>
      <c r="K157" s="9" t="s">
        <v>21</v>
      </c>
    </row>
    <row r="158" spans="1:11">
      <c r="A158" s="9">
        <v>153</v>
      </c>
      <c r="B158" s="9" t="s">
        <v>348</v>
      </c>
      <c r="C158" s="9">
        <v>7000000153</v>
      </c>
      <c r="D158" s="10" t="s">
        <v>349</v>
      </c>
      <c r="E158" s="9" t="s">
        <v>84</v>
      </c>
      <c r="F158" s="9" t="s">
        <v>303</v>
      </c>
      <c r="G158" s="9" t="s">
        <v>17</v>
      </c>
      <c r="H158" s="9" t="s">
        <v>18</v>
      </c>
      <c r="I158" s="9" t="s">
        <v>239</v>
      </c>
      <c r="J158" s="9" t="s">
        <v>53</v>
      </c>
      <c r="K158" s="9" t="s">
        <v>21</v>
      </c>
    </row>
    <row r="159" spans="1:11">
      <c r="A159" s="9">
        <v>154</v>
      </c>
      <c r="B159" s="9" t="s">
        <v>350</v>
      </c>
      <c r="C159" s="9">
        <v>7000000154</v>
      </c>
      <c r="D159" s="10" t="s">
        <v>351</v>
      </c>
      <c r="E159" s="9" t="s">
        <v>32</v>
      </c>
      <c r="F159" s="9" t="s">
        <v>303</v>
      </c>
      <c r="G159" s="9" t="s">
        <v>17</v>
      </c>
      <c r="H159" s="9" t="s">
        <v>18</v>
      </c>
      <c r="I159" s="9" t="s">
        <v>37</v>
      </c>
      <c r="J159" s="9" t="s">
        <v>20</v>
      </c>
      <c r="K159" s="9" t="s">
        <v>21</v>
      </c>
    </row>
    <row r="160" spans="1:11">
      <c r="A160" s="9">
        <v>155</v>
      </c>
      <c r="B160" s="9" t="s">
        <v>352</v>
      </c>
      <c r="C160" s="9">
        <v>7000000155</v>
      </c>
      <c r="D160" s="10" t="s">
        <v>353</v>
      </c>
      <c r="E160" s="9" t="s">
        <v>40</v>
      </c>
      <c r="F160" s="9" t="s">
        <v>303</v>
      </c>
      <c r="G160" s="9" t="s">
        <v>17</v>
      </c>
      <c r="H160" s="9" t="s">
        <v>18</v>
      </c>
      <c r="I160" s="9" t="s">
        <v>37</v>
      </c>
      <c r="J160" s="9" t="s">
        <v>20</v>
      </c>
      <c r="K160" s="9" t="s">
        <v>21</v>
      </c>
    </row>
    <row r="161" spans="1:11">
      <c r="A161" s="9">
        <v>156</v>
      </c>
      <c r="B161" s="9" t="s">
        <v>354</v>
      </c>
      <c r="C161" s="9">
        <v>7000000156</v>
      </c>
      <c r="D161" s="10" t="s">
        <v>355</v>
      </c>
      <c r="E161" s="9" t="s">
        <v>40</v>
      </c>
      <c r="F161" s="9" t="s">
        <v>303</v>
      </c>
      <c r="G161" s="9" t="s">
        <v>17</v>
      </c>
      <c r="H161" s="9" t="s">
        <v>18</v>
      </c>
      <c r="I161" s="9" t="s">
        <v>37</v>
      </c>
      <c r="J161" s="9" t="s">
        <v>20</v>
      </c>
      <c r="K161" s="9" t="s">
        <v>21</v>
      </c>
    </row>
    <row r="162" spans="1:11">
      <c r="A162" s="9">
        <v>157</v>
      </c>
      <c r="B162" s="9" t="s">
        <v>356</v>
      </c>
      <c r="C162" s="9">
        <v>7000000157</v>
      </c>
      <c r="D162" s="10" t="s">
        <v>357</v>
      </c>
      <c r="E162" s="9" t="s">
        <v>40</v>
      </c>
      <c r="F162" s="9" t="s">
        <v>303</v>
      </c>
      <c r="G162" s="9" t="s">
        <v>17</v>
      </c>
      <c r="H162" s="9" t="s">
        <v>18</v>
      </c>
      <c r="I162" s="9" t="s">
        <v>37</v>
      </c>
      <c r="J162" s="9" t="s">
        <v>20</v>
      </c>
      <c r="K162" s="9" t="s">
        <v>21</v>
      </c>
    </row>
    <row r="163" spans="1:11">
      <c r="A163" s="9">
        <v>158</v>
      </c>
      <c r="B163" s="9" t="s">
        <v>358</v>
      </c>
      <c r="C163" s="9">
        <v>7000000158</v>
      </c>
      <c r="D163" s="10" t="s">
        <v>359</v>
      </c>
      <c r="E163" s="9" t="s">
        <v>40</v>
      </c>
      <c r="F163" s="9" t="s">
        <v>303</v>
      </c>
      <c r="G163" s="9" t="s">
        <v>17</v>
      </c>
      <c r="H163" s="9" t="s">
        <v>18</v>
      </c>
      <c r="I163" s="9" t="s">
        <v>37</v>
      </c>
      <c r="J163" s="9" t="s">
        <v>20</v>
      </c>
      <c r="K163" s="9" t="s">
        <v>21</v>
      </c>
    </row>
    <row r="164" spans="1:11">
      <c r="A164" s="9">
        <v>159</v>
      </c>
      <c r="B164" s="9" t="s">
        <v>360</v>
      </c>
      <c r="C164" s="9">
        <v>7000000159</v>
      </c>
      <c r="D164" s="10" t="s">
        <v>361</v>
      </c>
      <c r="E164" s="9" t="s">
        <v>43</v>
      </c>
      <c r="F164" s="9" t="s">
        <v>303</v>
      </c>
      <c r="G164" s="9" t="s">
        <v>17</v>
      </c>
      <c r="H164" s="9" t="s">
        <v>18</v>
      </c>
      <c r="I164" s="9" t="s">
        <v>37</v>
      </c>
      <c r="J164" s="9" t="s">
        <v>20</v>
      </c>
      <c r="K164" s="9" t="s">
        <v>21</v>
      </c>
    </row>
    <row r="165" spans="1:11">
      <c r="A165" s="9">
        <v>160</v>
      </c>
      <c r="B165" s="9" t="s">
        <v>362</v>
      </c>
      <c r="C165" s="9">
        <v>7000000160</v>
      </c>
      <c r="D165" s="10" t="s">
        <v>363</v>
      </c>
      <c r="E165" s="9" t="s">
        <v>32</v>
      </c>
      <c r="F165" s="9" t="s">
        <v>303</v>
      </c>
      <c r="G165" s="9" t="s">
        <v>17</v>
      </c>
      <c r="H165" s="9" t="s">
        <v>18</v>
      </c>
      <c r="I165" s="9" t="s">
        <v>37</v>
      </c>
      <c r="J165" s="9" t="s">
        <v>53</v>
      </c>
      <c r="K165" s="9" t="s">
        <v>21</v>
      </c>
    </row>
    <row r="166" spans="1:11">
      <c r="A166" s="9">
        <v>161</v>
      </c>
      <c r="B166" s="9" t="s">
        <v>364</v>
      </c>
      <c r="C166" s="9">
        <v>7000000161</v>
      </c>
      <c r="D166" s="10" t="s">
        <v>365</v>
      </c>
      <c r="E166" s="9" t="s">
        <v>40</v>
      </c>
      <c r="F166" s="9" t="s">
        <v>303</v>
      </c>
      <c r="G166" s="9" t="s">
        <v>17</v>
      </c>
      <c r="H166" s="9" t="s">
        <v>18</v>
      </c>
      <c r="I166" s="9" t="s">
        <v>37</v>
      </c>
      <c r="J166" s="9" t="s">
        <v>53</v>
      </c>
      <c r="K166" s="9" t="s">
        <v>21</v>
      </c>
    </row>
    <row r="167" spans="1:11">
      <c r="A167" s="9">
        <v>162</v>
      </c>
      <c r="B167" s="9" t="s">
        <v>366</v>
      </c>
      <c r="C167" s="9">
        <v>7000000162</v>
      </c>
      <c r="D167" s="10" t="s">
        <v>367</v>
      </c>
      <c r="E167" s="9" t="s">
        <v>40</v>
      </c>
      <c r="F167" s="9" t="s">
        <v>303</v>
      </c>
      <c r="G167" s="9" t="s">
        <v>17</v>
      </c>
      <c r="H167" s="9" t="s">
        <v>18</v>
      </c>
      <c r="I167" s="9" t="s">
        <v>37</v>
      </c>
      <c r="J167" s="9" t="s">
        <v>53</v>
      </c>
      <c r="K167" s="9" t="s">
        <v>21</v>
      </c>
    </row>
    <row r="168" spans="1:11">
      <c r="A168" s="9">
        <v>163</v>
      </c>
      <c r="B168" s="9" t="s">
        <v>368</v>
      </c>
      <c r="C168" s="9">
        <v>7000000163</v>
      </c>
      <c r="D168" s="10" t="s">
        <v>369</v>
      </c>
      <c r="E168" s="9" t="s">
        <v>32</v>
      </c>
      <c r="F168" s="9" t="s">
        <v>303</v>
      </c>
      <c r="G168" s="9" t="s">
        <v>17</v>
      </c>
      <c r="H168" s="9" t="s">
        <v>370</v>
      </c>
      <c r="I168" s="9" t="s">
        <v>19</v>
      </c>
      <c r="J168" s="9" t="s">
        <v>20</v>
      </c>
      <c r="K168" s="9" t="s">
        <v>21</v>
      </c>
    </row>
    <row r="169" spans="1:11">
      <c r="A169" s="9">
        <v>164</v>
      </c>
      <c r="B169" s="9" t="s">
        <v>371</v>
      </c>
      <c r="C169" s="9">
        <v>7000000164</v>
      </c>
      <c r="D169" s="10" t="s">
        <v>372</v>
      </c>
      <c r="E169" s="9" t="s">
        <v>32</v>
      </c>
      <c r="F169" s="9" t="s">
        <v>303</v>
      </c>
      <c r="G169" s="9" t="s">
        <v>17</v>
      </c>
      <c r="H169" s="9" t="s">
        <v>370</v>
      </c>
      <c r="I169" s="9" t="s">
        <v>19</v>
      </c>
      <c r="J169" s="9" t="s">
        <v>20</v>
      </c>
      <c r="K169" s="9" t="s">
        <v>21</v>
      </c>
    </row>
    <row r="170" spans="1:11">
      <c r="A170" s="9">
        <v>165</v>
      </c>
      <c r="B170" s="9" t="s">
        <v>373</v>
      </c>
      <c r="C170" s="9">
        <v>7000000165</v>
      </c>
      <c r="D170" s="10" t="s">
        <v>374</v>
      </c>
      <c r="E170" s="9" t="s">
        <v>40</v>
      </c>
      <c r="F170" s="9" t="s">
        <v>303</v>
      </c>
      <c r="G170" s="9" t="s">
        <v>17</v>
      </c>
      <c r="H170" s="9" t="s">
        <v>370</v>
      </c>
      <c r="I170" s="9" t="s">
        <v>19</v>
      </c>
      <c r="J170" s="9" t="s">
        <v>20</v>
      </c>
      <c r="K170" s="9" t="s">
        <v>21</v>
      </c>
    </row>
    <row r="171" spans="1:11">
      <c r="A171" s="9">
        <v>166</v>
      </c>
      <c r="B171" s="9" t="s">
        <v>375</v>
      </c>
      <c r="C171" s="9">
        <v>7000000166</v>
      </c>
      <c r="D171" s="10" t="s">
        <v>376</v>
      </c>
      <c r="E171" s="9" t="s">
        <v>40</v>
      </c>
      <c r="F171" s="9" t="s">
        <v>303</v>
      </c>
      <c r="G171" s="9" t="s">
        <v>17</v>
      </c>
      <c r="H171" s="9" t="s">
        <v>370</v>
      </c>
      <c r="I171" s="9" t="s">
        <v>19</v>
      </c>
      <c r="J171" s="9" t="s">
        <v>20</v>
      </c>
      <c r="K171" s="9" t="s">
        <v>21</v>
      </c>
    </row>
    <row r="172" spans="1:11">
      <c r="A172" s="9">
        <v>167</v>
      </c>
      <c r="B172" s="9" t="s">
        <v>377</v>
      </c>
      <c r="C172" s="9">
        <v>7000000167</v>
      </c>
      <c r="D172" s="10" t="s">
        <v>378</v>
      </c>
      <c r="E172" s="9" t="s">
        <v>40</v>
      </c>
      <c r="F172" s="9" t="s">
        <v>303</v>
      </c>
      <c r="G172" s="9" t="s">
        <v>17</v>
      </c>
      <c r="H172" s="9" t="s">
        <v>18</v>
      </c>
      <c r="I172" s="9" t="s">
        <v>19</v>
      </c>
      <c r="J172" s="9" t="s">
        <v>20</v>
      </c>
      <c r="K172" s="9" t="s">
        <v>21</v>
      </c>
    </row>
    <row r="173" spans="1:11">
      <c r="A173" s="9">
        <v>168</v>
      </c>
      <c r="B173" s="9" t="s">
        <v>379</v>
      </c>
      <c r="C173" s="9">
        <v>7000000168</v>
      </c>
      <c r="D173" s="10" t="s">
        <v>380</v>
      </c>
      <c r="E173" s="9" t="s">
        <v>40</v>
      </c>
      <c r="F173" s="9" t="s">
        <v>303</v>
      </c>
      <c r="G173" s="9" t="s">
        <v>17</v>
      </c>
      <c r="H173" s="9" t="s">
        <v>18</v>
      </c>
      <c r="I173" s="9" t="s">
        <v>19</v>
      </c>
      <c r="J173" s="9" t="s">
        <v>20</v>
      </c>
      <c r="K173" s="9" t="s">
        <v>21</v>
      </c>
    </row>
    <row r="174" spans="1:11">
      <c r="A174" s="9">
        <v>169</v>
      </c>
      <c r="B174" s="9" t="s">
        <v>381</v>
      </c>
      <c r="C174" s="9">
        <v>7000000169</v>
      </c>
      <c r="D174" s="10" t="s">
        <v>382</v>
      </c>
      <c r="E174" s="9" t="s">
        <v>52</v>
      </c>
      <c r="F174" s="9" t="s">
        <v>303</v>
      </c>
      <c r="G174" s="9" t="s">
        <v>17</v>
      </c>
      <c r="H174" s="9" t="s">
        <v>18</v>
      </c>
      <c r="I174" s="9" t="s">
        <v>236</v>
      </c>
      <c r="J174" s="9" t="s">
        <v>20</v>
      </c>
      <c r="K174" s="9" t="s">
        <v>21</v>
      </c>
    </row>
    <row r="175" spans="1:11">
      <c r="A175" s="9">
        <v>170</v>
      </c>
      <c r="B175" s="9" t="s">
        <v>383</v>
      </c>
      <c r="C175" s="9">
        <v>7000000170</v>
      </c>
      <c r="D175" s="10" t="s">
        <v>384</v>
      </c>
      <c r="E175" s="9" t="s">
        <v>84</v>
      </c>
      <c r="F175" s="9" t="s">
        <v>303</v>
      </c>
      <c r="G175" s="9" t="s">
        <v>17</v>
      </c>
      <c r="H175" s="9" t="s">
        <v>370</v>
      </c>
      <c r="I175" s="9" t="s">
        <v>19</v>
      </c>
      <c r="J175" s="9" t="s">
        <v>20</v>
      </c>
      <c r="K175" s="9" t="s">
        <v>21</v>
      </c>
    </row>
    <row r="176" spans="1:11">
      <c r="A176" s="9">
        <v>171</v>
      </c>
      <c r="B176" s="9" t="s">
        <v>385</v>
      </c>
      <c r="C176" s="9">
        <v>7000000171</v>
      </c>
      <c r="D176" s="10" t="s">
        <v>386</v>
      </c>
      <c r="E176" s="9" t="s">
        <v>84</v>
      </c>
      <c r="F176" s="9" t="s">
        <v>303</v>
      </c>
      <c r="G176" s="9" t="s">
        <v>17</v>
      </c>
      <c r="H176" s="9" t="s">
        <v>370</v>
      </c>
      <c r="I176" s="9" t="s">
        <v>19</v>
      </c>
      <c r="J176" s="9" t="s">
        <v>20</v>
      </c>
      <c r="K176" s="9" t="s">
        <v>21</v>
      </c>
    </row>
    <row r="177" spans="1:11">
      <c r="A177" s="9">
        <v>172</v>
      </c>
      <c r="B177" s="9" t="s">
        <v>387</v>
      </c>
      <c r="C177" s="9">
        <v>7000000172</v>
      </c>
      <c r="D177" s="10" t="s">
        <v>388</v>
      </c>
      <c r="E177" s="9" t="s">
        <v>84</v>
      </c>
      <c r="F177" s="9" t="s">
        <v>303</v>
      </c>
      <c r="G177" s="9" t="s">
        <v>17</v>
      </c>
      <c r="H177" s="9" t="s">
        <v>370</v>
      </c>
      <c r="I177" s="9" t="s">
        <v>19</v>
      </c>
      <c r="J177" s="9" t="s">
        <v>20</v>
      </c>
      <c r="K177" s="9" t="s">
        <v>21</v>
      </c>
    </row>
    <row r="178" spans="1:11">
      <c r="A178" s="9">
        <v>173</v>
      </c>
      <c r="B178" s="9" t="s">
        <v>389</v>
      </c>
      <c r="C178" s="9">
        <v>7000000173</v>
      </c>
      <c r="D178" s="10" t="s">
        <v>390</v>
      </c>
      <c r="E178" s="9" t="s">
        <v>35</v>
      </c>
      <c r="F178" s="9" t="s">
        <v>303</v>
      </c>
      <c r="G178" s="9" t="s">
        <v>17</v>
      </c>
      <c r="H178" s="9" t="s">
        <v>370</v>
      </c>
      <c r="I178" s="9" t="s">
        <v>19</v>
      </c>
      <c r="J178" s="9" t="s">
        <v>20</v>
      </c>
      <c r="K178" s="9" t="s">
        <v>21</v>
      </c>
    </row>
    <row r="179" spans="1:11">
      <c r="A179" s="9">
        <v>174</v>
      </c>
      <c r="B179" s="9" t="s">
        <v>391</v>
      </c>
      <c r="C179" s="9">
        <v>7000000174</v>
      </c>
      <c r="D179" s="10" t="s">
        <v>392</v>
      </c>
      <c r="E179" s="9" t="s">
        <v>84</v>
      </c>
      <c r="F179" s="9" t="s">
        <v>303</v>
      </c>
      <c r="G179" s="9" t="s">
        <v>17</v>
      </c>
      <c r="H179" s="9" t="s">
        <v>18</v>
      </c>
      <c r="I179" s="9" t="s">
        <v>19</v>
      </c>
      <c r="J179" s="9" t="s">
        <v>20</v>
      </c>
      <c r="K179" s="9" t="s">
        <v>21</v>
      </c>
    </row>
    <row r="180" spans="1:11">
      <c r="A180" s="9">
        <v>175</v>
      </c>
      <c r="B180" s="9" t="s">
        <v>393</v>
      </c>
      <c r="C180" s="9">
        <v>7000000175</v>
      </c>
      <c r="D180" s="10" t="s">
        <v>394</v>
      </c>
      <c r="E180" s="9" t="s">
        <v>40</v>
      </c>
      <c r="F180" s="9" t="s">
        <v>303</v>
      </c>
      <c r="G180" s="9" t="s">
        <v>17</v>
      </c>
      <c r="H180" s="9" t="s">
        <v>18</v>
      </c>
      <c r="I180" s="9" t="s">
        <v>19</v>
      </c>
      <c r="J180" s="9" t="s">
        <v>53</v>
      </c>
      <c r="K180" s="9" t="s">
        <v>21</v>
      </c>
    </row>
    <row r="181" spans="1:11">
      <c r="A181" s="9">
        <v>176</v>
      </c>
      <c r="B181" s="9" t="s">
        <v>395</v>
      </c>
      <c r="C181" s="9">
        <v>7000000176</v>
      </c>
      <c r="D181" s="10" t="s">
        <v>396</v>
      </c>
      <c r="E181" s="9" t="s">
        <v>40</v>
      </c>
      <c r="F181" s="9" t="s">
        <v>303</v>
      </c>
      <c r="G181" s="9" t="s">
        <v>17</v>
      </c>
      <c r="H181" s="9" t="s">
        <v>18</v>
      </c>
      <c r="I181" s="9" t="s">
        <v>19</v>
      </c>
      <c r="J181" s="9" t="s">
        <v>53</v>
      </c>
      <c r="K181" s="9" t="s">
        <v>21</v>
      </c>
    </row>
    <row r="182" spans="1:11">
      <c r="A182" s="9">
        <v>177</v>
      </c>
      <c r="B182" s="9" t="s">
        <v>397</v>
      </c>
      <c r="C182" s="9">
        <v>7000000177</v>
      </c>
      <c r="D182" s="10" t="s">
        <v>398</v>
      </c>
      <c r="E182" s="9" t="s">
        <v>40</v>
      </c>
      <c r="F182" s="9" t="s">
        <v>303</v>
      </c>
      <c r="G182" s="9" t="s">
        <v>17</v>
      </c>
      <c r="H182" s="9" t="s">
        <v>18</v>
      </c>
      <c r="I182" s="9" t="s">
        <v>19</v>
      </c>
      <c r="J182" s="9" t="s">
        <v>53</v>
      </c>
      <c r="K182" s="9" t="s">
        <v>21</v>
      </c>
    </row>
    <row r="183" spans="1:11">
      <c r="A183" s="9">
        <v>178</v>
      </c>
      <c r="B183" s="9" t="s">
        <v>399</v>
      </c>
      <c r="C183" s="9">
        <v>7000000178</v>
      </c>
      <c r="D183" s="10" t="s">
        <v>400</v>
      </c>
      <c r="E183" s="9" t="s">
        <v>40</v>
      </c>
      <c r="F183" s="9" t="s">
        <v>303</v>
      </c>
      <c r="G183" s="9" t="s">
        <v>17</v>
      </c>
      <c r="H183" s="9" t="s">
        <v>18</v>
      </c>
      <c r="I183" s="9" t="s">
        <v>19</v>
      </c>
      <c r="J183" s="9" t="s">
        <v>53</v>
      </c>
      <c r="K183" s="9" t="s">
        <v>21</v>
      </c>
    </row>
    <row r="184" spans="1:11">
      <c r="A184" s="9">
        <v>179</v>
      </c>
      <c r="B184" s="9" t="s">
        <v>401</v>
      </c>
      <c r="C184" s="9">
        <v>7000000179</v>
      </c>
      <c r="D184" s="10" t="s">
        <v>402</v>
      </c>
      <c r="E184" s="9" t="s">
        <v>40</v>
      </c>
      <c r="F184" s="9" t="s">
        <v>303</v>
      </c>
      <c r="G184" s="9" t="s">
        <v>17</v>
      </c>
      <c r="H184" s="9" t="s">
        <v>370</v>
      </c>
      <c r="I184" s="9" t="s">
        <v>19</v>
      </c>
      <c r="J184" s="9" t="s">
        <v>53</v>
      </c>
      <c r="K184" s="9" t="s">
        <v>21</v>
      </c>
    </row>
    <row r="185" spans="1:11">
      <c r="A185" s="9">
        <v>180</v>
      </c>
      <c r="B185" s="9" t="s">
        <v>403</v>
      </c>
      <c r="C185" s="9">
        <v>7000000180</v>
      </c>
      <c r="D185" s="10" t="s">
        <v>404</v>
      </c>
      <c r="E185" s="9" t="s">
        <v>84</v>
      </c>
      <c r="F185" s="9" t="s">
        <v>303</v>
      </c>
      <c r="G185" s="9" t="s">
        <v>17</v>
      </c>
      <c r="H185" s="9" t="s">
        <v>370</v>
      </c>
      <c r="I185" s="9" t="s">
        <v>19</v>
      </c>
      <c r="J185" s="9" t="s">
        <v>53</v>
      </c>
      <c r="K185" s="9" t="s">
        <v>21</v>
      </c>
    </row>
    <row r="186" spans="1:11">
      <c r="A186" s="9">
        <v>181</v>
      </c>
      <c r="B186" s="9" t="s">
        <v>405</v>
      </c>
      <c r="C186" s="9">
        <v>7000000181</v>
      </c>
      <c r="D186" s="10" t="s">
        <v>406</v>
      </c>
      <c r="E186" s="9" t="s">
        <v>35</v>
      </c>
      <c r="F186" s="9" t="s">
        <v>303</v>
      </c>
      <c r="G186" s="9" t="s">
        <v>17</v>
      </c>
      <c r="H186" s="9" t="s">
        <v>370</v>
      </c>
      <c r="I186" s="9" t="s">
        <v>239</v>
      </c>
      <c r="J186" s="9" t="s">
        <v>53</v>
      </c>
      <c r="K186" s="9" t="s">
        <v>21</v>
      </c>
    </row>
    <row r="187" spans="1:11">
      <c r="A187" s="9">
        <v>182</v>
      </c>
      <c r="B187" s="9" t="s">
        <v>407</v>
      </c>
      <c r="C187" s="9">
        <v>7000000182</v>
      </c>
      <c r="D187" s="10" t="s">
        <v>408</v>
      </c>
      <c r="E187" s="9" t="s">
        <v>84</v>
      </c>
      <c r="F187" s="9" t="s">
        <v>303</v>
      </c>
      <c r="G187" s="9" t="s">
        <v>17</v>
      </c>
      <c r="H187" s="9" t="s">
        <v>370</v>
      </c>
      <c r="I187" s="9" t="s">
        <v>19</v>
      </c>
      <c r="J187" s="9" t="s">
        <v>53</v>
      </c>
      <c r="K187" s="9" t="s">
        <v>21</v>
      </c>
    </row>
    <row r="188" spans="1:11">
      <c r="A188" s="9">
        <v>183</v>
      </c>
      <c r="B188" s="9" t="s">
        <v>409</v>
      </c>
      <c r="C188" s="9">
        <v>7000000183</v>
      </c>
      <c r="D188" s="10" t="s">
        <v>410</v>
      </c>
      <c r="E188" s="9" t="s">
        <v>32</v>
      </c>
      <c r="F188" s="9" t="s">
        <v>303</v>
      </c>
      <c r="G188" s="9" t="s">
        <v>17</v>
      </c>
      <c r="H188" s="9" t="s">
        <v>18</v>
      </c>
      <c r="I188" s="9" t="s">
        <v>236</v>
      </c>
      <c r="J188" s="9" t="s">
        <v>20</v>
      </c>
      <c r="K188" s="9" t="s">
        <v>21</v>
      </c>
    </row>
    <row r="189" spans="1:11">
      <c r="A189" s="9">
        <v>184</v>
      </c>
      <c r="B189" s="9" t="s">
        <v>411</v>
      </c>
      <c r="C189" s="9">
        <v>7000000184</v>
      </c>
      <c r="D189" s="10" t="s">
        <v>412</v>
      </c>
      <c r="E189" s="9" t="s">
        <v>43</v>
      </c>
      <c r="F189" s="9" t="s">
        <v>303</v>
      </c>
      <c r="G189" s="9" t="s">
        <v>17</v>
      </c>
      <c r="H189" s="9" t="s">
        <v>18</v>
      </c>
      <c r="I189" s="9" t="s">
        <v>236</v>
      </c>
      <c r="J189" s="9" t="s">
        <v>20</v>
      </c>
      <c r="K189" s="9" t="s">
        <v>21</v>
      </c>
    </row>
    <row r="190" spans="1:11">
      <c r="A190" s="9">
        <v>185</v>
      </c>
      <c r="B190" s="9" t="s">
        <v>413</v>
      </c>
      <c r="C190" s="9">
        <v>7000000185</v>
      </c>
      <c r="D190" s="10" t="s">
        <v>414</v>
      </c>
      <c r="E190" s="9" t="s">
        <v>43</v>
      </c>
      <c r="F190" s="9" t="s">
        <v>303</v>
      </c>
      <c r="G190" s="9" t="s">
        <v>17</v>
      </c>
      <c r="H190" s="9" t="s">
        <v>18</v>
      </c>
      <c r="I190" s="9" t="s">
        <v>236</v>
      </c>
      <c r="J190" s="9" t="s">
        <v>20</v>
      </c>
      <c r="K190" s="9" t="s">
        <v>21</v>
      </c>
    </row>
    <row r="191" spans="1:11">
      <c r="A191" s="9">
        <v>186</v>
      </c>
      <c r="B191" s="9" t="s">
        <v>415</v>
      </c>
      <c r="C191" s="9">
        <v>7000000186</v>
      </c>
      <c r="D191" s="10" t="s">
        <v>416</v>
      </c>
      <c r="E191" s="9" t="s">
        <v>43</v>
      </c>
      <c r="F191" s="9" t="s">
        <v>303</v>
      </c>
      <c r="G191" s="9" t="s">
        <v>17</v>
      </c>
      <c r="H191" s="9" t="s">
        <v>18</v>
      </c>
      <c r="I191" s="9" t="s">
        <v>236</v>
      </c>
      <c r="J191" s="9" t="s">
        <v>20</v>
      </c>
      <c r="K191" s="9" t="s">
        <v>21</v>
      </c>
    </row>
    <row r="192" spans="1:11">
      <c r="A192" s="9">
        <v>187</v>
      </c>
      <c r="B192" s="9" t="s">
        <v>417</v>
      </c>
      <c r="C192" s="9">
        <v>7000000187</v>
      </c>
      <c r="D192" s="10" t="s">
        <v>418</v>
      </c>
      <c r="E192" s="9" t="s">
        <v>43</v>
      </c>
      <c r="F192" s="9" t="s">
        <v>303</v>
      </c>
      <c r="G192" s="9" t="s">
        <v>17</v>
      </c>
      <c r="H192" s="9" t="s">
        <v>18</v>
      </c>
      <c r="I192" s="9" t="s">
        <v>236</v>
      </c>
      <c r="J192" s="9" t="s">
        <v>20</v>
      </c>
      <c r="K192" s="9" t="s">
        <v>21</v>
      </c>
    </row>
    <row r="193" spans="1:11">
      <c r="A193" s="9">
        <v>188</v>
      </c>
      <c r="B193" s="9" t="s">
        <v>419</v>
      </c>
      <c r="C193" s="9">
        <v>7000000188</v>
      </c>
      <c r="D193" s="10" t="s">
        <v>420</v>
      </c>
      <c r="E193" s="9" t="s">
        <v>43</v>
      </c>
      <c r="F193" s="9" t="s">
        <v>303</v>
      </c>
      <c r="G193" s="9" t="s">
        <v>17</v>
      </c>
      <c r="H193" s="9" t="s">
        <v>18</v>
      </c>
      <c r="I193" s="9" t="s">
        <v>236</v>
      </c>
      <c r="J193" s="9" t="s">
        <v>20</v>
      </c>
      <c r="K193" s="9" t="s">
        <v>21</v>
      </c>
    </row>
    <row r="194" spans="1:11">
      <c r="A194" s="9">
        <v>189</v>
      </c>
      <c r="B194" s="9" t="s">
        <v>421</v>
      </c>
      <c r="C194" s="9">
        <v>7000000189</v>
      </c>
      <c r="D194" s="10" t="s">
        <v>422</v>
      </c>
      <c r="E194" s="9" t="s">
        <v>43</v>
      </c>
      <c r="F194" s="9" t="s">
        <v>303</v>
      </c>
      <c r="G194" s="9" t="s">
        <v>17</v>
      </c>
      <c r="H194" s="9" t="s">
        <v>18</v>
      </c>
      <c r="I194" s="9" t="s">
        <v>236</v>
      </c>
      <c r="J194" s="9" t="s">
        <v>20</v>
      </c>
      <c r="K194" s="9" t="s">
        <v>21</v>
      </c>
    </row>
    <row r="195" spans="1:11">
      <c r="A195" s="9">
        <v>190</v>
      </c>
      <c r="B195" s="9" t="s">
        <v>423</v>
      </c>
      <c r="C195" s="9">
        <v>7000000190</v>
      </c>
      <c r="D195" s="10" t="s">
        <v>424</v>
      </c>
      <c r="E195" s="9" t="s">
        <v>43</v>
      </c>
      <c r="F195" s="9" t="s">
        <v>303</v>
      </c>
      <c r="G195" s="9" t="s">
        <v>17</v>
      </c>
      <c r="H195" s="9" t="s">
        <v>18</v>
      </c>
      <c r="I195" s="9" t="s">
        <v>236</v>
      </c>
      <c r="J195" s="9" t="s">
        <v>20</v>
      </c>
      <c r="K195" s="9" t="s">
        <v>21</v>
      </c>
    </row>
    <row r="196" spans="1:11">
      <c r="A196" s="9">
        <v>191</v>
      </c>
      <c r="B196" s="9" t="s">
        <v>425</v>
      </c>
      <c r="C196" s="9">
        <v>7000000191</v>
      </c>
      <c r="D196" s="10" t="s">
        <v>426</v>
      </c>
      <c r="E196" s="9" t="s">
        <v>43</v>
      </c>
      <c r="F196" s="9" t="s">
        <v>303</v>
      </c>
      <c r="G196" s="9" t="s">
        <v>17</v>
      </c>
      <c r="H196" s="9" t="s">
        <v>18</v>
      </c>
      <c r="I196" s="9" t="s">
        <v>236</v>
      </c>
      <c r="J196" s="9" t="s">
        <v>20</v>
      </c>
      <c r="K196" s="9" t="s">
        <v>21</v>
      </c>
    </row>
    <row r="197" spans="1:11">
      <c r="A197" s="9">
        <v>192</v>
      </c>
      <c r="B197" s="9" t="s">
        <v>427</v>
      </c>
      <c r="C197" s="9">
        <v>7000000192</v>
      </c>
      <c r="D197" s="10" t="s">
        <v>428</v>
      </c>
      <c r="E197" s="9" t="s">
        <v>43</v>
      </c>
      <c r="F197" s="9" t="s">
        <v>303</v>
      </c>
      <c r="G197" s="9" t="s">
        <v>17</v>
      </c>
      <c r="H197" s="9" t="s">
        <v>18</v>
      </c>
      <c r="I197" s="9" t="s">
        <v>236</v>
      </c>
      <c r="J197" s="9" t="s">
        <v>20</v>
      </c>
      <c r="K197" s="9" t="s">
        <v>21</v>
      </c>
    </row>
    <row r="198" spans="1:11">
      <c r="A198" s="9">
        <v>193</v>
      </c>
      <c r="B198" s="9" t="s">
        <v>429</v>
      </c>
      <c r="C198" s="9">
        <v>7000000193</v>
      </c>
      <c r="D198" s="10" t="s">
        <v>430</v>
      </c>
      <c r="E198" s="9" t="s">
        <v>235</v>
      </c>
      <c r="F198" s="9" t="s">
        <v>303</v>
      </c>
      <c r="G198" s="9" t="s">
        <v>17</v>
      </c>
      <c r="H198" s="9" t="s">
        <v>18</v>
      </c>
      <c r="I198" s="9" t="s">
        <v>236</v>
      </c>
      <c r="J198" s="9" t="s">
        <v>53</v>
      </c>
      <c r="K198" s="9" t="s">
        <v>21</v>
      </c>
    </row>
    <row r="199" spans="1:11">
      <c r="A199" s="9">
        <v>194</v>
      </c>
      <c r="B199" s="9" t="s">
        <v>431</v>
      </c>
      <c r="C199" s="9">
        <v>7000000194</v>
      </c>
      <c r="D199" s="10" t="s">
        <v>432</v>
      </c>
      <c r="E199" s="9" t="s">
        <v>43</v>
      </c>
      <c r="F199" s="9" t="s">
        <v>303</v>
      </c>
      <c r="G199" s="9" t="s">
        <v>17</v>
      </c>
      <c r="H199" s="9" t="s">
        <v>18</v>
      </c>
      <c r="I199" s="9" t="s">
        <v>236</v>
      </c>
      <c r="J199" s="9" t="s">
        <v>53</v>
      </c>
      <c r="K199" s="9" t="s">
        <v>21</v>
      </c>
    </row>
    <row r="200" spans="1:11">
      <c r="A200" s="9">
        <v>195</v>
      </c>
      <c r="B200" s="9" t="s">
        <v>433</v>
      </c>
      <c r="C200" s="9">
        <v>7000000195</v>
      </c>
      <c r="D200" s="10" t="s">
        <v>434</v>
      </c>
      <c r="E200" s="9" t="s">
        <v>43</v>
      </c>
      <c r="F200" s="9" t="s">
        <v>303</v>
      </c>
      <c r="G200" s="9" t="s">
        <v>17</v>
      </c>
      <c r="H200" s="9" t="s">
        <v>18</v>
      </c>
      <c r="I200" s="9" t="s">
        <v>236</v>
      </c>
      <c r="J200" s="9" t="s">
        <v>53</v>
      </c>
      <c r="K200" s="9" t="s">
        <v>21</v>
      </c>
    </row>
    <row r="201" spans="1:11">
      <c r="A201" s="9">
        <v>196</v>
      </c>
      <c r="B201" s="9" t="s">
        <v>435</v>
      </c>
      <c r="C201" s="9">
        <v>7000000196</v>
      </c>
      <c r="D201" s="10" t="s">
        <v>436</v>
      </c>
      <c r="E201" s="9" t="s">
        <v>43</v>
      </c>
      <c r="F201" s="9" t="s">
        <v>303</v>
      </c>
      <c r="G201" s="9" t="s">
        <v>17</v>
      </c>
      <c r="H201" s="9" t="s">
        <v>18</v>
      </c>
      <c r="I201" s="9" t="s">
        <v>236</v>
      </c>
      <c r="J201" s="9" t="s">
        <v>53</v>
      </c>
      <c r="K201" s="9" t="s">
        <v>21</v>
      </c>
    </row>
    <row r="202" spans="1:11">
      <c r="A202" s="9">
        <v>197</v>
      </c>
      <c r="B202" s="9" t="s">
        <v>437</v>
      </c>
      <c r="C202" s="9">
        <v>7000000197</v>
      </c>
      <c r="D202" s="10" t="s">
        <v>438</v>
      </c>
      <c r="E202" s="9" t="s">
        <v>43</v>
      </c>
      <c r="F202" s="9" t="s">
        <v>303</v>
      </c>
      <c r="G202" s="9" t="s">
        <v>17</v>
      </c>
      <c r="H202" s="9" t="s">
        <v>18</v>
      </c>
      <c r="I202" s="9" t="s">
        <v>236</v>
      </c>
      <c r="J202" s="9" t="s">
        <v>53</v>
      </c>
      <c r="K202" s="9" t="s">
        <v>21</v>
      </c>
    </row>
    <row r="203" spans="1:11">
      <c r="A203" s="9">
        <v>198</v>
      </c>
      <c r="B203" s="9" t="s">
        <v>439</v>
      </c>
      <c r="C203" s="9">
        <v>7000000198</v>
      </c>
      <c r="D203" s="10" t="s">
        <v>440</v>
      </c>
      <c r="E203" s="9" t="s">
        <v>43</v>
      </c>
      <c r="F203" s="9" t="s">
        <v>303</v>
      </c>
      <c r="G203" s="9" t="s">
        <v>17</v>
      </c>
      <c r="H203" s="9" t="s">
        <v>18</v>
      </c>
      <c r="I203" s="9" t="s">
        <v>236</v>
      </c>
      <c r="J203" s="9" t="s">
        <v>20</v>
      </c>
      <c r="K203" s="9" t="s">
        <v>21</v>
      </c>
    </row>
    <row r="204" spans="1:11">
      <c r="A204" s="9">
        <v>199</v>
      </c>
      <c r="B204" s="9" t="s">
        <v>441</v>
      </c>
      <c r="C204" s="9">
        <v>7000000199</v>
      </c>
      <c r="D204" s="10" t="s">
        <v>442</v>
      </c>
      <c r="E204" s="9" t="s">
        <v>43</v>
      </c>
      <c r="F204" s="9" t="s">
        <v>303</v>
      </c>
      <c r="G204" s="9" t="s">
        <v>17</v>
      </c>
      <c r="H204" s="9" t="s">
        <v>18</v>
      </c>
      <c r="I204" s="9" t="s">
        <v>236</v>
      </c>
      <c r="J204" s="9" t="s">
        <v>53</v>
      </c>
      <c r="K204" s="9" t="s">
        <v>21</v>
      </c>
    </row>
    <row r="205" spans="1:11">
      <c r="A205" s="9">
        <v>200</v>
      </c>
      <c r="B205" s="9" t="s">
        <v>443</v>
      </c>
      <c r="C205" s="9">
        <v>7000000200</v>
      </c>
      <c r="D205" s="10" t="s">
        <v>444</v>
      </c>
      <c r="E205" s="9" t="s">
        <v>43</v>
      </c>
      <c r="F205" s="9" t="s">
        <v>303</v>
      </c>
      <c r="G205" s="9" t="s">
        <v>17</v>
      </c>
      <c r="H205" s="9" t="s">
        <v>18</v>
      </c>
      <c r="I205" s="9" t="s">
        <v>236</v>
      </c>
      <c r="J205" s="9" t="s">
        <v>53</v>
      </c>
      <c r="K205" s="9" t="s">
        <v>21</v>
      </c>
    </row>
    <row r="206" spans="1:11">
      <c r="A206" s="9">
        <v>201</v>
      </c>
      <c r="B206" s="9" t="s">
        <v>445</v>
      </c>
      <c r="C206" s="9">
        <v>7000000201</v>
      </c>
      <c r="D206" s="10" t="s">
        <v>446</v>
      </c>
      <c r="E206" s="9" t="s">
        <v>84</v>
      </c>
      <c r="F206" s="9" t="s">
        <v>28</v>
      </c>
      <c r="G206" s="9" t="s">
        <v>17</v>
      </c>
      <c r="H206" s="9" t="s">
        <v>18</v>
      </c>
      <c r="I206" s="9" t="s">
        <v>37</v>
      </c>
      <c r="J206" s="9" t="s">
        <v>20</v>
      </c>
      <c r="K206" s="9" t="s">
        <v>21</v>
      </c>
    </row>
    <row r="207" spans="1:11">
      <c r="A207" s="9">
        <v>202</v>
      </c>
      <c r="B207" s="9" t="s">
        <v>447</v>
      </c>
      <c r="C207" s="9">
        <v>7000000202</v>
      </c>
      <c r="D207" s="10" t="s">
        <v>448</v>
      </c>
      <c r="E207" s="9" t="s">
        <v>84</v>
      </c>
      <c r="F207" s="9" t="s">
        <v>28</v>
      </c>
      <c r="G207" s="9" t="s">
        <v>17</v>
      </c>
      <c r="H207" s="9" t="s">
        <v>18</v>
      </c>
      <c r="I207" s="9" t="s">
        <v>239</v>
      </c>
      <c r="J207" s="9" t="s">
        <v>53</v>
      </c>
      <c r="K207" s="9" t="s">
        <v>21</v>
      </c>
    </row>
    <row r="208" spans="1:11">
      <c r="A208" s="9">
        <v>203</v>
      </c>
      <c r="B208" s="9" t="s">
        <v>449</v>
      </c>
      <c r="C208" s="9">
        <v>7000000203</v>
      </c>
      <c r="D208" s="10" t="s">
        <v>450</v>
      </c>
      <c r="E208" s="9" t="s">
        <v>27</v>
      </c>
      <c r="F208" s="9" t="s">
        <v>298</v>
      </c>
      <c r="G208" s="9" t="s">
        <v>17</v>
      </c>
      <c r="H208" s="9" t="s">
        <v>18</v>
      </c>
      <c r="I208" s="9" t="s">
        <v>37</v>
      </c>
      <c r="J208" s="9" t="s">
        <v>20</v>
      </c>
      <c r="K208" s="9" t="s">
        <v>21</v>
      </c>
    </row>
    <row r="209" spans="1:11">
      <c r="A209" s="9">
        <v>204</v>
      </c>
      <c r="B209" s="9" t="s">
        <v>451</v>
      </c>
      <c r="C209" s="9">
        <v>7000000204</v>
      </c>
      <c r="D209" s="10" t="s">
        <v>452</v>
      </c>
      <c r="E209" s="9" t="s">
        <v>24</v>
      </c>
      <c r="F209" s="9" t="s">
        <v>28</v>
      </c>
      <c r="G209" s="9" t="s">
        <v>17</v>
      </c>
      <c r="H209" s="9" t="s">
        <v>18</v>
      </c>
      <c r="I209" s="9" t="s">
        <v>37</v>
      </c>
      <c r="J209" s="9" t="s">
        <v>20</v>
      </c>
      <c r="K209" s="9" t="s">
        <v>21</v>
      </c>
    </row>
    <row r="210" spans="1:11">
      <c r="A210" s="9">
        <v>205</v>
      </c>
      <c r="B210" s="9" t="s">
        <v>453</v>
      </c>
      <c r="C210" s="9">
        <v>7000000205</v>
      </c>
      <c r="D210" s="10" t="s">
        <v>454</v>
      </c>
      <c r="E210" s="9" t="s">
        <v>52</v>
      </c>
      <c r="F210" s="9" t="s">
        <v>28</v>
      </c>
      <c r="G210" s="9" t="s">
        <v>17</v>
      </c>
      <c r="H210" s="9" t="s">
        <v>18</v>
      </c>
      <c r="I210" s="9" t="s">
        <v>37</v>
      </c>
      <c r="J210" s="9" t="s">
        <v>20</v>
      </c>
      <c r="K210" s="9" t="s">
        <v>21</v>
      </c>
    </row>
    <row r="211" spans="1:11">
      <c r="A211" s="9">
        <v>206</v>
      </c>
      <c r="B211" s="9" t="s">
        <v>455</v>
      </c>
      <c r="C211" s="9">
        <v>7000000206</v>
      </c>
      <c r="D211" s="10" t="s">
        <v>456</v>
      </c>
      <c r="E211" s="9" t="s">
        <v>52</v>
      </c>
      <c r="F211" s="9" t="s">
        <v>28</v>
      </c>
      <c r="G211" s="9" t="s">
        <v>17</v>
      </c>
      <c r="H211" s="9" t="s">
        <v>18</v>
      </c>
      <c r="I211" s="9" t="s">
        <v>37</v>
      </c>
      <c r="J211" s="9" t="s">
        <v>20</v>
      </c>
      <c r="K211" s="9" t="s">
        <v>21</v>
      </c>
    </row>
    <row r="212" spans="1:11">
      <c r="A212" s="9">
        <v>207</v>
      </c>
      <c r="B212" s="9" t="s">
        <v>457</v>
      </c>
      <c r="C212" s="9">
        <v>7000000207</v>
      </c>
      <c r="D212" s="10" t="s">
        <v>458</v>
      </c>
      <c r="E212" s="9" t="s">
        <v>52</v>
      </c>
      <c r="F212" s="9" t="s">
        <v>28</v>
      </c>
      <c r="G212" s="9" t="s">
        <v>17</v>
      </c>
      <c r="H212" s="9" t="s">
        <v>18</v>
      </c>
      <c r="I212" s="9" t="s">
        <v>37</v>
      </c>
      <c r="J212" s="9" t="s">
        <v>20</v>
      </c>
      <c r="K212" s="9" t="s">
        <v>21</v>
      </c>
    </row>
    <row r="213" spans="1:11">
      <c r="A213" s="9">
        <v>208</v>
      </c>
      <c r="B213" s="9" t="s">
        <v>459</v>
      </c>
      <c r="C213" s="9">
        <v>7000000208</v>
      </c>
      <c r="D213" s="10" t="s">
        <v>460</v>
      </c>
      <c r="E213" s="9" t="s">
        <v>46</v>
      </c>
      <c r="F213" s="9" t="s">
        <v>28</v>
      </c>
      <c r="G213" s="9" t="s">
        <v>17</v>
      </c>
      <c r="H213" s="9" t="s">
        <v>18</v>
      </c>
      <c r="I213" s="9" t="s">
        <v>37</v>
      </c>
      <c r="J213" s="9" t="s">
        <v>20</v>
      </c>
      <c r="K213" s="9" t="s">
        <v>21</v>
      </c>
    </row>
    <row r="214" spans="1:11">
      <c r="A214" s="9">
        <v>209</v>
      </c>
      <c r="B214" s="9" t="s">
        <v>461</v>
      </c>
      <c r="C214" s="9">
        <v>7000000209</v>
      </c>
      <c r="D214" s="10" t="s">
        <v>462</v>
      </c>
      <c r="E214" s="9" t="s">
        <v>32</v>
      </c>
      <c r="F214" s="9" t="s">
        <v>28</v>
      </c>
      <c r="G214" s="9" t="s">
        <v>17</v>
      </c>
      <c r="H214" s="9" t="s">
        <v>18</v>
      </c>
      <c r="I214" s="9" t="s">
        <v>37</v>
      </c>
      <c r="J214" s="9" t="s">
        <v>53</v>
      </c>
      <c r="K214" s="9" t="s">
        <v>21</v>
      </c>
    </row>
    <row r="215" spans="1:11">
      <c r="A215" s="9">
        <v>210</v>
      </c>
      <c r="B215" s="9" t="s">
        <v>463</v>
      </c>
      <c r="C215" s="9">
        <v>7000000210</v>
      </c>
      <c r="D215" s="10" t="s">
        <v>464</v>
      </c>
      <c r="E215" s="9" t="s">
        <v>27</v>
      </c>
      <c r="F215" s="9" t="s">
        <v>28</v>
      </c>
      <c r="G215" s="9" t="s">
        <v>17</v>
      </c>
      <c r="H215" s="9" t="s">
        <v>465</v>
      </c>
      <c r="I215" s="9" t="s">
        <v>29</v>
      </c>
      <c r="J215" s="9" t="s">
        <v>20</v>
      </c>
      <c r="K215" s="9" t="s">
        <v>21</v>
      </c>
    </row>
    <row r="216" spans="1:11">
      <c r="A216" s="9">
        <v>211</v>
      </c>
      <c r="B216" s="9" t="s">
        <v>466</v>
      </c>
      <c r="C216" s="9">
        <v>7000000211</v>
      </c>
      <c r="D216" s="10" t="s">
        <v>467</v>
      </c>
      <c r="E216" s="9" t="s">
        <v>46</v>
      </c>
      <c r="F216" s="9" t="s">
        <v>28</v>
      </c>
      <c r="G216" s="9" t="s">
        <v>17</v>
      </c>
      <c r="H216" s="9" t="s">
        <v>18</v>
      </c>
      <c r="I216" s="9" t="s">
        <v>37</v>
      </c>
      <c r="J216" s="9" t="s">
        <v>20</v>
      </c>
      <c r="K216" s="9" t="s">
        <v>21</v>
      </c>
    </row>
    <row r="217" spans="1:11">
      <c r="A217" s="9">
        <v>212</v>
      </c>
      <c r="B217" s="9" t="s">
        <v>468</v>
      </c>
      <c r="C217" s="9">
        <v>7000000212</v>
      </c>
      <c r="D217" s="10" t="s">
        <v>469</v>
      </c>
      <c r="E217" s="9" t="s">
        <v>40</v>
      </c>
      <c r="F217" s="9" t="s">
        <v>28</v>
      </c>
      <c r="G217" s="9" t="s">
        <v>17</v>
      </c>
      <c r="H217" s="9" t="s">
        <v>18</v>
      </c>
      <c r="I217" s="9" t="s">
        <v>37</v>
      </c>
      <c r="J217" s="9" t="s">
        <v>20</v>
      </c>
      <c r="K217" s="9" t="s">
        <v>21</v>
      </c>
    </row>
    <row r="218" spans="1:11">
      <c r="A218" s="9">
        <v>213</v>
      </c>
      <c r="B218" s="9" t="s">
        <v>470</v>
      </c>
      <c r="C218" s="9">
        <v>7000000213</v>
      </c>
      <c r="D218" s="10" t="s">
        <v>471</v>
      </c>
      <c r="E218" s="9" t="s">
        <v>40</v>
      </c>
      <c r="F218" s="9" t="s">
        <v>28</v>
      </c>
      <c r="G218" s="9" t="s">
        <v>17</v>
      </c>
      <c r="H218" s="9" t="s">
        <v>18</v>
      </c>
      <c r="I218" s="9" t="s">
        <v>37</v>
      </c>
      <c r="J218" s="9" t="s">
        <v>20</v>
      </c>
      <c r="K218" s="9" t="s">
        <v>21</v>
      </c>
    </row>
    <row r="219" spans="1:11">
      <c r="A219" s="9">
        <v>214</v>
      </c>
      <c r="B219" s="9" t="s">
        <v>472</v>
      </c>
      <c r="C219" s="9">
        <v>7000000214</v>
      </c>
      <c r="D219" s="10" t="s">
        <v>473</v>
      </c>
      <c r="E219" s="9" t="s">
        <v>46</v>
      </c>
      <c r="F219" s="9" t="s">
        <v>28</v>
      </c>
      <c r="G219" s="9" t="s">
        <v>17</v>
      </c>
      <c r="H219" s="9" t="s">
        <v>18</v>
      </c>
      <c r="I219" s="9" t="s">
        <v>37</v>
      </c>
      <c r="J219" s="9" t="s">
        <v>20</v>
      </c>
      <c r="K219" s="9" t="s">
        <v>21</v>
      </c>
    </row>
    <row r="220" spans="1:11">
      <c r="A220" s="9">
        <v>215</v>
      </c>
      <c r="B220" s="9" t="s">
        <v>474</v>
      </c>
      <c r="C220" s="9">
        <v>7000000215</v>
      </c>
      <c r="D220" s="10" t="s">
        <v>475</v>
      </c>
      <c r="E220" s="9" t="s">
        <v>32</v>
      </c>
      <c r="F220" s="9" t="s">
        <v>28</v>
      </c>
      <c r="G220" s="9" t="s">
        <v>17</v>
      </c>
      <c r="H220" s="9" t="s">
        <v>18</v>
      </c>
      <c r="I220" s="9" t="s">
        <v>37</v>
      </c>
      <c r="J220" s="9" t="s">
        <v>53</v>
      </c>
      <c r="K220" s="9" t="s">
        <v>21</v>
      </c>
    </row>
    <row r="221" spans="1:11">
      <c r="A221" s="9">
        <v>216</v>
      </c>
      <c r="B221" s="9" t="s">
        <v>476</v>
      </c>
      <c r="C221" s="9">
        <v>7000000216</v>
      </c>
      <c r="D221" s="10" t="s">
        <v>477</v>
      </c>
      <c r="E221" s="9" t="s">
        <v>43</v>
      </c>
      <c r="F221" s="9" t="s">
        <v>28</v>
      </c>
      <c r="G221" s="9" t="s">
        <v>17</v>
      </c>
      <c r="H221" s="9" t="s">
        <v>18</v>
      </c>
      <c r="I221" s="9" t="s">
        <v>37</v>
      </c>
      <c r="J221" s="9" t="s">
        <v>53</v>
      </c>
      <c r="K221" s="9" t="s">
        <v>21</v>
      </c>
    </row>
    <row r="222" spans="1:11">
      <c r="A222" s="9">
        <v>217</v>
      </c>
      <c r="B222" s="9" t="s">
        <v>478</v>
      </c>
      <c r="C222" s="9">
        <v>7000000217</v>
      </c>
      <c r="D222" s="10" t="s">
        <v>479</v>
      </c>
      <c r="E222" s="9" t="s">
        <v>43</v>
      </c>
      <c r="F222" s="9" t="s">
        <v>28</v>
      </c>
      <c r="G222" s="9" t="s">
        <v>17</v>
      </c>
      <c r="H222" s="9" t="s">
        <v>18</v>
      </c>
      <c r="I222" s="9" t="s">
        <v>37</v>
      </c>
      <c r="J222" s="9" t="s">
        <v>53</v>
      </c>
      <c r="K222" s="9" t="s">
        <v>21</v>
      </c>
    </row>
    <row r="223" spans="1:11">
      <c r="A223" s="9">
        <v>218</v>
      </c>
      <c r="B223" s="9" t="s">
        <v>480</v>
      </c>
      <c r="C223" s="9">
        <v>7000000218</v>
      </c>
      <c r="D223" s="10" t="s">
        <v>481</v>
      </c>
      <c r="E223" s="9" t="s">
        <v>40</v>
      </c>
      <c r="F223" s="9" t="s">
        <v>28</v>
      </c>
      <c r="G223" s="9" t="s">
        <v>17</v>
      </c>
      <c r="H223" s="9" t="s">
        <v>18</v>
      </c>
      <c r="I223" s="9" t="s">
        <v>37</v>
      </c>
      <c r="J223" s="9" t="s">
        <v>53</v>
      </c>
      <c r="K223" s="9" t="s">
        <v>21</v>
      </c>
    </row>
    <row r="224" spans="1:11">
      <c r="A224" s="11">
        <v>219</v>
      </c>
      <c r="B224" s="11" t="s">
        <v>482</v>
      </c>
      <c r="C224" s="11">
        <v>7000000219</v>
      </c>
      <c r="D224" s="11" t="s">
        <v>483</v>
      </c>
      <c r="E224" s="11" t="s">
        <v>46</v>
      </c>
      <c r="F224" s="11" t="s">
        <v>28</v>
      </c>
      <c r="G224" s="11" t="s">
        <v>17</v>
      </c>
      <c r="H224" s="11" t="s">
        <v>18</v>
      </c>
      <c r="I224" s="11" t="s">
        <v>37</v>
      </c>
      <c r="J224" s="11" t="s">
        <v>53</v>
      </c>
      <c r="K224" s="11" t="s">
        <v>21</v>
      </c>
    </row>
    <row r="225" spans="1:11">
      <c r="A225" s="11">
        <v>220</v>
      </c>
      <c r="B225" s="11" t="s">
        <v>484</v>
      </c>
      <c r="C225" s="11">
        <v>7000000220</v>
      </c>
      <c r="D225" s="11" t="s">
        <v>485</v>
      </c>
      <c r="E225" s="11" t="s">
        <v>43</v>
      </c>
      <c r="F225" s="11" t="s">
        <v>28</v>
      </c>
      <c r="G225" s="11" t="s">
        <v>17</v>
      </c>
      <c r="H225" s="11" t="s">
        <v>18</v>
      </c>
      <c r="I225" s="11" t="s">
        <v>37</v>
      </c>
      <c r="J225" s="11" t="s">
        <v>53</v>
      </c>
      <c r="K225" s="11" t="s">
        <v>21</v>
      </c>
    </row>
    <row r="226" spans="1:11">
      <c r="A226" s="11">
        <v>221</v>
      </c>
      <c r="B226" s="11" t="s">
        <v>486</v>
      </c>
      <c r="C226" s="11">
        <v>7000000221</v>
      </c>
      <c r="D226" s="11" t="s">
        <v>487</v>
      </c>
      <c r="E226" s="11" t="s">
        <v>49</v>
      </c>
      <c r="F226" s="11" t="s">
        <v>28</v>
      </c>
      <c r="G226" s="11" t="s">
        <v>17</v>
      </c>
      <c r="H226" s="11" t="s">
        <v>18</v>
      </c>
      <c r="I226" s="11" t="s">
        <v>37</v>
      </c>
      <c r="J226" s="11" t="s">
        <v>53</v>
      </c>
      <c r="K226" s="11" t="s">
        <v>21</v>
      </c>
    </row>
    <row r="227" spans="1:11">
      <c r="A227" s="11">
        <v>222</v>
      </c>
      <c r="B227" s="11" t="s">
        <v>488</v>
      </c>
      <c r="C227" s="11">
        <v>7000000222</v>
      </c>
      <c r="D227" s="11" t="s">
        <v>489</v>
      </c>
      <c r="E227" s="11" t="s">
        <v>35</v>
      </c>
      <c r="F227" s="11" t="s">
        <v>28</v>
      </c>
      <c r="G227" s="11" t="s">
        <v>17</v>
      </c>
      <c r="H227" s="11" t="s">
        <v>18</v>
      </c>
      <c r="I227" s="11" t="s">
        <v>37</v>
      </c>
      <c r="J227" s="11" t="s">
        <v>53</v>
      </c>
      <c r="K227" s="11" t="s">
        <v>21</v>
      </c>
    </row>
  </sheetData>
  <mergeCells count="2">
    <mergeCell ref="A1:K2"/>
    <mergeCell ref="A3:K3"/>
  </mergeCells>
  <conditionalFormatting sqref="A2:K223">
    <cfRule type="expression" dxfId="19" priority="1">
      <formula>MOD(ROW(),2)=0</formula>
    </cfRule>
    <cfRule type="expression" dxfId="18" priority="2">
      <formula>MOD(ROW(),2)=1</formula>
    </cfRule>
    <cfRule type="expression" dxfId="17" priority="3">
      <formula>MOD(ROW(),2)=0</formula>
    </cfRule>
  </conditionalFormatting>
  <conditionalFormatting sqref="A6:K227">
    <cfRule type="expression" dxfId="16" priority="4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6"/>
  <sheetViews>
    <sheetView showGridLines="0" workbookViewId="0">
      <selection activeCell="E23" sqref="E23"/>
    </sheetView>
  </sheetViews>
  <sheetFormatPr defaultRowHeight="14.4"/>
  <cols>
    <col min="1" max="1" width="7" style="3" customWidth="1"/>
    <col min="2" max="2" width="14" style="3" customWidth="1"/>
    <col min="3" max="3" width="15" style="3" customWidth="1"/>
    <col min="4" max="4" width="22" style="2" customWidth="1"/>
    <col min="5" max="5" width="24" style="2" customWidth="1"/>
    <col min="6" max="6" width="22" style="3" customWidth="1"/>
    <col min="7" max="7" width="34" style="3" customWidth="1"/>
    <col min="8" max="8" width="20" style="3" customWidth="1"/>
    <col min="9" max="9" width="38" style="3" customWidth="1"/>
    <col min="10" max="10" width="10" style="3" customWidth="1"/>
    <col min="11" max="11" width="18" style="3" customWidth="1"/>
    <col min="12" max="12" width="8.796875" style="2" customWidth="1"/>
    <col min="13" max="16384" width="8.796875" style="2"/>
  </cols>
  <sheetData>
    <row r="1" spans="1:11" customFormat="1" ht="24" customHeight="1">
      <c r="A1" s="120" t="s">
        <v>490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1">
      <c r="A3" s="122" t="s">
        <v>491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>
      <c r="A4" s="5"/>
      <c r="B4" s="5"/>
      <c r="C4" s="5"/>
      <c r="D4" s="4"/>
      <c r="E4" s="6"/>
      <c r="F4" s="5"/>
      <c r="G4" s="7"/>
      <c r="H4" s="7"/>
      <c r="I4" s="7"/>
      <c r="J4" s="7"/>
      <c r="K4" s="7"/>
    </row>
    <row r="5" spans="1:11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</row>
    <row r="6" spans="1:11">
      <c r="A6" s="9">
        <v>1</v>
      </c>
      <c r="B6" s="9" t="s">
        <v>25</v>
      </c>
      <c r="C6" s="9">
        <v>7000000003</v>
      </c>
      <c r="D6" s="10" t="s">
        <v>26</v>
      </c>
      <c r="E6" s="10" t="s">
        <v>27</v>
      </c>
      <c r="F6" s="9" t="s">
        <v>28</v>
      </c>
      <c r="G6" s="9" t="s">
        <v>17</v>
      </c>
      <c r="H6" s="9" t="s">
        <v>18</v>
      </c>
      <c r="I6" s="9" t="s">
        <v>29</v>
      </c>
      <c r="J6" s="9" t="s">
        <v>53</v>
      </c>
      <c r="K6" s="9" t="s">
        <v>21</v>
      </c>
    </row>
    <row r="7" spans="1:11">
      <c r="A7" s="9">
        <v>2</v>
      </c>
      <c r="B7" s="9" t="s">
        <v>30</v>
      </c>
      <c r="C7" s="9">
        <v>7000000004</v>
      </c>
      <c r="D7" s="10" t="s">
        <v>31</v>
      </c>
      <c r="E7" s="10" t="s">
        <v>32</v>
      </c>
      <c r="F7" s="9" t="s">
        <v>28</v>
      </c>
      <c r="G7" s="9" t="s">
        <v>17</v>
      </c>
      <c r="H7" s="9" t="s">
        <v>18</v>
      </c>
      <c r="I7" s="9" t="s">
        <v>29</v>
      </c>
      <c r="J7" s="9" t="s">
        <v>53</v>
      </c>
      <c r="K7" s="9" t="s">
        <v>21</v>
      </c>
    </row>
    <row r="8" spans="1:11">
      <c r="A8" s="9">
        <v>3</v>
      </c>
      <c r="B8" s="9" t="s">
        <v>33</v>
      </c>
      <c r="C8" s="9">
        <v>7000000005</v>
      </c>
      <c r="D8" s="10" t="s">
        <v>34</v>
      </c>
      <c r="E8" s="10" t="s">
        <v>35</v>
      </c>
      <c r="F8" s="9" t="s">
        <v>36</v>
      </c>
      <c r="G8" s="9" t="s">
        <v>17</v>
      </c>
      <c r="H8" s="9" t="s">
        <v>18</v>
      </c>
      <c r="I8" s="9" t="s">
        <v>239</v>
      </c>
      <c r="J8" s="9" t="s">
        <v>53</v>
      </c>
      <c r="K8" s="9" t="s">
        <v>21</v>
      </c>
    </row>
    <row r="9" spans="1:11">
      <c r="A9" s="9">
        <v>4</v>
      </c>
      <c r="B9" s="9" t="s">
        <v>354</v>
      </c>
      <c r="C9" s="9">
        <v>7000000156</v>
      </c>
      <c r="D9" s="10" t="s">
        <v>355</v>
      </c>
      <c r="E9" s="10" t="s">
        <v>40</v>
      </c>
      <c r="F9" s="9" t="s">
        <v>303</v>
      </c>
      <c r="G9" s="9" t="s">
        <v>17</v>
      </c>
      <c r="H9" s="9" t="s">
        <v>18</v>
      </c>
      <c r="I9" s="9" t="s">
        <v>37</v>
      </c>
      <c r="J9" s="9" t="s">
        <v>53</v>
      </c>
      <c r="K9" s="9" t="s">
        <v>21</v>
      </c>
    </row>
    <row r="10" spans="1:11">
      <c r="A10" s="9">
        <v>5</v>
      </c>
      <c r="B10" s="9" t="s">
        <v>360</v>
      </c>
      <c r="C10" s="9">
        <v>7000000159</v>
      </c>
      <c r="D10" s="10" t="s">
        <v>361</v>
      </c>
      <c r="E10" s="10" t="s">
        <v>43</v>
      </c>
      <c r="F10" s="9" t="s">
        <v>303</v>
      </c>
      <c r="G10" s="9" t="s">
        <v>17</v>
      </c>
      <c r="H10" s="9" t="s">
        <v>18</v>
      </c>
      <c r="I10" s="9" t="s">
        <v>37</v>
      </c>
      <c r="J10" s="9" t="s">
        <v>53</v>
      </c>
      <c r="K10" s="9" t="s">
        <v>21</v>
      </c>
    </row>
    <row r="11" spans="1:11">
      <c r="A11" s="9">
        <v>6</v>
      </c>
      <c r="B11" s="9" t="s">
        <v>38</v>
      </c>
      <c r="C11" s="9">
        <v>7000000006</v>
      </c>
      <c r="D11" s="10" t="s">
        <v>39</v>
      </c>
      <c r="E11" s="10" t="s">
        <v>40</v>
      </c>
      <c r="F11" s="9" t="s">
        <v>28</v>
      </c>
      <c r="G11" s="9" t="s">
        <v>17</v>
      </c>
      <c r="H11" s="9" t="s">
        <v>18</v>
      </c>
      <c r="I11" s="9" t="s">
        <v>29</v>
      </c>
      <c r="J11" s="9" t="s">
        <v>53</v>
      </c>
      <c r="K11" s="9" t="s">
        <v>21</v>
      </c>
    </row>
    <row r="12" spans="1:11">
      <c r="A12" s="9">
        <v>7</v>
      </c>
      <c r="B12" s="9" t="s">
        <v>41</v>
      </c>
      <c r="C12" s="9">
        <v>7000000007</v>
      </c>
      <c r="D12" s="10" t="s">
        <v>42</v>
      </c>
      <c r="E12" s="10" t="s">
        <v>43</v>
      </c>
      <c r="F12" s="9" t="s">
        <v>28</v>
      </c>
      <c r="G12" s="9" t="s">
        <v>17</v>
      </c>
      <c r="H12" s="9" t="s">
        <v>18</v>
      </c>
      <c r="I12" s="9" t="s">
        <v>29</v>
      </c>
      <c r="J12" s="9" t="s">
        <v>53</v>
      </c>
      <c r="K12" s="9" t="s">
        <v>21</v>
      </c>
    </row>
    <row r="13" spans="1:11">
      <c r="A13" s="9">
        <v>8</v>
      </c>
      <c r="B13" s="9" t="s">
        <v>443</v>
      </c>
      <c r="C13" s="9">
        <v>7000000200</v>
      </c>
      <c r="D13" s="10" t="s">
        <v>444</v>
      </c>
      <c r="E13" s="10" t="s">
        <v>43</v>
      </c>
      <c r="F13" s="9" t="s">
        <v>303</v>
      </c>
      <c r="G13" s="9" t="s">
        <v>17</v>
      </c>
      <c r="H13" s="9" t="s">
        <v>18</v>
      </c>
      <c r="I13" s="9" t="s">
        <v>236</v>
      </c>
      <c r="J13" s="9" t="s">
        <v>53</v>
      </c>
      <c r="K13" s="9" t="s">
        <v>21</v>
      </c>
    </row>
    <row r="14" spans="1:11">
      <c r="A14" s="9">
        <v>9</v>
      </c>
      <c r="B14" s="9" t="s">
        <v>44</v>
      </c>
      <c r="C14" s="9">
        <v>7000000008</v>
      </c>
      <c r="D14" s="10" t="s">
        <v>45</v>
      </c>
      <c r="E14" s="10" t="s">
        <v>46</v>
      </c>
      <c r="F14" s="9" t="s">
        <v>28</v>
      </c>
      <c r="G14" s="9" t="s">
        <v>17</v>
      </c>
      <c r="H14" s="9" t="s">
        <v>18</v>
      </c>
      <c r="I14" s="9" t="s">
        <v>29</v>
      </c>
      <c r="J14" s="9" t="s">
        <v>53</v>
      </c>
      <c r="K14" s="9" t="s">
        <v>21</v>
      </c>
    </row>
    <row r="15" spans="1:11">
      <c r="A15" s="9">
        <v>10</v>
      </c>
      <c r="B15" s="9" t="s">
        <v>47</v>
      </c>
      <c r="C15" s="9">
        <v>7000000009</v>
      </c>
      <c r="D15" s="10" t="s">
        <v>48</v>
      </c>
      <c r="E15" s="10" t="s">
        <v>49</v>
      </c>
      <c r="F15" s="9" t="s">
        <v>28</v>
      </c>
      <c r="G15" s="9" t="s">
        <v>17</v>
      </c>
      <c r="H15" s="9" t="s">
        <v>18</v>
      </c>
      <c r="I15" s="9" t="s">
        <v>29</v>
      </c>
      <c r="J15" s="9" t="s">
        <v>53</v>
      </c>
      <c r="K15" s="9" t="s">
        <v>21</v>
      </c>
    </row>
    <row r="16" spans="1:11">
      <c r="A16" s="9">
        <v>11</v>
      </c>
      <c r="B16" s="9" t="s">
        <v>466</v>
      </c>
      <c r="C16" s="9">
        <v>7000000211</v>
      </c>
      <c r="D16" s="10" t="s">
        <v>467</v>
      </c>
      <c r="E16" s="10" t="s">
        <v>46</v>
      </c>
      <c r="F16" s="9" t="s">
        <v>28</v>
      </c>
      <c r="G16" s="9" t="s">
        <v>17</v>
      </c>
      <c r="H16" s="9" t="s">
        <v>18</v>
      </c>
      <c r="I16" s="9" t="s">
        <v>29</v>
      </c>
      <c r="J16" s="9" t="s">
        <v>20</v>
      </c>
      <c r="K16" s="9" t="s">
        <v>21</v>
      </c>
    </row>
    <row r="17" spans="1:11">
      <c r="A17" s="9">
        <v>12</v>
      </c>
      <c r="B17" s="9" t="s">
        <v>50</v>
      </c>
      <c r="C17" s="9">
        <v>7000000010</v>
      </c>
      <c r="D17" s="10" t="s">
        <v>51</v>
      </c>
      <c r="E17" s="10" t="s">
        <v>52</v>
      </c>
      <c r="F17" s="9" t="s">
        <v>28</v>
      </c>
      <c r="G17" s="9" t="s">
        <v>17</v>
      </c>
      <c r="H17" s="9" t="s">
        <v>18</v>
      </c>
      <c r="I17" s="9" t="s">
        <v>29</v>
      </c>
      <c r="J17" s="9" t="s">
        <v>20</v>
      </c>
      <c r="K17" s="9" t="s">
        <v>21</v>
      </c>
    </row>
    <row r="18" spans="1:11">
      <c r="A18" s="9">
        <v>13</v>
      </c>
      <c r="B18" s="9" t="s">
        <v>409</v>
      </c>
      <c r="C18" s="9">
        <v>7000000183</v>
      </c>
      <c r="D18" s="10" t="s">
        <v>492</v>
      </c>
      <c r="E18" s="10" t="s">
        <v>32</v>
      </c>
      <c r="F18" s="9" t="s">
        <v>303</v>
      </c>
      <c r="G18" s="9" t="s">
        <v>17</v>
      </c>
      <c r="H18" s="9" t="s">
        <v>18</v>
      </c>
      <c r="I18" s="9" t="s">
        <v>236</v>
      </c>
      <c r="J18" s="9" t="s">
        <v>53</v>
      </c>
      <c r="K18" s="9" t="s">
        <v>21</v>
      </c>
    </row>
    <row r="19" spans="1:11">
      <c r="A19" s="9">
        <v>14</v>
      </c>
      <c r="B19" s="9" t="s">
        <v>429</v>
      </c>
      <c r="C19" s="9">
        <v>7000000193</v>
      </c>
      <c r="D19" s="10" t="s">
        <v>493</v>
      </c>
      <c r="E19" s="10" t="s">
        <v>235</v>
      </c>
      <c r="F19" s="9" t="s">
        <v>303</v>
      </c>
      <c r="G19" s="9" t="s">
        <v>17</v>
      </c>
      <c r="H19" s="9" t="s">
        <v>18</v>
      </c>
      <c r="I19" s="9" t="s">
        <v>236</v>
      </c>
      <c r="J19" s="9" t="s">
        <v>53</v>
      </c>
      <c r="K19" s="9" t="s">
        <v>21</v>
      </c>
    </row>
    <row r="20" spans="1:11">
      <c r="A20" s="9">
        <v>15</v>
      </c>
      <c r="B20" s="9" t="s">
        <v>413</v>
      </c>
      <c r="C20" s="9">
        <v>7000000185</v>
      </c>
      <c r="D20" s="10" t="s">
        <v>414</v>
      </c>
      <c r="E20" s="10" t="s">
        <v>43</v>
      </c>
      <c r="F20" s="9" t="s">
        <v>303</v>
      </c>
      <c r="G20" s="9" t="s">
        <v>17</v>
      </c>
      <c r="H20" s="9" t="s">
        <v>18</v>
      </c>
      <c r="I20" s="9" t="s">
        <v>236</v>
      </c>
      <c r="J20" s="9" t="s">
        <v>53</v>
      </c>
      <c r="K20" s="9" t="s">
        <v>21</v>
      </c>
    </row>
    <row r="21" spans="1:11">
      <c r="A21" s="9">
        <v>16</v>
      </c>
      <c r="B21" s="9" t="s">
        <v>417</v>
      </c>
      <c r="C21" s="9">
        <v>7000000187</v>
      </c>
      <c r="D21" s="10" t="s">
        <v>418</v>
      </c>
      <c r="E21" s="10" t="s">
        <v>43</v>
      </c>
      <c r="F21" s="9" t="s">
        <v>303</v>
      </c>
      <c r="G21" s="9" t="s">
        <v>17</v>
      </c>
      <c r="H21" s="9" t="s">
        <v>18</v>
      </c>
      <c r="I21" s="9" t="s">
        <v>236</v>
      </c>
      <c r="J21" s="9" t="s">
        <v>53</v>
      </c>
      <c r="K21" s="9" t="s">
        <v>21</v>
      </c>
    </row>
    <row r="22" spans="1:11">
      <c r="A22" s="9">
        <v>17</v>
      </c>
      <c r="B22" s="9" t="s">
        <v>441</v>
      </c>
      <c r="C22" s="9">
        <v>7000000199</v>
      </c>
      <c r="D22" s="10" t="s">
        <v>442</v>
      </c>
      <c r="E22" s="10" t="s">
        <v>43</v>
      </c>
      <c r="F22" s="9" t="s">
        <v>303</v>
      </c>
      <c r="G22" s="9" t="s">
        <v>17</v>
      </c>
      <c r="H22" s="9" t="s">
        <v>18</v>
      </c>
      <c r="I22" s="9" t="s">
        <v>236</v>
      </c>
      <c r="J22" s="9" t="s">
        <v>53</v>
      </c>
      <c r="K22" s="9" t="s">
        <v>21</v>
      </c>
    </row>
    <row r="23" spans="1:11">
      <c r="A23" s="9">
        <v>18</v>
      </c>
      <c r="B23" s="9" t="s">
        <v>449</v>
      </c>
      <c r="C23" s="9">
        <v>7000000203</v>
      </c>
      <c r="D23" s="10" t="s">
        <v>450</v>
      </c>
      <c r="E23" s="10" t="s">
        <v>27</v>
      </c>
      <c r="F23" s="9" t="s">
        <v>298</v>
      </c>
      <c r="G23" s="9" t="s">
        <v>17</v>
      </c>
      <c r="H23" s="9" t="s">
        <v>18</v>
      </c>
      <c r="I23" s="9" t="s">
        <v>19</v>
      </c>
      <c r="J23" s="9" t="s">
        <v>20</v>
      </c>
      <c r="K23" s="9" t="s">
        <v>21</v>
      </c>
    </row>
    <row r="24" spans="1:11">
      <c r="A24" s="9">
        <v>19</v>
      </c>
      <c r="B24" s="9" t="s">
        <v>54</v>
      </c>
      <c r="C24" s="9">
        <v>7000000011</v>
      </c>
      <c r="D24" s="10" t="s">
        <v>494</v>
      </c>
      <c r="E24" s="10" t="s">
        <v>52</v>
      </c>
      <c r="F24" s="9" t="s">
        <v>28</v>
      </c>
      <c r="G24" s="9" t="s">
        <v>17</v>
      </c>
      <c r="H24" s="9" t="s">
        <v>18</v>
      </c>
      <c r="I24" s="9" t="s">
        <v>29</v>
      </c>
      <c r="J24" s="9" t="s">
        <v>53</v>
      </c>
      <c r="K24" s="9" t="s">
        <v>21</v>
      </c>
    </row>
    <row r="25" spans="1:11">
      <c r="A25" s="9">
        <v>20</v>
      </c>
      <c r="B25" s="9" t="s">
        <v>56</v>
      </c>
      <c r="C25" s="9">
        <v>7000000012</v>
      </c>
      <c r="D25" s="10" t="s">
        <v>57</v>
      </c>
      <c r="E25" s="10" t="s">
        <v>52</v>
      </c>
      <c r="F25" s="9" t="s">
        <v>28</v>
      </c>
      <c r="G25" s="9" t="s">
        <v>17</v>
      </c>
      <c r="H25" s="9" t="s">
        <v>18</v>
      </c>
      <c r="I25" s="9" t="s">
        <v>29</v>
      </c>
      <c r="J25" s="9" t="s">
        <v>53</v>
      </c>
      <c r="K25" s="9" t="s">
        <v>21</v>
      </c>
    </row>
    <row r="26" spans="1:11">
      <c r="A26" s="9">
        <v>21</v>
      </c>
      <c r="B26" s="9" t="s">
        <v>58</v>
      </c>
      <c r="C26" s="9">
        <v>7000000013</v>
      </c>
      <c r="D26" s="10" t="s">
        <v>59</v>
      </c>
      <c r="E26" s="10" t="s">
        <v>32</v>
      </c>
      <c r="F26" s="9" t="s">
        <v>28</v>
      </c>
      <c r="G26" s="9" t="s">
        <v>17</v>
      </c>
      <c r="H26" s="9" t="s">
        <v>18</v>
      </c>
      <c r="I26" s="9" t="s">
        <v>29</v>
      </c>
      <c r="J26" s="9" t="s">
        <v>53</v>
      </c>
      <c r="K26" s="9" t="s">
        <v>21</v>
      </c>
    </row>
    <row r="27" spans="1:11">
      <c r="A27" s="9">
        <v>22</v>
      </c>
      <c r="B27" s="9" t="s">
        <v>60</v>
      </c>
      <c r="C27" s="9">
        <v>7000000014</v>
      </c>
      <c r="D27" s="10" t="s">
        <v>61</v>
      </c>
      <c r="E27" s="10" t="s">
        <v>43</v>
      </c>
      <c r="F27" s="9" t="s">
        <v>28</v>
      </c>
      <c r="G27" s="9" t="s">
        <v>17</v>
      </c>
      <c r="H27" s="9" t="s">
        <v>18</v>
      </c>
      <c r="I27" s="9" t="s">
        <v>29</v>
      </c>
      <c r="J27" s="9" t="s">
        <v>53</v>
      </c>
      <c r="K27" s="9" t="s">
        <v>21</v>
      </c>
    </row>
    <row r="28" spans="1:11">
      <c r="A28" s="9">
        <v>23</v>
      </c>
      <c r="B28" s="9" t="s">
        <v>62</v>
      </c>
      <c r="C28" s="9">
        <v>7000000015</v>
      </c>
      <c r="D28" s="10" t="s">
        <v>63</v>
      </c>
      <c r="E28" s="10" t="s">
        <v>43</v>
      </c>
      <c r="F28" s="9" t="s">
        <v>28</v>
      </c>
      <c r="G28" s="9" t="s">
        <v>17</v>
      </c>
      <c r="H28" s="9" t="s">
        <v>18</v>
      </c>
      <c r="I28" s="9" t="s">
        <v>29</v>
      </c>
      <c r="J28" s="9" t="s">
        <v>53</v>
      </c>
      <c r="K28" s="9" t="s">
        <v>21</v>
      </c>
    </row>
    <row r="29" spans="1:11">
      <c r="A29" s="9">
        <v>24</v>
      </c>
      <c r="B29" s="9" t="s">
        <v>64</v>
      </c>
      <c r="C29" s="9">
        <v>7000000016</v>
      </c>
      <c r="D29" s="10" t="s">
        <v>65</v>
      </c>
      <c r="E29" s="10" t="s">
        <v>43</v>
      </c>
      <c r="F29" s="9" t="s">
        <v>28</v>
      </c>
      <c r="G29" s="9" t="s">
        <v>17</v>
      </c>
      <c r="H29" s="9" t="s">
        <v>18</v>
      </c>
      <c r="I29" s="9" t="s">
        <v>29</v>
      </c>
      <c r="J29" s="9" t="s">
        <v>53</v>
      </c>
      <c r="K29" s="9" t="s">
        <v>21</v>
      </c>
    </row>
    <row r="30" spans="1:11">
      <c r="A30" s="9">
        <v>25</v>
      </c>
      <c r="B30" s="9" t="s">
        <v>66</v>
      </c>
      <c r="C30" s="9">
        <v>7000000017</v>
      </c>
      <c r="D30" s="10" t="s">
        <v>67</v>
      </c>
      <c r="E30" s="10" t="s">
        <v>43</v>
      </c>
      <c r="F30" s="9" t="s">
        <v>28</v>
      </c>
      <c r="G30" s="9" t="s">
        <v>17</v>
      </c>
      <c r="H30" s="9" t="s">
        <v>18</v>
      </c>
      <c r="I30" s="9" t="s">
        <v>29</v>
      </c>
      <c r="J30" s="9" t="s">
        <v>53</v>
      </c>
      <c r="K30" s="9" t="s">
        <v>21</v>
      </c>
    </row>
    <row r="31" spans="1:11">
      <c r="A31" s="9">
        <v>26</v>
      </c>
      <c r="B31" s="9" t="s">
        <v>68</v>
      </c>
      <c r="C31" s="9">
        <v>7000000018</v>
      </c>
      <c r="D31" s="10" t="s">
        <v>69</v>
      </c>
      <c r="E31" s="10" t="s">
        <v>43</v>
      </c>
      <c r="F31" s="9" t="s">
        <v>28</v>
      </c>
      <c r="G31" s="9" t="s">
        <v>17</v>
      </c>
      <c r="H31" s="9" t="s">
        <v>18</v>
      </c>
      <c r="I31" s="9" t="s">
        <v>29</v>
      </c>
      <c r="J31" s="9" t="s">
        <v>53</v>
      </c>
      <c r="K31" s="9" t="s">
        <v>21</v>
      </c>
    </row>
    <row r="32" spans="1:11">
      <c r="A32" s="9">
        <v>27</v>
      </c>
      <c r="B32" s="9" t="s">
        <v>70</v>
      </c>
      <c r="C32" s="9">
        <v>7000000019</v>
      </c>
      <c r="D32" s="10" t="s">
        <v>71</v>
      </c>
      <c r="E32" s="10" t="s">
        <v>43</v>
      </c>
      <c r="F32" s="9" t="s">
        <v>28</v>
      </c>
      <c r="G32" s="9" t="s">
        <v>17</v>
      </c>
      <c r="H32" s="9" t="s">
        <v>18</v>
      </c>
      <c r="I32" s="9" t="s">
        <v>29</v>
      </c>
      <c r="J32" s="9" t="s">
        <v>53</v>
      </c>
      <c r="K32" s="9" t="s">
        <v>21</v>
      </c>
    </row>
    <row r="33" spans="1:11">
      <c r="A33" s="9">
        <v>28</v>
      </c>
      <c r="B33" s="9" t="s">
        <v>72</v>
      </c>
      <c r="C33" s="9">
        <v>7000000020</v>
      </c>
      <c r="D33" s="10" t="s">
        <v>73</v>
      </c>
      <c r="E33" s="10" t="s">
        <v>43</v>
      </c>
      <c r="F33" s="9" t="s">
        <v>28</v>
      </c>
      <c r="G33" s="9" t="s">
        <v>17</v>
      </c>
      <c r="H33" s="9" t="s">
        <v>18</v>
      </c>
      <c r="I33" s="9" t="s">
        <v>29</v>
      </c>
      <c r="J33" s="9" t="s">
        <v>53</v>
      </c>
      <c r="K33" s="9" t="s">
        <v>21</v>
      </c>
    </row>
    <row r="34" spans="1:11">
      <c r="A34" s="9">
        <v>29</v>
      </c>
      <c r="B34" s="9" t="s">
        <v>74</v>
      </c>
      <c r="C34" s="9">
        <v>7000000021</v>
      </c>
      <c r="D34" s="10" t="s">
        <v>75</v>
      </c>
      <c r="E34" s="10" t="s">
        <v>43</v>
      </c>
      <c r="F34" s="9" t="s">
        <v>28</v>
      </c>
      <c r="G34" s="9" t="s">
        <v>17</v>
      </c>
      <c r="H34" s="9" t="s">
        <v>18</v>
      </c>
      <c r="I34" s="9" t="s">
        <v>29</v>
      </c>
      <c r="J34" s="9" t="s">
        <v>53</v>
      </c>
      <c r="K34" s="9" t="s">
        <v>21</v>
      </c>
    </row>
    <row r="35" spans="1:11">
      <c r="A35" s="9">
        <v>30</v>
      </c>
      <c r="B35" s="9" t="s">
        <v>76</v>
      </c>
      <c r="C35" s="9">
        <v>7000000022</v>
      </c>
      <c r="D35" s="10" t="s">
        <v>77</v>
      </c>
      <c r="E35" s="10" t="s">
        <v>43</v>
      </c>
      <c r="F35" s="9" t="s">
        <v>28</v>
      </c>
      <c r="G35" s="9" t="s">
        <v>17</v>
      </c>
      <c r="H35" s="9" t="s">
        <v>18</v>
      </c>
      <c r="I35" s="9" t="s">
        <v>29</v>
      </c>
      <c r="J35" s="9" t="s">
        <v>53</v>
      </c>
      <c r="K35" s="9" t="s">
        <v>21</v>
      </c>
    </row>
    <row r="36" spans="1:11">
      <c r="A36" s="9">
        <v>31</v>
      </c>
      <c r="B36" s="9" t="s">
        <v>78</v>
      </c>
      <c r="C36" s="9">
        <v>7000000023</v>
      </c>
      <c r="D36" s="10" t="s">
        <v>79</v>
      </c>
      <c r="E36" s="10" t="s">
        <v>43</v>
      </c>
      <c r="F36" s="9" t="s">
        <v>28</v>
      </c>
      <c r="G36" s="9" t="s">
        <v>17</v>
      </c>
      <c r="H36" s="9" t="s">
        <v>18</v>
      </c>
      <c r="I36" s="9" t="s">
        <v>29</v>
      </c>
      <c r="J36" s="9" t="s">
        <v>53</v>
      </c>
      <c r="K36" s="9" t="s">
        <v>21</v>
      </c>
    </row>
    <row r="37" spans="1:11">
      <c r="A37" s="9">
        <v>32</v>
      </c>
      <c r="B37" s="9" t="s">
        <v>495</v>
      </c>
      <c r="C37" s="9">
        <v>7000000223</v>
      </c>
      <c r="D37" s="10" t="s">
        <v>496</v>
      </c>
      <c r="E37" s="10" t="s">
        <v>43</v>
      </c>
      <c r="F37" s="9" t="s">
        <v>28</v>
      </c>
      <c r="G37" s="9" t="s">
        <v>17</v>
      </c>
      <c r="H37" s="9" t="s">
        <v>18</v>
      </c>
      <c r="I37" s="9" t="s">
        <v>29</v>
      </c>
      <c r="J37" s="9" t="s">
        <v>53</v>
      </c>
      <c r="K37" s="9" t="s">
        <v>21</v>
      </c>
    </row>
    <row r="38" spans="1:11">
      <c r="A38" s="9">
        <v>33</v>
      </c>
      <c r="B38" s="9" t="s">
        <v>80</v>
      </c>
      <c r="C38" s="9">
        <v>7000000024</v>
      </c>
      <c r="D38" s="10" t="s">
        <v>81</v>
      </c>
      <c r="E38" s="10" t="s">
        <v>43</v>
      </c>
      <c r="F38" s="9" t="s">
        <v>28</v>
      </c>
      <c r="G38" s="9" t="s">
        <v>17</v>
      </c>
      <c r="H38" s="9" t="s">
        <v>18</v>
      </c>
      <c r="I38" s="9" t="s">
        <v>29</v>
      </c>
      <c r="J38" s="9" t="s">
        <v>53</v>
      </c>
      <c r="K38" s="9" t="s">
        <v>21</v>
      </c>
    </row>
    <row r="39" spans="1:11">
      <c r="A39" s="9">
        <v>34</v>
      </c>
      <c r="B39" s="9" t="s">
        <v>82</v>
      </c>
      <c r="C39" s="9">
        <v>7000000025</v>
      </c>
      <c r="D39" s="10" t="s">
        <v>83</v>
      </c>
      <c r="E39" s="10" t="s">
        <v>84</v>
      </c>
      <c r="F39" s="9" t="s">
        <v>28</v>
      </c>
      <c r="G39" s="9" t="s">
        <v>17</v>
      </c>
      <c r="H39" s="9" t="s">
        <v>18</v>
      </c>
      <c r="I39" s="9" t="s">
        <v>29</v>
      </c>
      <c r="J39" s="9" t="s">
        <v>53</v>
      </c>
      <c r="K39" s="9" t="s">
        <v>21</v>
      </c>
    </row>
    <row r="40" spans="1:11">
      <c r="A40" s="9">
        <v>35</v>
      </c>
      <c r="B40" s="9" t="s">
        <v>85</v>
      </c>
      <c r="C40" s="9">
        <v>7000000026</v>
      </c>
      <c r="D40" s="10" t="s">
        <v>86</v>
      </c>
      <c r="E40" s="10" t="s">
        <v>52</v>
      </c>
      <c r="F40" s="9" t="s">
        <v>28</v>
      </c>
      <c r="G40" s="9" t="s">
        <v>17</v>
      </c>
      <c r="H40" s="9" t="s">
        <v>18</v>
      </c>
      <c r="I40" s="9" t="s">
        <v>29</v>
      </c>
      <c r="J40" s="9" t="s">
        <v>53</v>
      </c>
      <c r="K40" s="9" t="s">
        <v>21</v>
      </c>
    </row>
    <row r="41" spans="1:11">
      <c r="A41" s="9">
        <v>36</v>
      </c>
      <c r="B41" s="9" t="s">
        <v>87</v>
      </c>
      <c r="C41" s="9">
        <v>7000000027</v>
      </c>
      <c r="D41" s="10" t="s">
        <v>88</v>
      </c>
      <c r="E41" s="10" t="s">
        <v>27</v>
      </c>
      <c r="F41" s="9" t="s">
        <v>36</v>
      </c>
      <c r="G41" s="9" t="s">
        <v>17</v>
      </c>
      <c r="H41" s="9" t="s">
        <v>18</v>
      </c>
      <c r="I41" s="9" t="s">
        <v>239</v>
      </c>
      <c r="J41" s="9" t="s">
        <v>53</v>
      </c>
      <c r="K41" s="9" t="s">
        <v>21</v>
      </c>
    </row>
    <row r="42" spans="1:11">
      <c r="A42" s="9">
        <v>37</v>
      </c>
      <c r="B42" s="9" t="s">
        <v>89</v>
      </c>
      <c r="C42" s="9">
        <v>7000000028</v>
      </c>
      <c r="D42" s="10" t="s">
        <v>90</v>
      </c>
      <c r="E42" s="10" t="s">
        <v>27</v>
      </c>
      <c r="F42" s="9" t="s">
        <v>36</v>
      </c>
      <c r="G42" s="9" t="s">
        <v>17</v>
      </c>
      <c r="H42" s="9" t="s">
        <v>18</v>
      </c>
      <c r="I42" s="9" t="s">
        <v>239</v>
      </c>
      <c r="J42" s="9" t="s">
        <v>20</v>
      </c>
      <c r="K42" s="9" t="s">
        <v>21</v>
      </c>
    </row>
    <row r="43" spans="1:11">
      <c r="A43" s="9">
        <v>38</v>
      </c>
      <c r="B43" s="9" t="s">
        <v>91</v>
      </c>
      <c r="C43" s="9">
        <v>7000000029</v>
      </c>
      <c r="D43" s="10" t="s">
        <v>92</v>
      </c>
      <c r="E43" s="10" t="s">
        <v>35</v>
      </c>
      <c r="F43" s="9" t="s">
        <v>36</v>
      </c>
      <c r="G43" s="9" t="s">
        <v>17</v>
      </c>
      <c r="H43" s="9" t="s">
        <v>18</v>
      </c>
      <c r="I43" s="9" t="s">
        <v>239</v>
      </c>
      <c r="J43" s="9" t="s">
        <v>53</v>
      </c>
      <c r="K43" s="9" t="s">
        <v>21</v>
      </c>
    </row>
    <row r="44" spans="1:11">
      <c r="A44" s="9">
        <v>39</v>
      </c>
      <c r="B44" s="9" t="s">
        <v>93</v>
      </c>
      <c r="C44" s="9">
        <v>7000000030</v>
      </c>
      <c r="D44" s="10" t="s">
        <v>94</v>
      </c>
      <c r="E44" s="10" t="s">
        <v>35</v>
      </c>
      <c r="F44" s="9" t="s">
        <v>36</v>
      </c>
      <c r="G44" s="9" t="s">
        <v>17</v>
      </c>
      <c r="H44" s="9" t="s">
        <v>18</v>
      </c>
      <c r="I44" s="9" t="s">
        <v>239</v>
      </c>
      <c r="J44" s="9" t="s">
        <v>53</v>
      </c>
      <c r="K44" s="9" t="s">
        <v>21</v>
      </c>
    </row>
    <row r="45" spans="1:11">
      <c r="A45" s="9">
        <v>40</v>
      </c>
      <c r="B45" s="9" t="s">
        <v>497</v>
      </c>
      <c r="C45" s="9">
        <v>7000000224</v>
      </c>
      <c r="D45" s="10" t="s">
        <v>498</v>
      </c>
      <c r="E45" s="10" t="s">
        <v>27</v>
      </c>
      <c r="F45" s="9" t="s">
        <v>303</v>
      </c>
      <c r="G45" s="9" t="s">
        <v>17</v>
      </c>
      <c r="H45" s="9" t="s">
        <v>18</v>
      </c>
      <c r="I45" s="9" t="s">
        <v>29</v>
      </c>
      <c r="J45" s="9" t="s">
        <v>20</v>
      </c>
      <c r="K45" s="9" t="s">
        <v>21</v>
      </c>
    </row>
    <row r="46" spans="1:11">
      <c r="A46" s="9">
        <v>41</v>
      </c>
      <c r="B46" s="9" t="s">
        <v>310</v>
      </c>
      <c r="C46" s="9">
        <v>7000000134</v>
      </c>
      <c r="D46" s="10" t="s">
        <v>311</v>
      </c>
      <c r="E46" s="10" t="s">
        <v>52</v>
      </c>
      <c r="F46" s="9" t="s">
        <v>303</v>
      </c>
      <c r="G46" s="9" t="s">
        <v>17</v>
      </c>
      <c r="H46" s="9" t="s">
        <v>18</v>
      </c>
      <c r="I46" s="9" t="s">
        <v>236</v>
      </c>
      <c r="J46" s="9" t="s">
        <v>20</v>
      </c>
      <c r="K46" s="9" t="s">
        <v>21</v>
      </c>
    </row>
    <row r="47" spans="1:11">
      <c r="A47" s="9">
        <v>42</v>
      </c>
      <c r="B47" s="9" t="s">
        <v>334</v>
      </c>
      <c r="C47" s="9">
        <v>7000000146</v>
      </c>
      <c r="D47" s="10" t="s">
        <v>499</v>
      </c>
      <c r="E47" s="10" t="s">
        <v>32</v>
      </c>
      <c r="F47" s="9" t="s">
        <v>303</v>
      </c>
      <c r="G47" s="9" t="s">
        <v>17</v>
      </c>
      <c r="H47" s="9" t="s">
        <v>18</v>
      </c>
      <c r="I47" s="9" t="s">
        <v>236</v>
      </c>
      <c r="J47" s="9" t="s">
        <v>20</v>
      </c>
      <c r="K47" s="9" t="s">
        <v>21</v>
      </c>
    </row>
    <row r="48" spans="1:11">
      <c r="A48" s="9">
        <v>43</v>
      </c>
      <c r="B48" s="9" t="s">
        <v>348</v>
      </c>
      <c r="C48" s="9">
        <v>7000000153</v>
      </c>
      <c r="D48" s="10" t="s">
        <v>500</v>
      </c>
      <c r="E48" s="10" t="s">
        <v>84</v>
      </c>
      <c r="F48" s="9" t="s">
        <v>303</v>
      </c>
      <c r="G48" s="9" t="s">
        <v>17</v>
      </c>
      <c r="H48" s="9" t="s">
        <v>18</v>
      </c>
      <c r="I48" s="9" t="s">
        <v>239</v>
      </c>
      <c r="J48" s="9" t="s">
        <v>53</v>
      </c>
      <c r="K48" s="9" t="s">
        <v>21</v>
      </c>
    </row>
    <row r="49" spans="1:11">
      <c r="A49" s="9">
        <v>44</v>
      </c>
      <c r="B49" s="9" t="s">
        <v>346</v>
      </c>
      <c r="C49" s="9">
        <v>7000000152</v>
      </c>
      <c r="D49" s="10" t="s">
        <v>347</v>
      </c>
      <c r="E49" s="10" t="s">
        <v>84</v>
      </c>
      <c r="F49" s="9" t="s">
        <v>303</v>
      </c>
      <c r="G49" s="9" t="s">
        <v>17</v>
      </c>
      <c r="H49" s="9" t="s">
        <v>18</v>
      </c>
      <c r="I49" s="9" t="s">
        <v>239</v>
      </c>
      <c r="J49" s="9" t="s">
        <v>20</v>
      </c>
      <c r="K49" s="9" t="s">
        <v>21</v>
      </c>
    </row>
    <row r="50" spans="1:11">
      <c r="A50" s="9">
        <v>45</v>
      </c>
      <c r="B50" s="9" t="s">
        <v>320</v>
      </c>
      <c r="C50" s="9">
        <v>7000000139</v>
      </c>
      <c r="D50" s="10" t="s">
        <v>321</v>
      </c>
      <c r="E50" s="10" t="s">
        <v>40</v>
      </c>
      <c r="F50" s="9" t="s">
        <v>303</v>
      </c>
      <c r="G50" s="9" t="s">
        <v>17</v>
      </c>
      <c r="H50" s="9" t="s">
        <v>18</v>
      </c>
      <c r="I50" s="9" t="s">
        <v>236</v>
      </c>
      <c r="J50" s="9" t="s">
        <v>53</v>
      </c>
      <c r="K50" s="9" t="s">
        <v>21</v>
      </c>
    </row>
    <row r="51" spans="1:11">
      <c r="A51" s="9">
        <v>46</v>
      </c>
      <c r="B51" s="9" t="s">
        <v>399</v>
      </c>
      <c r="C51" s="9">
        <v>7000000178</v>
      </c>
      <c r="D51" s="10" t="s">
        <v>501</v>
      </c>
      <c r="E51" s="10" t="s">
        <v>40</v>
      </c>
      <c r="F51" s="9" t="s">
        <v>303</v>
      </c>
      <c r="G51" s="9" t="s">
        <v>17</v>
      </c>
      <c r="H51" s="9" t="s">
        <v>18</v>
      </c>
      <c r="I51" s="9" t="s">
        <v>19</v>
      </c>
      <c r="J51" s="9" t="s">
        <v>53</v>
      </c>
      <c r="K51" s="9" t="s">
        <v>21</v>
      </c>
    </row>
    <row r="52" spans="1:11">
      <c r="A52" s="9">
        <v>47</v>
      </c>
      <c r="B52" s="9" t="s">
        <v>407</v>
      </c>
      <c r="C52" s="9">
        <v>7000000182</v>
      </c>
      <c r="D52" s="10" t="s">
        <v>408</v>
      </c>
      <c r="E52" s="10" t="s">
        <v>84</v>
      </c>
      <c r="F52" s="9" t="s">
        <v>303</v>
      </c>
      <c r="G52" s="9" t="s">
        <v>17</v>
      </c>
      <c r="H52" s="9" t="s">
        <v>18</v>
      </c>
      <c r="I52" s="9" t="s">
        <v>19</v>
      </c>
      <c r="J52" s="9" t="s">
        <v>20</v>
      </c>
      <c r="K52" s="9" t="s">
        <v>21</v>
      </c>
    </row>
    <row r="53" spans="1:11">
      <c r="A53" s="9">
        <v>48</v>
      </c>
      <c r="B53" s="9" t="s">
        <v>301</v>
      </c>
      <c r="C53" s="9">
        <v>7000000130</v>
      </c>
      <c r="D53" s="10" t="s">
        <v>302</v>
      </c>
      <c r="E53" s="10" t="s">
        <v>15</v>
      </c>
      <c r="F53" s="9" t="s">
        <v>303</v>
      </c>
      <c r="G53" s="9" t="s">
        <v>17</v>
      </c>
      <c r="H53" s="9" t="s">
        <v>18</v>
      </c>
      <c r="I53" s="9" t="s">
        <v>239</v>
      </c>
      <c r="J53" s="9" t="s">
        <v>20</v>
      </c>
      <c r="K53" s="9" t="s">
        <v>21</v>
      </c>
    </row>
    <row r="54" spans="1:11">
      <c r="A54" s="9">
        <v>49</v>
      </c>
      <c r="B54" s="9" t="s">
        <v>95</v>
      </c>
      <c r="C54" s="9">
        <v>7000000031</v>
      </c>
      <c r="D54" s="10" t="s">
        <v>96</v>
      </c>
      <c r="E54" s="10" t="s">
        <v>32</v>
      </c>
      <c r="F54" s="9" t="s">
        <v>28</v>
      </c>
      <c r="G54" s="9" t="s">
        <v>17</v>
      </c>
      <c r="H54" s="9" t="s">
        <v>18</v>
      </c>
      <c r="I54" s="9" t="s">
        <v>29</v>
      </c>
      <c r="J54" s="9" t="s">
        <v>20</v>
      </c>
      <c r="K54" s="9" t="s">
        <v>21</v>
      </c>
    </row>
    <row r="55" spans="1:11">
      <c r="A55" s="9">
        <v>50</v>
      </c>
      <c r="B55" s="9" t="s">
        <v>97</v>
      </c>
      <c r="C55" s="9">
        <v>7000000032</v>
      </c>
      <c r="D55" s="10" t="s">
        <v>98</v>
      </c>
      <c r="E55" s="10" t="s">
        <v>52</v>
      </c>
      <c r="F55" s="9" t="s">
        <v>28</v>
      </c>
      <c r="G55" s="9" t="s">
        <v>17</v>
      </c>
      <c r="H55" s="9" t="s">
        <v>18</v>
      </c>
      <c r="I55" s="9" t="s">
        <v>29</v>
      </c>
      <c r="J55" s="9" t="s">
        <v>53</v>
      </c>
      <c r="K55" s="9" t="s">
        <v>21</v>
      </c>
    </row>
    <row r="56" spans="1:11">
      <c r="A56" s="9">
        <v>51</v>
      </c>
      <c r="B56" s="9" t="s">
        <v>502</v>
      </c>
      <c r="C56" s="9">
        <v>7000000225</v>
      </c>
      <c r="D56" s="10" t="s">
        <v>503</v>
      </c>
      <c r="E56" s="10" t="s">
        <v>52</v>
      </c>
      <c r="F56" s="9" t="s">
        <v>28</v>
      </c>
      <c r="G56" s="9" t="s">
        <v>17</v>
      </c>
      <c r="H56" s="9" t="s">
        <v>18</v>
      </c>
      <c r="I56" s="9" t="s">
        <v>29</v>
      </c>
      <c r="J56" s="9" t="s">
        <v>20</v>
      </c>
      <c r="K56" s="9" t="s">
        <v>21</v>
      </c>
    </row>
    <row r="57" spans="1:11">
      <c r="A57" s="9">
        <v>52</v>
      </c>
      <c r="B57" s="9" t="s">
        <v>99</v>
      </c>
      <c r="C57" s="9">
        <v>7000000033</v>
      </c>
      <c r="D57" s="10" t="s">
        <v>100</v>
      </c>
      <c r="E57" s="10" t="s">
        <v>52</v>
      </c>
      <c r="F57" s="9" t="s">
        <v>28</v>
      </c>
      <c r="G57" s="9" t="s">
        <v>17</v>
      </c>
      <c r="H57" s="9" t="s">
        <v>18</v>
      </c>
      <c r="I57" s="9" t="s">
        <v>29</v>
      </c>
      <c r="J57" s="9" t="s">
        <v>20</v>
      </c>
      <c r="K57" s="9" t="s">
        <v>21</v>
      </c>
    </row>
    <row r="58" spans="1:11">
      <c r="A58" s="9">
        <v>53</v>
      </c>
      <c r="B58" s="9" t="s">
        <v>101</v>
      </c>
      <c r="C58" s="9">
        <v>7000000034</v>
      </c>
      <c r="D58" s="10" t="s">
        <v>102</v>
      </c>
      <c r="E58" s="10" t="s">
        <v>35</v>
      </c>
      <c r="F58" s="9" t="s">
        <v>36</v>
      </c>
      <c r="G58" s="9" t="s">
        <v>17</v>
      </c>
      <c r="H58" s="9" t="s">
        <v>18</v>
      </c>
      <c r="I58" s="9" t="s">
        <v>239</v>
      </c>
      <c r="J58" s="9" t="s">
        <v>20</v>
      </c>
      <c r="K58" s="9" t="s">
        <v>21</v>
      </c>
    </row>
    <row r="59" spans="1:11">
      <c r="A59" s="9">
        <v>54</v>
      </c>
      <c r="B59" s="9" t="s">
        <v>103</v>
      </c>
      <c r="C59" s="9">
        <v>7000000035</v>
      </c>
      <c r="D59" s="10" t="s">
        <v>104</v>
      </c>
      <c r="E59" s="10" t="s">
        <v>35</v>
      </c>
      <c r="F59" s="9" t="s">
        <v>36</v>
      </c>
      <c r="G59" s="9" t="s">
        <v>17</v>
      </c>
      <c r="H59" s="9" t="s">
        <v>18</v>
      </c>
      <c r="I59" s="9" t="s">
        <v>239</v>
      </c>
      <c r="J59" s="9" t="s">
        <v>53</v>
      </c>
      <c r="K59" s="9" t="s">
        <v>21</v>
      </c>
    </row>
    <row r="60" spans="1:11">
      <c r="A60" s="9">
        <v>55</v>
      </c>
      <c r="B60" s="9" t="s">
        <v>488</v>
      </c>
      <c r="C60" s="9">
        <v>7000000222</v>
      </c>
      <c r="D60" s="10" t="s">
        <v>489</v>
      </c>
      <c r="E60" s="10" t="s">
        <v>35</v>
      </c>
      <c r="F60" s="9" t="s">
        <v>36</v>
      </c>
      <c r="G60" s="9" t="s">
        <v>17</v>
      </c>
      <c r="H60" s="9" t="s">
        <v>18</v>
      </c>
      <c r="I60" s="9" t="s">
        <v>239</v>
      </c>
      <c r="J60" s="9" t="s">
        <v>20</v>
      </c>
      <c r="K60" s="9" t="s">
        <v>21</v>
      </c>
    </row>
    <row r="61" spans="1:11">
      <c r="A61" s="9">
        <v>56</v>
      </c>
      <c r="B61" s="9" t="s">
        <v>480</v>
      </c>
      <c r="C61" s="9">
        <v>7000000218</v>
      </c>
      <c r="D61" s="10" t="s">
        <v>481</v>
      </c>
      <c r="E61" s="10" t="s">
        <v>40</v>
      </c>
      <c r="F61" s="9" t="s">
        <v>303</v>
      </c>
      <c r="G61" s="9" t="s">
        <v>17</v>
      </c>
      <c r="H61" s="9" t="s">
        <v>18</v>
      </c>
      <c r="I61" s="9" t="s">
        <v>37</v>
      </c>
      <c r="J61" s="9" t="s">
        <v>20</v>
      </c>
      <c r="K61" s="9" t="s">
        <v>21</v>
      </c>
    </row>
    <row r="62" spans="1:11">
      <c r="A62" s="9">
        <v>57</v>
      </c>
      <c r="B62" s="9" t="s">
        <v>468</v>
      </c>
      <c r="C62" s="9">
        <v>7000000212</v>
      </c>
      <c r="D62" s="10" t="s">
        <v>469</v>
      </c>
      <c r="E62" s="10" t="s">
        <v>40</v>
      </c>
      <c r="F62" s="9" t="s">
        <v>28</v>
      </c>
      <c r="G62" s="9" t="s">
        <v>17</v>
      </c>
      <c r="H62" s="9" t="s">
        <v>18</v>
      </c>
      <c r="I62" s="9" t="s">
        <v>29</v>
      </c>
      <c r="J62" s="9" t="s">
        <v>20</v>
      </c>
      <c r="K62" s="9" t="s">
        <v>21</v>
      </c>
    </row>
    <row r="63" spans="1:11">
      <c r="A63" s="9">
        <v>58</v>
      </c>
      <c r="B63" s="9" t="s">
        <v>105</v>
      </c>
      <c r="C63" s="9">
        <v>7000000036</v>
      </c>
      <c r="D63" s="10" t="s">
        <v>106</v>
      </c>
      <c r="E63" s="10" t="s">
        <v>40</v>
      </c>
      <c r="F63" s="9" t="s">
        <v>28</v>
      </c>
      <c r="G63" s="9" t="s">
        <v>17</v>
      </c>
      <c r="H63" s="9" t="s">
        <v>18</v>
      </c>
      <c r="I63" s="9" t="s">
        <v>29</v>
      </c>
      <c r="J63" s="9" t="s">
        <v>20</v>
      </c>
      <c r="K63" s="9" t="s">
        <v>21</v>
      </c>
    </row>
    <row r="64" spans="1:11">
      <c r="A64" s="9">
        <v>59</v>
      </c>
      <c r="B64" s="9" t="s">
        <v>470</v>
      </c>
      <c r="C64" s="9">
        <v>7000000213</v>
      </c>
      <c r="D64" s="10" t="s">
        <v>471</v>
      </c>
      <c r="E64" s="10" t="s">
        <v>40</v>
      </c>
      <c r="F64" s="9" t="s">
        <v>28</v>
      </c>
      <c r="G64" s="9" t="s">
        <v>17</v>
      </c>
      <c r="H64" s="9" t="s">
        <v>18</v>
      </c>
      <c r="I64" s="9" t="s">
        <v>29</v>
      </c>
      <c r="J64" s="9" t="s">
        <v>20</v>
      </c>
      <c r="K64" s="9" t="s">
        <v>21</v>
      </c>
    </row>
    <row r="65" spans="1:11">
      <c r="A65" s="9">
        <v>60</v>
      </c>
      <c r="B65" s="9" t="s">
        <v>474</v>
      </c>
      <c r="C65" s="9">
        <v>7000000215</v>
      </c>
      <c r="D65" s="10" t="s">
        <v>475</v>
      </c>
      <c r="E65" s="10" t="s">
        <v>32</v>
      </c>
      <c r="F65" s="9" t="s">
        <v>28</v>
      </c>
      <c r="G65" s="9" t="s">
        <v>17</v>
      </c>
      <c r="H65" s="9" t="s">
        <v>18</v>
      </c>
      <c r="I65" s="9" t="s">
        <v>29</v>
      </c>
      <c r="J65" s="9" t="s">
        <v>20</v>
      </c>
      <c r="K65" s="9" t="s">
        <v>21</v>
      </c>
    </row>
    <row r="66" spans="1:11">
      <c r="A66" s="9">
        <v>61</v>
      </c>
      <c r="B66" s="9" t="s">
        <v>478</v>
      </c>
      <c r="C66" s="9">
        <v>7000000217</v>
      </c>
      <c r="D66" s="10" t="s">
        <v>479</v>
      </c>
      <c r="E66" s="10" t="s">
        <v>43</v>
      </c>
      <c r="F66" s="9" t="s">
        <v>28</v>
      </c>
      <c r="G66" s="9" t="s">
        <v>17</v>
      </c>
      <c r="H66" s="9" t="s">
        <v>18</v>
      </c>
      <c r="I66" s="9" t="s">
        <v>29</v>
      </c>
      <c r="J66" s="9" t="s">
        <v>20</v>
      </c>
      <c r="K66" s="9" t="s">
        <v>21</v>
      </c>
    </row>
    <row r="67" spans="1:11">
      <c r="A67" s="9">
        <v>62</v>
      </c>
      <c r="B67" s="9" t="s">
        <v>476</v>
      </c>
      <c r="C67" s="9">
        <v>7000000216</v>
      </c>
      <c r="D67" s="10" t="s">
        <v>477</v>
      </c>
      <c r="E67" s="10" t="s">
        <v>43</v>
      </c>
      <c r="F67" s="9" t="s">
        <v>28</v>
      </c>
      <c r="G67" s="9" t="s">
        <v>17</v>
      </c>
      <c r="H67" s="9" t="s">
        <v>18</v>
      </c>
      <c r="I67" s="9" t="s">
        <v>29</v>
      </c>
      <c r="J67" s="9" t="s">
        <v>20</v>
      </c>
      <c r="K67" s="9" t="s">
        <v>21</v>
      </c>
    </row>
    <row r="68" spans="1:11">
      <c r="A68" s="9">
        <v>63</v>
      </c>
      <c r="B68" s="9" t="s">
        <v>433</v>
      </c>
      <c r="C68" s="9">
        <v>7000000195</v>
      </c>
      <c r="D68" s="10" t="s">
        <v>434</v>
      </c>
      <c r="E68" s="10" t="s">
        <v>43</v>
      </c>
      <c r="F68" s="9" t="s">
        <v>303</v>
      </c>
      <c r="G68" s="9" t="s">
        <v>17</v>
      </c>
      <c r="H68" s="9" t="s">
        <v>18</v>
      </c>
      <c r="I68" s="9" t="s">
        <v>236</v>
      </c>
      <c r="J68" s="9" t="s">
        <v>53</v>
      </c>
      <c r="K68" s="9" t="s">
        <v>21</v>
      </c>
    </row>
    <row r="69" spans="1:11">
      <c r="A69" s="9">
        <v>64</v>
      </c>
      <c r="B69" s="9" t="s">
        <v>435</v>
      </c>
      <c r="C69" s="9">
        <v>7000000196</v>
      </c>
      <c r="D69" s="10" t="s">
        <v>436</v>
      </c>
      <c r="E69" s="10" t="s">
        <v>43</v>
      </c>
      <c r="F69" s="9" t="s">
        <v>303</v>
      </c>
      <c r="G69" s="9" t="s">
        <v>17</v>
      </c>
      <c r="H69" s="9" t="s">
        <v>18</v>
      </c>
      <c r="I69" s="9" t="s">
        <v>236</v>
      </c>
      <c r="J69" s="9" t="s">
        <v>53</v>
      </c>
      <c r="K69" s="9" t="s">
        <v>21</v>
      </c>
    </row>
    <row r="70" spans="1:11">
      <c r="A70" s="9">
        <v>65</v>
      </c>
      <c r="B70" s="9" t="s">
        <v>459</v>
      </c>
      <c r="C70" s="9">
        <v>7000000208</v>
      </c>
      <c r="D70" s="10" t="s">
        <v>460</v>
      </c>
      <c r="E70" s="10" t="s">
        <v>46</v>
      </c>
      <c r="F70" s="9" t="s">
        <v>28</v>
      </c>
      <c r="G70" s="9" t="s">
        <v>17</v>
      </c>
      <c r="H70" s="9" t="s">
        <v>18</v>
      </c>
      <c r="I70" s="9" t="s">
        <v>29</v>
      </c>
      <c r="J70" s="9" t="s">
        <v>20</v>
      </c>
      <c r="K70" s="9" t="s">
        <v>21</v>
      </c>
    </row>
    <row r="71" spans="1:11">
      <c r="A71" s="9">
        <v>66</v>
      </c>
      <c r="B71" s="9" t="s">
        <v>472</v>
      </c>
      <c r="C71" s="9">
        <v>7000000214</v>
      </c>
      <c r="D71" s="10" t="s">
        <v>473</v>
      </c>
      <c r="E71" s="10" t="s">
        <v>46</v>
      </c>
      <c r="F71" s="9" t="s">
        <v>28</v>
      </c>
      <c r="G71" s="9" t="s">
        <v>17</v>
      </c>
      <c r="H71" s="9" t="s">
        <v>18</v>
      </c>
      <c r="I71" s="9" t="s">
        <v>29</v>
      </c>
      <c r="J71" s="9" t="s">
        <v>20</v>
      </c>
      <c r="K71" s="9" t="s">
        <v>21</v>
      </c>
    </row>
    <row r="72" spans="1:11">
      <c r="A72" s="9">
        <v>67</v>
      </c>
      <c r="B72" s="9" t="s">
        <v>107</v>
      </c>
      <c r="C72" s="9">
        <v>7000000037</v>
      </c>
      <c r="D72" s="10" t="s">
        <v>108</v>
      </c>
      <c r="E72" s="10" t="s">
        <v>46</v>
      </c>
      <c r="F72" s="9" t="s">
        <v>28</v>
      </c>
      <c r="G72" s="9" t="s">
        <v>17</v>
      </c>
      <c r="H72" s="9" t="s">
        <v>18</v>
      </c>
      <c r="I72" s="9" t="s">
        <v>29</v>
      </c>
      <c r="J72" s="9" t="s">
        <v>20</v>
      </c>
      <c r="K72" s="9" t="s">
        <v>21</v>
      </c>
    </row>
    <row r="73" spans="1:11">
      <c r="A73" s="9">
        <v>68</v>
      </c>
      <c r="B73" s="9" t="s">
        <v>486</v>
      </c>
      <c r="C73" s="9">
        <v>7000000221</v>
      </c>
      <c r="D73" s="10" t="s">
        <v>487</v>
      </c>
      <c r="E73" s="10" t="s">
        <v>49</v>
      </c>
      <c r="F73" s="9" t="s">
        <v>28</v>
      </c>
      <c r="G73" s="9" t="s">
        <v>17</v>
      </c>
      <c r="H73" s="9" t="s">
        <v>18</v>
      </c>
      <c r="I73" s="9" t="s">
        <v>29</v>
      </c>
      <c r="J73" s="9" t="s">
        <v>20</v>
      </c>
      <c r="K73" s="9" t="s">
        <v>21</v>
      </c>
    </row>
    <row r="74" spans="1:11">
      <c r="A74" s="9">
        <v>69</v>
      </c>
      <c r="B74" s="9" t="s">
        <v>109</v>
      </c>
      <c r="C74" s="9">
        <v>7000000038</v>
      </c>
      <c r="D74" s="10" t="s">
        <v>110</v>
      </c>
      <c r="E74" s="10" t="s">
        <v>46</v>
      </c>
      <c r="F74" s="9" t="s">
        <v>28</v>
      </c>
      <c r="G74" s="9" t="s">
        <v>17</v>
      </c>
      <c r="H74" s="9" t="s">
        <v>18</v>
      </c>
      <c r="I74" s="9" t="s">
        <v>29</v>
      </c>
      <c r="J74" s="9" t="s">
        <v>20</v>
      </c>
      <c r="K74" s="9" t="s">
        <v>21</v>
      </c>
    </row>
    <row r="75" spans="1:11">
      <c r="A75" s="9">
        <v>70</v>
      </c>
      <c r="B75" s="9" t="s">
        <v>111</v>
      </c>
      <c r="C75" s="9">
        <v>7000000039</v>
      </c>
      <c r="D75" s="10" t="s">
        <v>112</v>
      </c>
      <c r="E75" s="10" t="s">
        <v>52</v>
      </c>
      <c r="F75" s="9" t="s">
        <v>28</v>
      </c>
      <c r="G75" s="9" t="s">
        <v>17</v>
      </c>
      <c r="H75" s="9" t="s">
        <v>18</v>
      </c>
      <c r="I75" s="9" t="s">
        <v>29</v>
      </c>
      <c r="J75" s="9" t="s">
        <v>20</v>
      </c>
      <c r="K75" s="9" t="s">
        <v>21</v>
      </c>
    </row>
    <row r="76" spans="1:11">
      <c r="A76" s="9">
        <v>71</v>
      </c>
      <c r="B76" s="9" t="s">
        <v>113</v>
      </c>
      <c r="C76" s="9">
        <v>7000000040</v>
      </c>
      <c r="D76" s="10" t="s">
        <v>114</v>
      </c>
      <c r="E76" s="10" t="s">
        <v>52</v>
      </c>
      <c r="F76" s="9" t="s">
        <v>28</v>
      </c>
      <c r="G76" s="9" t="s">
        <v>17</v>
      </c>
      <c r="H76" s="9" t="s">
        <v>18</v>
      </c>
      <c r="I76" s="9" t="s">
        <v>29</v>
      </c>
      <c r="J76" s="9" t="s">
        <v>20</v>
      </c>
      <c r="K76" s="9" t="s">
        <v>21</v>
      </c>
    </row>
    <row r="77" spans="1:11">
      <c r="A77" s="9">
        <v>72</v>
      </c>
      <c r="B77" s="9" t="s">
        <v>437</v>
      </c>
      <c r="C77" s="9">
        <v>7000000197</v>
      </c>
      <c r="D77" s="10" t="s">
        <v>438</v>
      </c>
      <c r="E77" s="10" t="s">
        <v>43</v>
      </c>
      <c r="F77" s="9" t="s">
        <v>303</v>
      </c>
      <c r="G77" s="9" t="s">
        <v>17</v>
      </c>
      <c r="H77" s="9" t="s">
        <v>18</v>
      </c>
      <c r="I77" s="9" t="s">
        <v>236</v>
      </c>
      <c r="J77" s="9" t="s">
        <v>53</v>
      </c>
      <c r="K77" s="9" t="s">
        <v>21</v>
      </c>
    </row>
    <row r="78" spans="1:11">
      <c r="A78" s="9">
        <v>73</v>
      </c>
      <c r="B78" s="9" t="s">
        <v>115</v>
      </c>
      <c r="C78" s="9">
        <v>7000000041</v>
      </c>
      <c r="D78" s="10" t="s">
        <v>116</v>
      </c>
      <c r="E78" s="10" t="s">
        <v>52</v>
      </c>
      <c r="F78" s="9" t="s">
        <v>28</v>
      </c>
      <c r="G78" s="9" t="s">
        <v>17</v>
      </c>
      <c r="H78" s="9" t="s">
        <v>18</v>
      </c>
      <c r="I78" s="9" t="s">
        <v>29</v>
      </c>
      <c r="J78" s="9" t="s">
        <v>20</v>
      </c>
      <c r="K78" s="9" t="s">
        <v>21</v>
      </c>
    </row>
    <row r="79" spans="1:11">
      <c r="A79" s="9">
        <v>74</v>
      </c>
      <c r="B79" s="9" t="s">
        <v>117</v>
      </c>
      <c r="C79" s="9">
        <v>7000000042</v>
      </c>
      <c r="D79" s="10" t="s">
        <v>118</v>
      </c>
      <c r="E79" s="10" t="s">
        <v>52</v>
      </c>
      <c r="F79" s="9" t="s">
        <v>28</v>
      </c>
      <c r="G79" s="9" t="s">
        <v>17</v>
      </c>
      <c r="H79" s="9" t="s">
        <v>18</v>
      </c>
      <c r="I79" s="9" t="s">
        <v>29</v>
      </c>
      <c r="J79" s="9" t="s">
        <v>20</v>
      </c>
      <c r="K79" s="9" t="s">
        <v>21</v>
      </c>
    </row>
    <row r="80" spans="1:11">
      <c r="A80" s="9">
        <v>75</v>
      </c>
      <c r="B80" s="9" t="s">
        <v>119</v>
      </c>
      <c r="C80" s="9">
        <v>7000000043</v>
      </c>
      <c r="D80" s="10" t="s">
        <v>120</v>
      </c>
      <c r="E80" s="10" t="s">
        <v>32</v>
      </c>
      <c r="F80" s="9" t="s">
        <v>28</v>
      </c>
      <c r="G80" s="9" t="s">
        <v>17</v>
      </c>
      <c r="H80" s="9" t="s">
        <v>18</v>
      </c>
      <c r="I80" s="9" t="s">
        <v>29</v>
      </c>
      <c r="J80" s="9" t="s">
        <v>20</v>
      </c>
      <c r="K80" s="9" t="s">
        <v>21</v>
      </c>
    </row>
    <row r="81" spans="1:11">
      <c r="A81" s="9">
        <v>76</v>
      </c>
      <c r="B81" s="9" t="s">
        <v>121</v>
      </c>
      <c r="C81" s="9">
        <v>7000000044</v>
      </c>
      <c r="D81" s="10" t="s">
        <v>122</v>
      </c>
      <c r="E81" s="10" t="s">
        <v>43</v>
      </c>
      <c r="F81" s="9" t="s">
        <v>28</v>
      </c>
      <c r="G81" s="9" t="s">
        <v>17</v>
      </c>
      <c r="H81" s="9" t="s">
        <v>18</v>
      </c>
      <c r="I81" s="9" t="s">
        <v>29</v>
      </c>
      <c r="J81" s="9" t="s">
        <v>20</v>
      </c>
      <c r="K81" s="9" t="s">
        <v>21</v>
      </c>
    </row>
    <row r="82" spans="1:11">
      <c r="A82" s="9">
        <v>77</v>
      </c>
      <c r="B82" s="9" t="s">
        <v>123</v>
      </c>
      <c r="C82" s="9">
        <v>7000000045</v>
      </c>
      <c r="D82" s="10" t="s">
        <v>124</v>
      </c>
      <c r="E82" s="10" t="s">
        <v>43</v>
      </c>
      <c r="F82" s="9" t="s">
        <v>28</v>
      </c>
      <c r="G82" s="9" t="s">
        <v>17</v>
      </c>
      <c r="H82" s="9" t="s">
        <v>18</v>
      </c>
      <c r="I82" s="9" t="s">
        <v>29</v>
      </c>
      <c r="J82" s="9" t="s">
        <v>20</v>
      </c>
      <c r="K82" s="9" t="s">
        <v>21</v>
      </c>
    </row>
    <row r="83" spans="1:11">
      <c r="A83" s="9">
        <v>78</v>
      </c>
      <c r="B83" s="9" t="s">
        <v>125</v>
      </c>
      <c r="C83" s="9">
        <v>7000000046</v>
      </c>
      <c r="D83" s="10" t="s">
        <v>126</v>
      </c>
      <c r="E83" s="10" t="s">
        <v>43</v>
      </c>
      <c r="F83" s="9" t="s">
        <v>28</v>
      </c>
      <c r="G83" s="9" t="s">
        <v>17</v>
      </c>
      <c r="H83" s="9" t="s">
        <v>18</v>
      </c>
      <c r="I83" s="9" t="s">
        <v>29</v>
      </c>
      <c r="J83" s="9" t="s">
        <v>20</v>
      </c>
      <c r="K83" s="9" t="s">
        <v>21</v>
      </c>
    </row>
    <row r="84" spans="1:11">
      <c r="A84" s="9">
        <v>79</v>
      </c>
      <c r="B84" s="9" t="s">
        <v>127</v>
      </c>
      <c r="C84" s="9">
        <v>7000000047</v>
      </c>
      <c r="D84" s="10" t="s">
        <v>128</v>
      </c>
      <c r="E84" s="10" t="s">
        <v>43</v>
      </c>
      <c r="F84" s="9" t="s">
        <v>28</v>
      </c>
      <c r="G84" s="9" t="s">
        <v>17</v>
      </c>
      <c r="H84" s="9" t="s">
        <v>18</v>
      </c>
      <c r="I84" s="9" t="s">
        <v>29</v>
      </c>
      <c r="J84" s="9" t="s">
        <v>20</v>
      </c>
      <c r="K84" s="9" t="s">
        <v>21</v>
      </c>
    </row>
    <row r="85" spans="1:11">
      <c r="A85" s="9">
        <v>80</v>
      </c>
      <c r="B85" s="9" t="s">
        <v>129</v>
      </c>
      <c r="C85" s="9">
        <v>7000000048</v>
      </c>
      <c r="D85" s="10" t="s">
        <v>130</v>
      </c>
      <c r="E85" s="10" t="s">
        <v>43</v>
      </c>
      <c r="F85" s="9" t="s">
        <v>28</v>
      </c>
      <c r="G85" s="9" t="s">
        <v>17</v>
      </c>
      <c r="H85" s="9" t="s">
        <v>18</v>
      </c>
      <c r="I85" s="9" t="s">
        <v>29</v>
      </c>
      <c r="J85" s="9" t="s">
        <v>20</v>
      </c>
      <c r="K85" s="9" t="s">
        <v>21</v>
      </c>
    </row>
    <row r="86" spans="1:11">
      <c r="A86" s="9">
        <v>81</v>
      </c>
      <c r="B86" s="9" t="s">
        <v>131</v>
      </c>
      <c r="C86" s="9">
        <v>7000000049</v>
      </c>
      <c r="D86" s="10" t="s">
        <v>132</v>
      </c>
      <c r="E86" s="10" t="s">
        <v>43</v>
      </c>
      <c r="F86" s="9" t="s">
        <v>28</v>
      </c>
      <c r="G86" s="9" t="s">
        <v>17</v>
      </c>
      <c r="H86" s="9" t="s">
        <v>18</v>
      </c>
      <c r="I86" s="9" t="s">
        <v>29</v>
      </c>
      <c r="J86" s="9" t="s">
        <v>20</v>
      </c>
      <c r="K86" s="9" t="s">
        <v>21</v>
      </c>
    </row>
    <row r="87" spans="1:11">
      <c r="A87" s="9">
        <v>82</v>
      </c>
      <c r="B87" s="9" t="s">
        <v>133</v>
      </c>
      <c r="C87" s="9">
        <v>7000000050</v>
      </c>
      <c r="D87" s="10" t="s">
        <v>134</v>
      </c>
      <c r="E87" s="10" t="s">
        <v>43</v>
      </c>
      <c r="F87" s="9" t="s">
        <v>28</v>
      </c>
      <c r="G87" s="9" t="s">
        <v>17</v>
      </c>
      <c r="H87" s="9" t="s">
        <v>18</v>
      </c>
      <c r="I87" s="9" t="s">
        <v>29</v>
      </c>
      <c r="J87" s="9" t="s">
        <v>20</v>
      </c>
      <c r="K87" s="9" t="s">
        <v>21</v>
      </c>
    </row>
    <row r="88" spans="1:11">
      <c r="A88" s="9">
        <v>83</v>
      </c>
      <c r="B88" s="9" t="s">
        <v>484</v>
      </c>
      <c r="C88" s="9">
        <v>7000000220</v>
      </c>
      <c r="D88" s="10" t="s">
        <v>485</v>
      </c>
      <c r="E88" s="10" t="s">
        <v>43</v>
      </c>
      <c r="F88" s="9" t="s">
        <v>28</v>
      </c>
      <c r="G88" s="9" t="s">
        <v>17</v>
      </c>
      <c r="H88" s="9" t="s">
        <v>18</v>
      </c>
      <c r="I88" s="9" t="s">
        <v>29</v>
      </c>
      <c r="J88" s="9" t="s">
        <v>20</v>
      </c>
      <c r="K88" s="9" t="s">
        <v>21</v>
      </c>
    </row>
    <row r="89" spans="1:11">
      <c r="A89" s="9">
        <v>84</v>
      </c>
      <c r="B89" s="9" t="s">
        <v>504</v>
      </c>
      <c r="C89" s="9">
        <v>7000000226</v>
      </c>
      <c r="D89" s="10" t="s">
        <v>505</v>
      </c>
      <c r="E89" s="10" t="s">
        <v>84</v>
      </c>
      <c r="F89" s="9" t="s">
        <v>28</v>
      </c>
      <c r="G89" s="9" t="s">
        <v>17</v>
      </c>
      <c r="H89" s="9" t="s">
        <v>18</v>
      </c>
      <c r="I89" s="9" t="s">
        <v>29</v>
      </c>
      <c r="J89" s="9" t="s">
        <v>20</v>
      </c>
      <c r="K89" s="9" t="s">
        <v>21</v>
      </c>
    </row>
    <row r="90" spans="1:11">
      <c r="A90" s="9">
        <v>85</v>
      </c>
      <c r="B90" s="9" t="s">
        <v>135</v>
      </c>
      <c r="C90" s="9">
        <v>7000000051</v>
      </c>
      <c r="D90" s="10" t="s">
        <v>136</v>
      </c>
      <c r="E90" s="10" t="s">
        <v>52</v>
      </c>
      <c r="F90" s="9" t="s">
        <v>28</v>
      </c>
      <c r="G90" s="9" t="s">
        <v>17</v>
      </c>
      <c r="H90" s="9" t="s">
        <v>18</v>
      </c>
      <c r="I90" s="9" t="s">
        <v>29</v>
      </c>
      <c r="J90" s="9" t="s">
        <v>20</v>
      </c>
      <c r="K90" s="9" t="s">
        <v>21</v>
      </c>
    </row>
    <row r="91" spans="1:11">
      <c r="A91" s="9">
        <v>86</v>
      </c>
      <c r="B91" s="9" t="s">
        <v>137</v>
      </c>
      <c r="C91" s="9">
        <v>7000000052</v>
      </c>
      <c r="D91" s="10" t="s">
        <v>138</v>
      </c>
      <c r="E91" s="10" t="s">
        <v>27</v>
      </c>
      <c r="F91" s="9" t="s">
        <v>36</v>
      </c>
      <c r="G91" s="9" t="s">
        <v>17</v>
      </c>
      <c r="H91" s="9" t="s">
        <v>18</v>
      </c>
      <c r="I91" s="9" t="s">
        <v>239</v>
      </c>
      <c r="J91" s="9" t="s">
        <v>20</v>
      </c>
      <c r="K91" s="9" t="s">
        <v>21</v>
      </c>
    </row>
    <row r="92" spans="1:11">
      <c r="A92" s="9">
        <v>87</v>
      </c>
      <c r="B92" s="9" t="s">
        <v>139</v>
      </c>
      <c r="C92" s="9">
        <v>7000000053</v>
      </c>
      <c r="D92" s="10" t="s">
        <v>140</v>
      </c>
      <c r="E92" s="10" t="s">
        <v>27</v>
      </c>
      <c r="F92" s="9" t="s">
        <v>36</v>
      </c>
      <c r="G92" s="9" t="s">
        <v>17</v>
      </c>
      <c r="H92" s="9" t="s">
        <v>18</v>
      </c>
      <c r="I92" s="9" t="s">
        <v>239</v>
      </c>
      <c r="J92" s="9" t="s">
        <v>53</v>
      </c>
      <c r="K92" s="9" t="s">
        <v>21</v>
      </c>
    </row>
    <row r="93" spans="1:11">
      <c r="A93" s="9">
        <v>88</v>
      </c>
      <c r="B93" s="9" t="s">
        <v>141</v>
      </c>
      <c r="C93" s="9">
        <v>7000000054</v>
      </c>
      <c r="D93" s="10" t="s">
        <v>142</v>
      </c>
      <c r="E93" s="10" t="s">
        <v>35</v>
      </c>
      <c r="F93" s="9" t="s">
        <v>36</v>
      </c>
      <c r="G93" s="9" t="s">
        <v>17</v>
      </c>
      <c r="H93" s="9" t="s">
        <v>18</v>
      </c>
      <c r="I93" s="9" t="s">
        <v>239</v>
      </c>
      <c r="J93" s="9" t="s">
        <v>20</v>
      </c>
      <c r="K93" s="9" t="s">
        <v>21</v>
      </c>
    </row>
    <row r="94" spans="1:11">
      <c r="A94" s="9">
        <v>89</v>
      </c>
      <c r="B94" s="9" t="s">
        <v>143</v>
      </c>
      <c r="C94" s="9">
        <v>7000000055</v>
      </c>
      <c r="D94" s="10" t="s">
        <v>144</v>
      </c>
      <c r="E94" s="10" t="s">
        <v>35</v>
      </c>
      <c r="F94" s="9" t="s">
        <v>36</v>
      </c>
      <c r="G94" s="9" t="s">
        <v>17</v>
      </c>
      <c r="H94" s="9" t="s">
        <v>18</v>
      </c>
      <c r="I94" s="9" t="s">
        <v>239</v>
      </c>
      <c r="J94" s="9" t="s">
        <v>20</v>
      </c>
      <c r="K94" s="9" t="s">
        <v>21</v>
      </c>
    </row>
    <row r="95" spans="1:11">
      <c r="A95" s="9">
        <v>90</v>
      </c>
      <c r="B95" s="9" t="s">
        <v>304</v>
      </c>
      <c r="C95" s="9">
        <v>7000000131</v>
      </c>
      <c r="D95" s="10" t="s">
        <v>506</v>
      </c>
      <c r="E95" s="10" t="s">
        <v>27</v>
      </c>
      <c r="F95" s="9" t="s">
        <v>303</v>
      </c>
      <c r="G95" s="9" t="s">
        <v>17</v>
      </c>
      <c r="H95" s="9" t="s">
        <v>18</v>
      </c>
      <c r="I95" s="9" t="s">
        <v>29</v>
      </c>
      <c r="J95" s="9" t="s">
        <v>20</v>
      </c>
      <c r="K95" s="9" t="s">
        <v>21</v>
      </c>
    </row>
    <row r="96" spans="1:11">
      <c r="A96" s="9">
        <v>91</v>
      </c>
      <c r="B96" s="9" t="s">
        <v>350</v>
      </c>
      <c r="C96" s="9">
        <v>7000000154</v>
      </c>
      <c r="D96" s="10" t="s">
        <v>351</v>
      </c>
      <c r="E96" s="10" t="s">
        <v>32</v>
      </c>
      <c r="F96" s="9" t="s">
        <v>303</v>
      </c>
      <c r="G96" s="9" t="s">
        <v>17</v>
      </c>
      <c r="H96" s="9" t="s">
        <v>18</v>
      </c>
      <c r="I96" s="9" t="s">
        <v>37</v>
      </c>
      <c r="J96" s="9" t="s">
        <v>20</v>
      </c>
      <c r="K96" s="9" t="s">
        <v>21</v>
      </c>
    </row>
    <row r="97" spans="1:11">
      <c r="A97" s="9">
        <v>92</v>
      </c>
      <c r="B97" s="9" t="s">
        <v>318</v>
      </c>
      <c r="C97" s="9">
        <v>7000000138</v>
      </c>
      <c r="D97" s="10" t="s">
        <v>319</v>
      </c>
      <c r="E97" s="10" t="s">
        <v>52</v>
      </c>
      <c r="F97" s="9" t="s">
        <v>303</v>
      </c>
      <c r="G97" s="9" t="s">
        <v>17</v>
      </c>
      <c r="H97" s="9" t="s">
        <v>18</v>
      </c>
      <c r="I97" s="9" t="s">
        <v>236</v>
      </c>
      <c r="J97" s="9" t="s">
        <v>53</v>
      </c>
      <c r="K97" s="9" t="s">
        <v>21</v>
      </c>
    </row>
    <row r="98" spans="1:11">
      <c r="A98" s="9">
        <v>93</v>
      </c>
      <c r="B98" s="9" t="s">
        <v>314</v>
      </c>
      <c r="C98" s="9">
        <v>7000000136</v>
      </c>
      <c r="D98" s="10" t="s">
        <v>315</v>
      </c>
      <c r="E98" s="10" t="s">
        <v>49</v>
      </c>
      <c r="F98" s="9" t="s">
        <v>303</v>
      </c>
      <c r="G98" s="9" t="s">
        <v>17</v>
      </c>
      <c r="H98" s="9" t="s">
        <v>18</v>
      </c>
      <c r="I98" s="9" t="s">
        <v>236</v>
      </c>
      <c r="J98" s="9" t="s">
        <v>20</v>
      </c>
      <c r="K98" s="9" t="s">
        <v>21</v>
      </c>
    </row>
    <row r="99" spans="1:11">
      <c r="A99" s="9">
        <v>94</v>
      </c>
      <c r="B99" s="9" t="s">
        <v>332</v>
      </c>
      <c r="C99" s="9">
        <v>7000000145</v>
      </c>
      <c r="D99" s="10" t="s">
        <v>507</v>
      </c>
      <c r="E99" s="10" t="s">
        <v>32</v>
      </c>
      <c r="F99" s="9" t="s">
        <v>303</v>
      </c>
      <c r="G99" s="9" t="s">
        <v>17</v>
      </c>
      <c r="H99" s="9" t="s">
        <v>18</v>
      </c>
      <c r="I99" s="9" t="s">
        <v>236</v>
      </c>
      <c r="J99" s="9" t="s">
        <v>20</v>
      </c>
      <c r="K99" s="9" t="s">
        <v>21</v>
      </c>
    </row>
    <row r="100" spans="1:11">
      <c r="A100" s="9">
        <v>95</v>
      </c>
      <c r="B100" s="9" t="s">
        <v>340</v>
      </c>
      <c r="C100" s="9">
        <v>7000000149</v>
      </c>
      <c r="D100" s="10" t="s">
        <v>508</v>
      </c>
      <c r="E100" s="10" t="s">
        <v>84</v>
      </c>
      <c r="F100" s="9" t="s">
        <v>303</v>
      </c>
      <c r="G100" s="9" t="s">
        <v>17</v>
      </c>
      <c r="H100" s="9" t="s">
        <v>18</v>
      </c>
      <c r="I100" s="9" t="s">
        <v>239</v>
      </c>
      <c r="J100" s="9" t="s">
        <v>20</v>
      </c>
      <c r="K100" s="9" t="s">
        <v>21</v>
      </c>
    </row>
    <row r="101" spans="1:11">
      <c r="A101" s="9">
        <v>96</v>
      </c>
      <c r="B101" s="9" t="s">
        <v>342</v>
      </c>
      <c r="C101" s="9">
        <v>7000000150</v>
      </c>
      <c r="D101" s="10" t="s">
        <v>343</v>
      </c>
      <c r="E101" s="10" t="s">
        <v>84</v>
      </c>
      <c r="F101" s="9" t="s">
        <v>303</v>
      </c>
      <c r="G101" s="9" t="s">
        <v>17</v>
      </c>
      <c r="H101" s="9" t="s">
        <v>18</v>
      </c>
      <c r="I101" s="9" t="s">
        <v>239</v>
      </c>
      <c r="J101" s="9" t="s">
        <v>20</v>
      </c>
      <c r="K101" s="9" t="s">
        <v>21</v>
      </c>
    </row>
    <row r="102" spans="1:11">
      <c r="A102" s="9">
        <v>97</v>
      </c>
      <c r="B102" s="9" t="s">
        <v>324</v>
      </c>
      <c r="C102" s="9">
        <v>7000000141</v>
      </c>
      <c r="D102" s="10" t="s">
        <v>325</v>
      </c>
      <c r="E102" s="10" t="s">
        <v>40</v>
      </c>
      <c r="F102" s="9" t="s">
        <v>303</v>
      </c>
      <c r="G102" s="9" t="s">
        <v>17</v>
      </c>
      <c r="H102" s="9" t="s">
        <v>18</v>
      </c>
      <c r="I102" s="9" t="s">
        <v>236</v>
      </c>
      <c r="J102" s="9" t="s">
        <v>20</v>
      </c>
      <c r="K102" s="9" t="s">
        <v>21</v>
      </c>
    </row>
    <row r="103" spans="1:11">
      <c r="A103" s="9">
        <v>98</v>
      </c>
      <c r="B103" s="9" t="s">
        <v>326</v>
      </c>
      <c r="C103" s="9">
        <v>7000000142</v>
      </c>
      <c r="D103" s="10" t="s">
        <v>327</v>
      </c>
      <c r="E103" s="10" t="s">
        <v>40</v>
      </c>
      <c r="F103" s="9" t="s">
        <v>303</v>
      </c>
      <c r="G103" s="9" t="s">
        <v>17</v>
      </c>
      <c r="H103" s="9" t="s">
        <v>18</v>
      </c>
      <c r="I103" s="9" t="s">
        <v>236</v>
      </c>
      <c r="J103" s="9" t="s">
        <v>20</v>
      </c>
      <c r="K103" s="9" t="s">
        <v>21</v>
      </c>
    </row>
    <row r="104" spans="1:11">
      <c r="A104" s="9">
        <v>99</v>
      </c>
      <c r="B104" s="9" t="s">
        <v>381</v>
      </c>
      <c r="C104" s="9">
        <v>7000000169</v>
      </c>
      <c r="D104" s="10" t="s">
        <v>382</v>
      </c>
      <c r="E104" s="10" t="s">
        <v>52</v>
      </c>
      <c r="F104" s="9" t="s">
        <v>303</v>
      </c>
      <c r="G104" s="9" t="s">
        <v>17</v>
      </c>
      <c r="H104" s="9" t="s">
        <v>18</v>
      </c>
      <c r="I104" s="9" t="s">
        <v>236</v>
      </c>
      <c r="J104" s="9" t="s">
        <v>20</v>
      </c>
      <c r="K104" s="9" t="s">
        <v>21</v>
      </c>
    </row>
    <row r="105" spans="1:11">
      <c r="A105" s="9">
        <v>100</v>
      </c>
      <c r="B105" s="9" t="s">
        <v>377</v>
      </c>
      <c r="C105" s="9">
        <v>7000000167</v>
      </c>
      <c r="D105" s="10" t="s">
        <v>378</v>
      </c>
      <c r="E105" s="10" t="s">
        <v>40</v>
      </c>
      <c r="F105" s="9" t="s">
        <v>303</v>
      </c>
      <c r="G105" s="9" t="s">
        <v>17</v>
      </c>
      <c r="H105" s="9" t="s">
        <v>18</v>
      </c>
      <c r="I105" s="9" t="s">
        <v>236</v>
      </c>
      <c r="J105" s="9" t="s">
        <v>20</v>
      </c>
      <c r="K105" s="9" t="s">
        <v>21</v>
      </c>
    </row>
    <row r="106" spans="1:11">
      <c r="A106" s="9">
        <v>101</v>
      </c>
      <c r="B106" s="9" t="s">
        <v>395</v>
      </c>
      <c r="C106" s="9">
        <v>7000000176</v>
      </c>
      <c r="D106" s="10" t="s">
        <v>396</v>
      </c>
      <c r="E106" s="10" t="s">
        <v>40</v>
      </c>
      <c r="F106" s="9" t="s">
        <v>303</v>
      </c>
      <c r="G106" s="9" t="s">
        <v>17</v>
      </c>
      <c r="H106" s="9" t="s">
        <v>18</v>
      </c>
      <c r="I106" s="9" t="s">
        <v>236</v>
      </c>
      <c r="J106" s="9" t="s">
        <v>53</v>
      </c>
      <c r="K106" s="9" t="s">
        <v>21</v>
      </c>
    </row>
    <row r="107" spans="1:11">
      <c r="A107" s="9">
        <v>102</v>
      </c>
      <c r="B107" s="9" t="s">
        <v>393</v>
      </c>
      <c r="C107" s="9">
        <v>7000000175</v>
      </c>
      <c r="D107" s="10" t="s">
        <v>394</v>
      </c>
      <c r="E107" s="10" t="s">
        <v>40</v>
      </c>
      <c r="F107" s="9" t="s">
        <v>303</v>
      </c>
      <c r="G107" s="9" t="s">
        <v>17</v>
      </c>
      <c r="H107" s="9" t="s">
        <v>18</v>
      </c>
      <c r="I107" s="9" t="s">
        <v>19</v>
      </c>
      <c r="J107" s="9" t="s">
        <v>53</v>
      </c>
      <c r="K107" s="9" t="s">
        <v>21</v>
      </c>
    </row>
    <row r="108" spans="1:11">
      <c r="A108" s="9">
        <v>103</v>
      </c>
      <c r="B108" s="9" t="s">
        <v>397</v>
      </c>
      <c r="C108" s="9">
        <v>7000000177</v>
      </c>
      <c r="D108" s="10" t="s">
        <v>509</v>
      </c>
      <c r="E108" s="10" t="s">
        <v>40</v>
      </c>
      <c r="F108" s="9" t="s">
        <v>303</v>
      </c>
      <c r="G108" s="9" t="s">
        <v>17</v>
      </c>
      <c r="H108" s="9" t="s">
        <v>18</v>
      </c>
      <c r="I108" s="9" t="s">
        <v>236</v>
      </c>
      <c r="J108" s="9" t="s">
        <v>53</v>
      </c>
      <c r="K108" s="9" t="s">
        <v>21</v>
      </c>
    </row>
    <row r="109" spans="1:11">
      <c r="A109" s="9">
        <v>104</v>
      </c>
      <c r="B109" s="9" t="s">
        <v>510</v>
      </c>
      <c r="C109" s="9">
        <v>7000000227</v>
      </c>
      <c r="D109" s="10" t="s">
        <v>511</v>
      </c>
      <c r="E109" s="10" t="s">
        <v>84</v>
      </c>
      <c r="F109" s="9" t="s">
        <v>303</v>
      </c>
      <c r="G109" s="9" t="s">
        <v>17</v>
      </c>
      <c r="H109" s="9" t="s">
        <v>18</v>
      </c>
      <c r="I109" s="9" t="s">
        <v>19</v>
      </c>
      <c r="J109" s="9" t="s">
        <v>53</v>
      </c>
      <c r="K109" s="9" t="s">
        <v>21</v>
      </c>
    </row>
    <row r="110" spans="1:11">
      <c r="A110" s="9">
        <v>105</v>
      </c>
      <c r="B110" s="9" t="s">
        <v>389</v>
      </c>
      <c r="C110" s="9">
        <v>7000000173</v>
      </c>
      <c r="D110" s="10" t="s">
        <v>512</v>
      </c>
      <c r="E110" s="10" t="s">
        <v>35</v>
      </c>
      <c r="F110" s="9" t="s">
        <v>303</v>
      </c>
      <c r="G110" s="9" t="s">
        <v>17</v>
      </c>
      <c r="H110" s="9" t="s">
        <v>18</v>
      </c>
      <c r="I110" s="9" t="s">
        <v>19</v>
      </c>
      <c r="J110" s="9" t="s">
        <v>20</v>
      </c>
      <c r="K110" s="9" t="s">
        <v>21</v>
      </c>
    </row>
    <row r="111" spans="1:11">
      <c r="A111" s="9">
        <v>106</v>
      </c>
      <c r="B111" s="9" t="s">
        <v>383</v>
      </c>
      <c r="C111" s="9">
        <v>7000000170</v>
      </c>
      <c r="D111" s="10" t="s">
        <v>384</v>
      </c>
      <c r="E111" s="10" t="s">
        <v>84</v>
      </c>
      <c r="F111" s="9" t="s">
        <v>303</v>
      </c>
      <c r="G111" s="9" t="s">
        <v>17</v>
      </c>
      <c r="H111" s="9" t="s">
        <v>18</v>
      </c>
      <c r="I111" s="9" t="s">
        <v>19</v>
      </c>
      <c r="J111" s="9" t="s">
        <v>20</v>
      </c>
      <c r="K111" s="9" t="s">
        <v>21</v>
      </c>
    </row>
    <row r="112" spans="1:11">
      <c r="A112" s="9">
        <v>107</v>
      </c>
      <c r="B112" s="9" t="s">
        <v>391</v>
      </c>
      <c r="C112" s="9">
        <v>7000000174</v>
      </c>
      <c r="D112" s="10" t="s">
        <v>513</v>
      </c>
      <c r="E112" s="10" t="s">
        <v>84</v>
      </c>
      <c r="F112" s="9" t="s">
        <v>303</v>
      </c>
      <c r="G112" s="9" t="s">
        <v>17</v>
      </c>
      <c r="H112" s="9" t="s">
        <v>18</v>
      </c>
      <c r="I112" s="9" t="s">
        <v>19</v>
      </c>
      <c r="J112" s="9" t="s">
        <v>53</v>
      </c>
      <c r="K112" s="9" t="s">
        <v>21</v>
      </c>
    </row>
    <row r="113" spans="1:11">
      <c r="A113" s="9">
        <v>108</v>
      </c>
      <c r="B113" s="9" t="s">
        <v>145</v>
      </c>
      <c r="C113" s="9">
        <v>7000000056</v>
      </c>
      <c r="D113" s="10" t="s">
        <v>146</v>
      </c>
      <c r="E113" s="10" t="s">
        <v>27</v>
      </c>
      <c r="F113" s="9" t="s">
        <v>28</v>
      </c>
      <c r="G113" s="9" t="s">
        <v>17</v>
      </c>
      <c r="H113" s="9" t="s">
        <v>18</v>
      </c>
      <c r="I113" s="9" t="s">
        <v>29</v>
      </c>
      <c r="J113" s="9" t="s">
        <v>20</v>
      </c>
      <c r="K113" s="9" t="s">
        <v>21</v>
      </c>
    </row>
    <row r="114" spans="1:11">
      <c r="A114" s="9">
        <v>109</v>
      </c>
      <c r="B114" s="9" t="s">
        <v>147</v>
      </c>
      <c r="C114" s="9">
        <v>7000000057</v>
      </c>
      <c r="D114" s="10" t="s">
        <v>148</v>
      </c>
      <c r="E114" s="10" t="s">
        <v>52</v>
      </c>
      <c r="F114" s="9" t="s">
        <v>28</v>
      </c>
      <c r="G114" s="9" t="s">
        <v>17</v>
      </c>
      <c r="H114" s="9" t="s">
        <v>18</v>
      </c>
      <c r="I114" s="9" t="s">
        <v>29</v>
      </c>
      <c r="J114" s="9" t="s">
        <v>53</v>
      </c>
      <c r="K114" s="9" t="s">
        <v>21</v>
      </c>
    </row>
    <row r="115" spans="1:11">
      <c r="A115" s="9">
        <v>110</v>
      </c>
      <c r="B115" s="9" t="s">
        <v>149</v>
      </c>
      <c r="C115" s="9">
        <v>7000000058</v>
      </c>
      <c r="D115" s="10" t="s">
        <v>150</v>
      </c>
      <c r="E115" s="10" t="s">
        <v>32</v>
      </c>
      <c r="F115" s="9" t="s">
        <v>28</v>
      </c>
      <c r="G115" s="9" t="s">
        <v>17</v>
      </c>
      <c r="H115" s="9" t="s">
        <v>18</v>
      </c>
      <c r="I115" s="9" t="s">
        <v>29</v>
      </c>
      <c r="J115" s="9" t="s">
        <v>20</v>
      </c>
      <c r="K115" s="9" t="s">
        <v>21</v>
      </c>
    </row>
    <row r="116" spans="1:11">
      <c r="A116" s="9">
        <v>111</v>
      </c>
      <c r="B116" s="9" t="s">
        <v>151</v>
      </c>
      <c r="C116" s="9">
        <v>7000000059</v>
      </c>
      <c r="D116" s="10" t="s">
        <v>152</v>
      </c>
      <c r="E116" s="10" t="s">
        <v>52</v>
      </c>
      <c r="F116" s="9" t="s">
        <v>28</v>
      </c>
      <c r="G116" s="9" t="s">
        <v>17</v>
      </c>
      <c r="H116" s="9" t="s">
        <v>18</v>
      </c>
      <c r="I116" s="9" t="s">
        <v>29</v>
      </c>
      <c r="J116" s="9" t="s">
        <v>20</v>
      </c>
      <c r="K116" s="9" t="s">
        <v>21</v>
      </c>
    </row>
    <row r="117" spans="1:11">
      <c r="A117" s="9">
        <v>112</v>
      </c>
      <c r="B117" s="9" t="s">
        <v>153</v>
      </c>
      <c r="C117" s="9">
        <v>7000000060</v>
      </c>
      <c r="D117" s="10" t="s">
        <v>154</v>
      </c>
      <c r="E117" s="10" t="s">
        <v>52</v>
      </c>
      <c r="F117" s="9" t="s">
        <v>28</v>
      </c>
      <c r="G117" s="9" t="s">
        <v>17</v>
      </c>
      <c r="H117" s="9" t="s">
        <v>18</v>
      </c>
      <c r="I117" s="9" t="s">
        <v>29</v>
      </c>
      <c r="J117" s="9" t="s">
        <v>20</v>
      </c>
      <c r="K117" s="9" t="s">
        <v>21</v>
      </c>
    </row>
    <row r="118" spans="1:11">
      <c r="A118" s="9">
        <v>113</v>
      </c>
      <c r="B118" s="9" t="s">
        <v>155</v>
      </c>
      <c r="C118" s="9">
        <v>7000000061</v>
      </c>
      <c r="D118" s="10" t="s">
        <v>156</v>
      </c>
      <c r="E118" s="10" t="s">
        <v>52</v>
      </c>
      <c r="F118" s="9" t="s">
        <v>28</v>
      </c>
      <c r="G118" s="9" t="s">
        <v>17</v>
      </c>
      <c r="H118" s="9" t="s">
        <v>18</v>
      </c>
      <c r="I118" s="9" t="s">
        <v>29</v>
      </c>
      <c r="J118" s="9" t="s">
        <v>20</v>
      </c>
      <c r="K118" s="9" t="s">
        <v>21</v>
      </c>
    </row>
    <row r="119" spans="1:11">
      <c r="A119" s="9">
        <v>114</v>
      </c>
      <c r="B119" s="9" t="s">
        <v>157</v>
      </c>
      <c r="C119" s="9">
        <v>7000000062</v>
      </c>
      <c r="D119" s="10" t="s">
        <v>158</v>
      </c>
      <c r="E119" s="10" t="s">
        <v>35</v>
      </c>
      <c r="F119" s="9" t="s">
        <v>36</v>
      </c>
      <c r="G119" s="9" t="s">
        <v>17</v>
      </c>
      <c r="H119" s="9" t="s">
        <v>18</v>
      </c>
      <c r="I119" s="9" t="s">
        <v>239</v>
      </c>
      <c r="J119" s="9" t="s">
        <v>53</v>
      </c>
      <c r="K119" s="9" t="s">
        <v>21</v>
      </c>
    </row>
    <row r="120" spans="1:11">
      <c r="A120" s="9">
        <v>115</v>
      </c>
      <c r="B120" s="9" t="s">
        <v>514</v>
      </c>
      <c r="C120" s="9">
        <v>7000000228</v>
      </c>
      <c r="D120" s="10" t="s">
        <v>515</v>
      </c>
      <c r="E120" s="10" t="s">
        <v>46</v>
      </c>
      <c r="F120" s="9" t="s">
        <v>303</v>
      </c>
      <c r="G120" s="9" t="s">
        <v>17</v>
      </c>
      <c r="H120" s="9" t="s">
        <v>18</v>
      </c>
      <c r="I120" s="9" t="s">
        <v>37</v>
      </c>
      <c r="J120" s="9" t="s">
        <v>53</v>
      </c>
      <c r="K120" s="9" t="s">
        <v>21</v>
      </c>
    </row>
    <row r="121" spans="1:11">
      <c r="A121" s="9">
        <v>116</v>
      </c>
      <c r="B121" s="9" t="s">
        <v>352</v>
      </c>
      <c r="C121" s="9">
        <v>7000000155</v>
      </c>
      <c r="D121" s="10" t="s">
        <v>353</v>
      </c>
      <c r="E121" s="10" t="s">
        <v>40</v>
      </c>
      <c r="F121" s="9" t="s">
        <v>303</v>
      </c>
      <c r="G121" s="9" t="s">
        <v>17</v>
      </c>
      <c r="H121" s="9" t="s">
        <v>18</v>
      </c>
      <c r="I121" s="9" t="s">
        <v>37</v>
      </c>
      <c r="J121" s="9" t="s">
        <v>53</v>
      </c>
      <c r="K121" s="9" t="s">
        <v>21</v>
      </c>
    </row>
    <row r="122" spans="1:11">
      <c r="A122" s="9">
        <v>117</v>
      </c>
      <c r="B122" s="9" t="s">
        <v>358</v>
      </c>
      <c r="C122" s="9">
        <v>7000000158</v>
      </c>
      <c r="D122" s="10" t="s">
        <v>359</v>
      </c>
      <c r="E122" s="10" t="s">
        <v>40</v>
      </c>
      <c r="F122" s="9" t="s">
        <v>303</v>
      </c>
      <c r="G122" s="9" t="s">
        <v>17</v>
      </c>
      <c r="H122" s="9" t="s">
        <v>18</v>
      </c>
      <c r="I122" s="9" t="s">
        <v>37</v>
      </c>
      <c r="J122" s="9" t="s">
        <v>53</v>
      </c>
      <c r="K122" s="9" t="s">
        <v>21</v>
      </c>
    </row>
    <row r="123" spans="1:11">
      <c r="A123" s="9">
        <v>118</v>
      </c>
      <c r="B123" s="9" t="s">
        <v>356</v>
      </c>
      <c r="C123" s="9">
        <v>7000000157</v>
      </c>
      <c r="D123" s="10" t="s">
        <v>357</v>
      </c>
      <c r="E123" s="10" t="s">
        <v>40</v>
      </c>
      <c r="F123" s="9" t="s">
        <v>303</v>
      </c>
      <c r="G123" s="9" t="s">
        <v>17</v>
      </c>
      <c r="H123" s="9" t="s">
        <v>18</v>
      </c>
      <c r="I123" s="9" t="s">
        <v>37</v>
      </c>
      <c r="J123" s="9" t="s">
        <v>53</v>
      </c>
      <c r="K123" s="9" t="s">
        <v>21</v>
      </c>
    </row>
    <row r="124" spans="1:11">
      <c r="A124" s="9">
        <v>119</v>
      </c>
      <c r="B124" s="9" t="s">
        <v>159</v>
      </c>
      <c r="C124" s="9">
        <v>7000000063</v>
      </c>
      <c r="D124" s="10" t="s">
        <v>160</v>
      </c>
      <c r="E124" s="10" t="s">
        <v>32</v>
      </c>
      <c r="F124" s="9" t="s">
        <v>28</v>
      </c>
      <c r="G124" s="9" t="s">
        <v>17</v>
      </c>
      <c r="H124" s="9" t="s">
        <v>18</v>
      </c>
      <c r="I124" s="9" t="s">
        <v>29</v>
      </c>
      <c r="J124" s="9" t="s">
        <v>20</v>
      </c>
      <c r="K124" s="9" t="s">
        <v>21</v>
      </c>
    </row>
    <row r="125" spans="1:11">
      <c r="A125" s="9">
        <v>120</v>
      </c>
      <c r="B125" s="9" t="s">
        <v>161</v>
      </c>
      <c r="C125" s="9">
        <v>7000000064</v>
      </c>
      <c r="D125" s="10" t="s">
        <v>162</v>
      </c>
      <c r="E125" s="10" t="s">
        <v>43</v>
      </c>
      <c r="F125" s="9" t="s">
        <v>28</v>
      </c>
      <c r="G125" s="9" t="s">
        <v>17</v>
      </c>
      <c r="H125" s="9" t="s">
        <v>18</v>
      </c>
      <c r="I125" s="9" t="s">
        <v>29</v>
      </c>
      <c r="J125" s="9" t="s">
        <v>20</v>
      </c>
      <c r="K125" s="9" t="s">
        <v>21</v>
      </c>
    </row>
    <row r="126" spans="1:11">
      <c r="A126" s="9">
        <v>121</v>
      </c>
      <c r="B126" s="9" t="s">
        <v>421</v>
      </c>
      <c r="C126" s="9">
        <v>7000000189</v>
      </c>
      <c r="D126" s="10" t="s">
        <v>422</v>
      </c>
      <c r="E126" s="10" t="s">
        <v>43</v>
      </c>
      <c r="F126" s="9" t="s">
        <v>303</v>
      </c>
      <c r="G126" s="9" t="s">
        <v>17</v>
      </c>
      <c r="H126" s="9" t="s">
        <v>18</v>
      </c>
      <c r="I126" s="9" t="s">
        <v>236</v>
      </c>
      <c r="J126" s="9" t="s">
        <v>53</v>
      </c>
      <c r="K126" s="9" t="s">
        <v>21</v>
      </c>
    </row>
    <row r="127" spans="1:11">
      <c r="A127" s="9">
        <v>122</v>
      </c>
      <c r="B127" s="9" t="s">
        <v>423</v>
      </c>
      <c r="C127" s="9">
        <v>7000000190</v>
      </c>
      <c r="D127" s="10" t="s">
        <v>424</v>
      </c>
      <c r="E127" s="10" t="s">
        <v>43</v>
      </c>
      <c r="F127" s="9" t="s">
        <v>303</v>
      </c>
      <c r="G127" s="9" t="s">
        <v>17</v>
      </c>
      <c r="H127" s="9" t="s">
        <v>18</v>
      </c>
      <c r="I127" s="9" t="s">
        <v>236</v>
      </c>
      <c r="J127" s="9" t="s">
        <v>53</v>
      </c>
      <c r="K127" s="9" t="s">
        <v>21</v>
      </c>
    </row>
    <row r="128" spans="1:11">
      <c r="A128" s="9">
        <v>123</v>
      </c>
      <c r="B128" s="9" t="s">
        <v>425</v>
      </c>
      <c r="C128" s="9">
        <v>7000000191</v>
      </c>
      <c r="D128" s="10" t="s">
        <v>426</v>
      </c>
      <c r="E128" s="10" t="s">
        <v>43</v>
      </c>
      <c r="F128" s="9" t="s">
        <v>303</v>
      </c>
      <c r="G128" s="9" t="s">
        <v>17</v>
      </c>
      <c r="H128" s="9" t="s">
        <v>18</v>
      </c>
      <c r="I128" s="9" t="s">
        <v>236</v>
      </c>
      <c r="J128" s="9" t="s">
        <v>53</v>
      </c>
      <c r="K128" s="9" t="s">
        <v>21</v>
      </c>
    </row>
    <row r="129" spans="1:11">
      <c r="A129" s="9">
        <v>124</v>
      </c>
      <c r="B129" s="9" t="s">
        <v>411</v>
      </c>
      <c r="C129" s="9">
        <v>7000000184</v>
      </c>
      <c r="D129" s="10" t="s">
        <v>516</v>
      </c>
      <c r="E129" s="10" t="s">
        <v>43</v>
      </c>
      <c r="F129" s="9" t="s">
        <v>303</v>
      </c>
      <c r="G129" s="9" t="s">
        <v>17</v>
      </c>
      <c r="H129" s="9" t="s">
        <v>18</v>
      </c>
      <c r="I129" s="9" t="s">
        <v>236</v>
      </c>
      <c r="J129" s="9" t="s">
        <v>53</v>
      </c>
      <c r="K129" s="9" t="s">
        <v>21</v>
      </c>
    </row>
    <row r="130" spans="1:11">
      <c r="A130" s="9">
        <v>125</v>
      </c>
      <c r="B130" s="9" t="s">
        <v>163</v>
      </c>
      <c r="C130" s="9">
        <v>7000000065</v>
      </c>
      <c r="D130" s="10" t="s">
        <v>164</v>
      </c>
      <c r="E130" s="10" t="s">
        <v>46</v>
      </c>
      <c r="F130" s="9" t="s">
        <v>28</v>
      </c>
      <c r="G130" s="9" t="s">
        <v>17</v>
      </c>
      <c r="H130" s="9" t="s">
        <v>18</v>
      </c>
      <c r="I130" s="9" t="s">
        <v>29</v>
      </c>
      <c r="J130" s="9" t="s">
        <v>20</v>
      </c>
      <c r="K130" s="9" t="s">
        <v>21</v>
      </c>
    </row>
    <row r="131" spans="1:11">
      <c r="A131" s="9">
        <v>126</v>
      </c>
      <c r="B131" s="9" t="s">
        <v>165</v>
      </c>
      <c r="C131" s="9">
        <v>7000000066</v>
      </c>
      <c r="D131" s="10" t="s">
        <v>166</v>
      </c>
      <c r="E131" s="10" t="s">
        <v>46</v>
      </c>
      <c r="F131" s="9" t="s">
        <v>28</v>
      </c>
      <c r="G131" s="9" t="s">
        <v>17</v>
      </c>
      <c r="H131" s="9" t="s">
        <v>18</v>
      </c>
      <c r="I131" s="9" t="s">
        <v>29</v>
      </c>
      <c r="J131" s="9" t="s">
        <v>20</v>
      </c>
      <c r="K131" s="9" t="s">
        <v>21</v>
      </c>
    </row>
    <row r="132" spans="1:11">
      <c r="A132" s="9">
        <v>127</v>
      </c>
      <c r="B132" s="9" t="s">
        <v>482</v>
      </c>
      <c r="C132" s="9">
        <v>7000000219</v>
      </c>
      <c r="D132" s="10" t="s">
        <v>483</v>
      </c>
      <c r="E132" s="10" t="s">
        <v>46</v>
      </c>
      <c r="F132" s="9" t="s">
        <v>28</v>
      </c>
      <c r="G132" s="9" t="s">
        <v>17</v>
      </c>
      <c r="H132" s="9" t="s">
        <v>18</v>
      </c>
      <c r="I132" s="9" t="s">
        <v>29</v>
      </c>
      <c r="J132" s="9" t="s">
        <v>20</v>
      </c>
      <c r="K132" s="9" t="s">
        <v>21</v>
      </c>
    </row>
    <row r="133" spans="1:11">
      <c r="A133" s="9">
        <v>128</v>
      </c>
      <c r="B133" s="9" t="s">
        <v>427</v>
      </c>
      <c r="C133" s="9">
        <v>7000000192</v>
      </c>
      <c r="D133" s="10" t="s">
        <v>428</v>
      </c>
      <c r="E133" s="10" t="s">
        <v>43</v>
      </c>
      <c r="F133" s="9" t="s">
        <v>303</v>
      </c>
      <c r="G133" s="9" t="s">
        <v>17</v>
      </c>
      <c r="H133" s="9" t="s">
        <v>18</v>
      </c>
      <c r="I133" s="9" t="s">
        <v>236</v>
      </c>
      <c r="J133" s="9" t="s">
        <v>53</v>
      </c>
      <c r="K133" s="9" t="s">
        <v>21</v>
      </c>
    </row>
    <row r="134" spans="1:11">
      <c r="A134" s="9">
        <v>129</v>
      </c>
      <c r="B134" s="9" t="s">
        <v>419</v>
      </c>
      <c r="C134" s="9">
        <v>7000000188</v>
      </c>
      <c r="D134" s="10" t="s">
        <v>517</v>
      </c>
      <c r="E134" s="10" t="s">
        <v>43</v>
      </c>
      <c r="F134" s="9" t="s">
        <v>303</v>
      </c>
      <c r="G134" s="9" t="s">
        <v>17</v>
      </c>
      <c r="H134" s="9" t="s">
        <v>18</v>
      </c>
      <c r="I134" s="9" t="s">
        <v>236</v>
      </c>
      <c r="J134" s="9" t="s">
        <v>53</v>
      </c>
      <c r="K134" s="9" t="s">
        <v>21</v>
      </c>
    </row>
    <row r="135" spans="1:11">
      <c r="A135" s="9">
        <v>130</v>
      </c>
      <c r="B135" s="9" t="s">
        <v>415</v>
      </c>
      <c r="C135" s="9">
        <v>7000000186</v>
      </c>
      <c r="D135" s="10" t="s">
        <v>416</v>
      </c>
      <c r="E135" s="10" t="s">
        <v>43</v>
      </c>
      <c r="F135" s="9" t="s">
        <v>303</v>
      </c>
      <c r="G135" s="9" t="s">
        <v>17</v>
      </c>
      <c r="H135" s="9" t="s">
        <v>18</v>
      </c>
      <c r="I135" s="9" t="s">
        <v>236</v>
      </c>
      <c r="J135" s="9" t="s">
        <v>53</v>
      </c>
      <c r="K135" s="9" t="s">
        <v>21</v>
      </c>
    </row>
    <row r="136" spans="1:11">
      <c r="A136" s="9">
        <v>131</v>
      </c>
      <c r="B136" s="9" t="s">
        <v>518</v>
      </c>
      <c r="C136" s="9">
        <v>7000000229</v>
      </c>
      <c r="D136" s="10" t="s">
        <v>519</v>
      </c>
      <c r="E136" s="10" t="s">
        <v>52</v>
      </c>
      <c r="F136" s="9" t="s">
        <v>28</v>
      </c>
      <c r="G136" s="9" t="s">
        <v>17</v>
      </c>
      <c r="H136" s="9" t="s">
        <v>18</v>
      </c>
      <c r="I136" s="9" t="s">
        <v>29</v>
      </c>
      <c r="J136" s="9" t="s">
        <v>20</v>
      </c>
      <c r="K136" s="9" t="s">
        <v>21</v>
      </c>
    </row>
    <row r="137" spans="1:11">
      <c r="A137" s="9">
        <v>132</v>
      </c>
      <c r="B137" s="9" t="s">
        <v>167</v>
      </c>
      <c r="C137" s="9">
        <v>7000000067</v>
      </c>
      <c r="D137" s="10" t="s">
        <v>168</v>
      </c>
      <c r="E137" s="10" t="s">
        <v>35</v>
      </c>
      <c r="F137" s="9" t="s">
        <v>36</v>
      </c>
      <c r="G137" s="9" t="s">
        <v>17</v>
      </c>
      <c r="H137" s="9" t="s">
        <v>18</v>
      </c>
      <c r="I137" s="9" t="s">
        <v>239</v>
      </c>
      <c r="J137" s="9" t="s">
        <v>20</v>
      </c>
      <c r="K137" s="9" t="s">
        <v>21</v>
      </c>
    </row>
    <row r="138" spans="1:11">
      <c r="A138" s="9">
        <v>133</v>
      </c>
      <c r="B138" s="9" t="s">
        <v>169</v>
      </c>
      <c r="C138" s="9">
        <v>7000000068</v>
      </c>
      <c r="D138" s="10" t="s">
        <v>170</v>
      </c>
      <c r="E138" s="10" t="s">
        <v>35</v>
      </c>
      <c r="F138" s="9" t="s">
        <v>36</v>
      </c>
      <c r="G138" s="9" t="s">
        <v>17</v>
      </c>
      <c r="H138" s="9" t="s">
        <v>18</v>
      </c>
      <c r="I138" s="9" t="s">
        <v>239</v>
      </c>
      <c r="J138" s="9" t="s">
        <v>53</v>
      </c>
      <c r="K138" s="9" t="s">
        <v>21</v>
      </c>
    </row>
    <row r="139" spans="1:11">
      <c r="A139" s="9">
        <v>134</v>
      </c>
      <c r="B139" s="9" t="s">
        <v>371</v>
      </c>
      <c r="C139" s="9">
        <v>7000000164</v>
      </c>
      <c r="D139" s="10" t="s">
        <v>372</v>
      </c>
      <c r="E139" s="10" t="s">
        <v>32</v>
      </c>
      <c r="F139" s="9" t="s">
        <v>303</v>
      </c>
      <c r="G139" s="9" t="s">
        <v>17</v>
      </c>
      <c r="H139" s="9" t="s">
        <v>18</v>
      </c>
      <c r="I139" s="9" t="s">
        <v>19</v>
      </c>
      <c r="J139" s="9" t="s">
        <v>20</v>
      </c>
      <c r="K139" s="9" t="s">
        <v>21</v>
      </c>
    </row>
    <row r="140" spans="1:11">
      <c r="A140" s="9">
        <v>135</v>
      </c>
      <c r="B140" s="9" t="s">
        <v>308</v>
      </c>
      <c r="C140" s="9">
        <v>7000000133</v>
      </c>
      <c r="D140" s="10" t="s">
        <v>520</v>
      </c>
      <c r="E140" s="10" t="s">
        <v>52</v>
      </c>
      <c r="F140" s="9" t="s">
        <v>303</v>
      </c>
      <c r="G140" s="9" t="s">
        <v>17</v>
      </c>
      <c r="H140" s="9" t="s">
        <v>18</v>
      </c>
      <c r="I140" s="9" t="s">
        <v>236</v>
      </c>
      <c r="J140" s="9" t="s">
        <v>20</v>
      </c>
      <c r="K140" s="9" t="s">
        <v>21</v>
      </c>
    </row>
    <row r="141" spans="1:11">
      <c r="A141" s="9">
        <v>136</v>
      </c>
      <c r="B141" s="9" t="s">
        <v>312</v>
      </c>
      <c r="C141" s="9">
        <v>7000000135</v>
      </c>
      <c r="D141" s="10" t="s">
        <v>313</v>
      </c>
      <c r="E141" s="10" t="s">
        <v>49</v>
      </c>
      <c r="F141" s="9" t="s">
        <v>303</v>
      </c>
      <c r="G141" s="9" t="s">
        <v>17</v>
      </c>
      <c r="H141" s="9" t="s">
        <v>18</v>
      </c>
      <c r="I141" s="9" t="s">
        <v>236</v>
      </c>
      <c r="J141" s="9" t="s">
        <v>20</v>
      </c>
      <c r="K141" s="9" t="s">
        <v>21</v>
      </c>
    </row>
    <row r="142" spans="1:11">
      <c r="A142" s="9">
        <v>137</v>
      </c>
      <c r="B142" s="9" t="s">
        <v>344</v>
      </c>
      <c r="C142" s="9">
        <v>7000000151</v>
      </c>
      <c r="D142" s="10" t="s">
        <v>345</v>
      </c>
      <c r="E142" s="10" t="s">
        <v>84</v>
      </c>
      <c r="F142" s="9" t="s">
        <v>303</v>
      </c>
      <c r="G142" s="9" t="s">
        <v>17</v>
      </c>
      <c r="H142" s="9" t="s">
        <v>18</v>
      </c>
      <c r="I142" s="9" t="s">
        <v>239</v>
      </c>
      <c r="J142" s="9" t="s">
        <v>20</v>
      </c>
      <c r="K142" s="9" t="s">
        <v>21</v>
      </c>
    </row>
    <row r="143" spans="1:11">
      <c r="A143" s="9">
        <v>138</v>
      </c>
      <c r="B143" s="9" t="s">
        <v>328</v>
      </c>
      <c r="C143" s="9">
        <v>7000000143</v>
      </c>
      <c r="D143" s="10" t="s">
        <v>329</v>
      </c>
      <c r="E143" s="10" t="s">
        <v>40</v>
      </c>
      <c r="F143" s="9" t="s">
        <v>303</v>
      </c>
      <c r="G143" s="9" t="s">
        <v>17</v>
      </c>
      <c r="H143" s="9" t="s">
        <v>18</v>
      </c>
      <c r="I143" s="9" t="s">
        <v>236</v>
      </c>
      <c r="J143" s="9" t="s">
        <v>53</v>
      </c>
      <c r="K143" s="9" t="s">
        <v>21</v>
      </c>
    </row>
    <row r="144" spans="1:11">
      <c r="A144" s="9">
        <v>139</v>
      </c>
      <c r="B144" s="9" t="s">
        <v>373</v>
      </c>
      <c r="C144" s="9">
        <v>7000000165</v>
      </c>
      <c r="D144" s="10" t="s">
        <v>374</v>
      </c>
      <c r="E144" s="10" t="s">
        <v>40</v>
      </c>
      <c r="F144" s="9" t="s">
        <v>303</v>
      </c>
      <c r="G144" s="9" t="s">
        <v>17</v>
      </c>
      <c r="H144" s="9" t="s">
        <v>18</v>
      </c>
      <c r="I144" s="9" t="s">
        <v>19</v>
      </c>
      <c r="J144" s="9" t="s">
        <v>20</v>
      </c>
      <c r="K144" s="9" t="s">
        <v>21</v>
      </c>
    </row>
    <row r="145" spans="1:11">
      <c r="A145" s="9">
        <v>140</v>
      </c>
      <c r="B145" s="9" t="s">
        <v>405</v>
      </c>
      <c r="C145" s="9">
        <v>7000000181</v>
      </c>
      <c r="D145" s="10" t="s">
        <v>406</v>
      </c>
      <c r="E145" s="10" t="s">
        <v>35</v>
      </c>
      <c r="F145" s="9" t="s">
        <v>303</v>
      </c>
      <c r="G145" s="9" t="s">
        <v>17</v>
      </c>
      <c r="H145" s="9" t="s">
        <v>18</v>
      </c>
      <c r="I145" s="9" t="s">
        <v>236</v>
      </c>
      <c r="J145" s="9" t="s">
        <v>53</v>
      </c>
      <c r="K145" s="9" t="s">
        <v>21</v>
      </c>
    </row>
    <row r="146" spans="1:11">
      <c r="A146" s="9">
        <v>141</v>
      </c>
      <c r="B146" s="9" t="s">
        <v>173</v>
      </c>
      <c r="C146" s="9">
        <v>7000000070</v>
      </c>
      <c r="D146" s="10" t="s">
        <v>174</v>
      </c>
      <c r="E146" s="10" t="s">
        <v>27</v>
      </c>
      <c r="F146" s="9" t="s">
        <v>28</v>
      </c>
      <c r="G146" s="9" t="s">
        <v>17</v>
      </c>
      <c r="H146" s="9" t="s">
        <v>18</v>
      </c>
      <c r="I146" s="9" t="s">
        <v>29</v>
      </c>
      <c r="J146" s="9" t="s">
        <v>20</v>
      </c>
      <c r="K146" s="9" t="s">
        <v>21</v>
      </c>
    </row>
    <row r="147" spans="1:11">
      <c r="A147" s="9">
        <v>142</v>
      </c>
      <c r="B147" s="9" t="s">
        <v>521</v>
      </c>
      <c r="C147" s="9">
        <v>7000000230</v>
      </c>
      <c r="D147" s="10" t="s">
        <v>522</v>
      </c>
      <c r="E147" s="10" t="s">
        <v>52</v>
      </c>
      <c r="F147" s="9" t="s">
        <v>28</v>
      </c>
      <c r="G147" s="9" t="s">
        <v>17</v>
      </c>
      <c r="H147" s="9" t="s">
        <v>18</v>
      </c>
      <c r="I147" s="9" t="s">
        <v>29</v>
      </c>
      <c r="J147" s="9" t="s">
        <v>20</v>
      </c>
      <c r="K147" s="9" t="s">
        <v>21</v>
      </c>
    </row>
    <row r="148" spans="1:11">
      <c r="A148" s="9">
        <v>143</v>
      </c>
      <c r="B148" s="9" t="s">
        <v>175</v>
      </c>
      <c r="C148" s="9">
        <v>7000000071</v>
      </c>
      <c r="D148" s="10" t="s">
        <v>176</v>
      </c>
      <c r="E148" s="10" t="s">
        <v>32</v>
      </c>
      <c r="F148" s="9" t="s">
        <v>28</v>
      </c>
      <c r="G148" s="9" t="s">
        <v>17</v>
      </c>
      <c r="H148" s="9" t="s">
        <v>18</v>
      </c>
      <c r="I148" s="9" t="s">
        <v>29</v>
      </c>
      <c r="J148" s="9" t="s">
        <v>20</v>
      </c>
      <c r="K148" s="9" t="s">
        <v>21</v>
      </c>
    </row>
    <row r="149" spans="1:11">
      <c r="A149" s="9">
        <v>144</v>
      </c>
      <c r="B149" s="9" t="s">
        <v>177</v>
      </c>
      <c r="C149" s="9">
        <v>7000000072</v>
      </c>
      <c r="D149" s="10" t="s">
        <v>178</v>
      </c>
      <c r="E149" s="10" t="s">
        <v>52</v>
      </c>
      <c r="F149" s="9" t="s">
        <v>28</v>
      </c>
      <c r="G149" s="9" t="s">
        <v>17</v>
      </c>
      <c r="H149" s="9" t="s">
        <v>18</v>
      </c>
      <c r="I149" s="9" t="s">
        <v>29</v>
      </c>
      <c r="J149" s="9" t="s">
        <v>20</v>
      </c>
      <c r="K149" s="9" t="s">
        <v>21</v>
      </c>
    </row>
    <row r="150" spans="1:11">
      <c r="A150" s="9">
        <v>145</v>
      </c>
      <c r="B150" s="9" t="s">
        <v>179</v>
      </c>
      <c r="C150" s="9">
        <v>7000000073</v>
      </c>
      <c r="D150" s="10" t="s">
        <v>180</v>
      </c>
      <c r="E150" s="10" t="s">
        <v>35</v>
      </c>
      <c r="F150" s="9" t="s">
        <v>36</v>
      </c>
      <c r="G150" s="9" t="s">
        <v>17</v>
      </c>
      <c r="H150" s="9" t="s">
        <v>18</v>
      </c>
      <c r="I150" s="9" t="s">
        <v>239</v>
      </c>
      <c r="J150" s="9" t="s">
        <v>20</v>
      </c>
      <c r="K150" s="9" t="s">
        <v>21</v>
      </c>
    </row>
    <row r="151" spans="1:11">
      <c r="A151" s="9">
        <v>146</v>
      </c>
      <c r="B151" s="9" t="s">
        <v>181</v>
      </c>
      <c r="C151" s="9">
        <v>7000000074</v>
      </c>
      <c r="D151" s="10" t="s">
        <v>182</v>
      </c>
      <c r="E151" s="10" t="s">
        <v>35</v>
      </c>
      <c r="F151" s="9" t="s">
        <v>36</v>
      </c>
      <c r="G151" s="9" t="s">
        <v>17</v>
      </c>
      <c r="H151" s="9" t="s">
        <v>18</v>
      </c>
      <c r="I151" s="9" t="s">
        <v>239</v>
      </c>
      <c r="J151" s="9" t="s">
        <v>20</v>
      </c>
      <c r="K151" s="9" t="s">
        <v>21</v>
      </c>
    </row>
    <row r="152" spans="1:11">
      <c r="A152" s="9">
        <v>147</v>
      </c>
      <c r="B152" s="9" t="s">
        <v>364</v>
      </c>
      <c r="C152" s="9">
        <v>7000000161</v>
      </c>
      <c r="D152" s="10" t="s">
        <v>365</v>
      </c>
      <c r="E152" s="10" t="s">
        <v>40</v>
      </c>
      <c r="F152" s="9" t="s">
        <v>303</v>
      </c>
      <c r="G152" s="9" t="s">
        <v>17</v>
      </c>
      <c r="H152" s="9" t="s">
        <v>18</v>
      </c>
      <c r="I152" s="9" t="s">
        <v>37</v>
      </c>
      <c r="J152" s="9" t="s">
        <v>20</v>
      </c>
      <c r="K152" s="9" t="s">
        <v>21</v>
      </c>
    </row>
    <row r="153" spans="1:11">
      <c r="A153" s="9">
        <v>148</v>
      </c>
      <c r="B153" s="9" t="s">
        <v>366</v>
      </c>
      <c r="C153" s="9">
        <v>7000000162</v>
      </c>
      <c r="D153" s="10" t="s">
        <v>367</v>
      </c>
      <c r="E153" s="10" t="s">
        <v>40</v>
      </c>
      <c r="F153" s="9" t="s">
        <v>303</v>
      </c>
      <c r="G153" s="9" t="s">
        <v>17</v>
      </c>
      <c r="H153" s="9" t="s">
        <v>18</v>
      </c>
      <c r="I153" s="9" t="s">
        <v>37</v>
      </c>
      <c r="J153" s="9" t="s">
        <v>20</v>
      </c>
      <c r="K153" s="9" t="s">
        <v>21</v>
      </c>
    </row>
    <row r="154" spans="1:11">
      <c r="A154" s="9">
        <v>149</v>
      </c>
      <c r="B154" s="9" t="s">
        <v>330</v>
      </c>
      <c r="C154" s="9">
        <v>7000000144</v>
      </c>
      <c r="D154" s="10" t="s">
        <v>331</v>
      </c>
      <c r="E154" s="10" t="s">
        <v>40</v>
      </c>
      <c r="F154" s="9" t="s">
        <v>303</v>
      </c>
      <c r="G154" s="9" t="s">
        <v>17</v>
      </c>
      <c r="H154" s="9" t="s">
        <v>18</v>
      </c>
      <c r="I154" s="9" t="s">
        <v>236</v>
      </c>
      <c r="J154" s="9" t="s">
        <v>20</v>
      </c>
      <c r="K154" s="9" t="s">
        <v>21</v>
      </c>
    </row>
    <row r="155" spans="1:11">
      <c r="A155" s="9">
        <v>150</v>
      </c>
      <c r="B155" s="9" t="s">
        <v>183</v>
      </c>
      <c r="C155" s="9">
        <v>7000000075</v>
      </c>
      <c r="D155" s="10" t="s">
        <v>184</v>
      </c>
      <c r="E155" s="10" t="s">
        <v>40</v>
      </c>
      <c r="F155" s="9" t="s">
        <v>28</v>
      </c>
      <c r="G155" s="9" t="s">
        <v>17</v>
      </c>
      <c r="H155" s="9" t="s">
        <v>18</v>
      </c>
      <c r="I155" s="9" t="s">
        <v>29</v>
      </c>
      <c r="J155" s="9" t="s">
        <v>20</v>
      </c>
      <c r="K155" s="9" t="s">
        <v>21</v>
      </c>
    </row>
    <row r="156" spans="1:11">
      <c r="A156" s="9">
        <v>151</v>
      </c>
      <c r="B156" s="9" t="s">
        <v>185</v>
      </c>
      <c r="C156" s="9">
        <v>7000000076</v>
      </c>
      <c r="D156" s="10" t="s">
        <v>186</v>
      </c>
      <c r="E156" s="10" t="s">
        <v>40</v>
      </c>
      <c r="F156" s="9" t="s">
        <v>28</v>
      </c>
      <c r="G156" s="9" t="s">
        <v>17</v>
      </c>
      <c r="H156" s="9" t="s">
        <v>18</v>
      </c>
      <c r="I156" s="9" t="s">
        <v>29</v>
      </c>
      <c r="J156" s="9" t="s">
        <v>20</v>
      </c>
      <c r="K156" s="9" t="s">
        <v>21</v>
      </c>
    </row>
    <row r="157" spans="1:11">
      <c r="A157" s="9">
        <v>152</v>
      </c>
      <c r="B157" s="9" t="s">
        <v>187</v>
      </c>
      <c r="C157" s="9">
        <v>7000000077</v>
      </c>
      <c r="D157" s="10" t="s">
        <v>188</v>
      </c>
      <c r="E157" s="10" t="s">
        <v>32</v>
      </c>
      <c r="F157" s="9" t="s">
        <v>28</v>
      </c>
      <c r="G157" s="9" t="s">
        <v>17</v>
      </c>
      <c r="H157" s="9" t="s">
        <v>18</v>
      </c>
      <c r="I157" s="9" t="s">
        <v>29</v>
      </c>
      <c r="J157" s="9" t="s">
        <v>20</v>
      </c>
      <c r="K157" s="9" t="s">
        <v>21</v>
      </c>
    </row>
    <row r="158" spans="1:11">
      <c r="A158" s="9">
        <v>153</v>
      </c>
      <c r="B158" s="9" t="s">
        <v>189</v>
      </c>
      <c r="C158" s="9">
        <v>7000000078</v>
      </c>
      <c r="D158" s="10" t="s">
        <v>190</v>
      </c>
      <c r="E158" s="10" t="s">
        <v>43</v>
      </c>
      <c r="F158" s="9" t="s">
        <v>28</v>
      </c>
      <c r="G158" s="9" t="s">
        <v>17</v>
      </c>
      <c r="H158" s="9" t="s">
        <v>18</v>
      </c>
      <c r="I158" s="9" t="s">
        <v>29</v>
      </c>
      <c r="J158" s="9" t="s">
        <v>20</v>
      </c>
      <c r="K158" s="9" t="s">
        <v>21</v>
      </c>
    </row>
    <row r="159" spans="1:11">
      <c r="A159" s="9">
        <v>154</v>
      </c>
      <c r="B159" s="9" t="s">
        <v>191</v>
      </c>
      <c r="C159" s="9">
        <v>7000000079</v>
      </c>
      <c r="D159" s="10" t="s">
        <v>192</v>
      </c>
      <c r="E159" s="10" t="s">
        <v>43</v>
      </c>
      <c r="F159" s="9" t="s">
        <v>28</v>
      </c>
      <c r="G159" s="9" t="s">
        <v>17</v>
      </c>
      <c r="H159" s="9" t="s">
        <v>18</v>
      </c>
      <c r="I159" s="9" t="s">
        <v>29</v>
      </c>
      <c r="J159" s="9" t="s">
        <v>20</v>
      </c>
      <c r="K159" s="9" t="s">
        <v>21</v>
      </c>
    </row>
    <row r="160" spans="1:11">
      <c r="A160" s="9">
        <v>155</v>
      </c>
      <c r="B160" s="9" t="s">
        <v>439</v>
      </c>
      <c r="C160" s="9">
        <v>7000000198</v>
      </c>
      <c r="D160" s="10" t="s">
        <v>440</v>
      </c>
      <c r="E160" s="10" t="s">
        <v>43</v>
      </c>
      <c r="F160" s="9" t="s">
        <v>303</v>
      </c>
      <c r="G160" s="9" t="s">
        <v>17</v>
      </c>
      <c r="H160" s="9" t="s">
        <v>18</v>
      </c>
      <c r="I160" s="9" t="s">
        <v>236</v>
      </c>
      <c r="J160" s="9" t="s">
        <v>20</v>
      </c>
      <c r="K160" s="9" t="s">
        <v>21</v>
      </c>
    </row>
    <row r="161" spans="1:11">
      <c r="A161" s="9">
        <v>156</v>
      </c>
      <c r="B161" s="9" t="s">
        <v>431</v>
      </c>
      <c r="C161" s="9">
        <v>7000000194</v>
      </c>
      <c r="D161" s="10" t="s">
        <v>523</v>
      </c>
      <c r="E161" s="10" t="s">
        <v>43</v>
      </c>
      <c r="F161" s="9" t="s">
        <v>303</v>
      </c>
      <c r="G161" s="9" t="s">
        <v>17</v>
      </c>
      <c r="H161" s="9" t="s">
        <v>18</v>
      </c>
      <c r="I161" s="9" t="s">
        <v>236</v>
      </c>
      <c r="J161" s="9" t="s">
        <v>53</v>
      </c>
      <c r="K161" s="9" t="s">
        <v>21</v>
      </c>
    </row>
    <row r="162" spans="1:11">
      <c r="A162" s="9">
        <v>157</v>
      </c>
      <c r="B162" s="9" t="s">
        <v>193</v>
      </c>
      <c r="C162" s="9">
        <v>7000000080</v>
      </c>
      <c r="D162" s="10" t="s">
        <v>194</v>
      </c>
      <c r="E162" s="10" t="s">
        <v>46</v>
      </c>
      <c r="F162" s="9" t="s">
        <v>28</v>
      </c>
      <c r="G162" s="9" t="s">
        <v>17</v>
      </c>
      <c r="H162" s="9" t="s">
        <v>18</v>
      </c>
      <c r="I162" s="9" t="s">
        <v>29</v>
      </c>
      <c r="J162" s="9" t="s">
        <v>20</v>
      </c>
      <c r="K162" s="9" t="s">
        <v>21</v>
      </c>
    </row>
    <row r="163" spans="1:11">
      <c r="A163" s="9">
        <v>158</v>
      </c>
      <c r="B163" s="9" t="s">
        <v>195</v>
      </c>
      <c r="C163" s="9">
        <v>7000000081</v>
      </c>
      <c r="D163" s="10" t="s">
        <v>196</v>
      </c>
      <c r="E163" s="10" t="s">
        <v>49</v>
      </c>
      <c r="F163" s="9" t="s">
        <v>28</v>
      </c>
      <c r="G163" s="9" t="s">
        <v>17</v>
      </c>
      <c r="H163" s="9" t="s">
        <v>18</v>
      </c>
      <c r="I163" s="9" t="s">
        <v>29</v>
      </c>
      <c r="J163" s="9" t="s">
        <v>20</v>
      </c>
      <c r="K163" s="9" t="s">
        <v>21</v>
      </c>
    </row>
    <row r="164" spans="1:11">
      <c r="A164" s="9">
        <v>159</v>
      </c>
      <c r="B164" s="9" t="s">
        <v>197</v>
      </c>
      <c r="C164" s="9">
        <v>7000000082</v>
      </c>
      <c r="D164" s="10" t="s">
        <v>198</v>
      </c>
      <c r="E164" s="10" t="s">
        <v>49</v>
      </c>
      <c r="F164" s="9" t="s">
        <v>28</v>
      </c>
      <c r="G164" s="9" t="s">
        <v>17</v>
      </c>
      <c r="H164" s="9" t="s">
        <v>18</v>
      </c>
      <c r="I164" s="9" t="s">
        <v>29</v>
      </c>
      <c r="J164" s="9" t="s">
        <v>20</v>
      </c>
      <c r="K164" s="9" t="s">
        <v>21</v>
      </c>
    </row>
    <row r="165" spans="1:11">
      <c r="A165" s="9">
        <v>160</v>
      </c>
      <c r="B165" s="9" t="s">
        <v>199</v>
      </c>
      <c r="C165" s="9">
        <v>7000000083</v>
      </c>
      <c r="D165" s="10" t="s">
        <v>200</v>
      </c>
      <c r="E165" s="10" t="s">
        <v>46</v>
      </c>
      <c r="F165" s="9" t="s">
        <v>28</v>
      </c>
      <c r="G165" s="9" t="s">
        <v>17</v>
      </c>
      <c r="H165" s="9" t="s">
        <v>18</v>
      </c>
      <c r="I165" s="9" t="s">
        <v>29</v>
      </c>
      <c r="J165" s="9" t="s">
        <v>20</v>
      </c>
      <c r="K165" s="9" t="s">
        <v>21</v>
      </c>
    </row>
    <row r="166" spans="1:11">
      <c r="A166" s="9">
        <v>161</v>
      </c>
      <c r="B166" s="9" t="s">
        <v>201</v>
      </c>
      <c r="C166" s="9">
        <v>7000000084</v>
      </c>
      <c r="D166" s="10" t="s">
        <v>202</v>
      </c>
      <c r="E166" s="10" t="s">
        <v>52</v>
      </c>
      <c r="F166" s="9" t="s">
        <v>28</v>
      </c>
      <c r="G166" s="9" t="s">
        <v>17</v>
      </c>
      <c r="H166" s="9" t="s">
        <v>18</v>
      </c>
      <c r="I166" s="9" t="s">
        <v>29</v>
      </c>
      <c r="J166" s="9" t="s">
        <v>20</v>
      </c>
      <c r="K166" s="9" t="s">
        <v>21</v>
      </c>
    </row>
    <row r="167" spans="1:11">
      <c r="A167" s="9">
        <v>162</v>
      </c>
      <c r="B167" s="9" t="s">
        <v>205</v>
      </c>
      <c r="C167" s="9">
        <v>7000000086</v>
      </c>
      <c r="D167" s="10" t="s">
        <v>206</v>
      </c>
      <c r="E167" s="10" t="s">
        <v>43</v>
      </c>
      <c r="F167" s="9" t="s">
        <v>28</v>
      </c>
      <c r="G167" s="9" t="s">
        <v>17</v>
      </c>
      <c r="H167" s="9" t="s">
        <v>18</v>
      </c>
      <c r="I167" s="9" t="s">
        <v>29</v>
      </c>
      <c r="J167" s="9" t="s">
        <v>20</v>
      </c>
      <c r="K167" s="9" t="s">
        <v>21</v>
      </c>
    </row>
    <row r="168" spans="1:11">
      <c r="A168" s="9">
        <v>163</v>
      </c>
      <c r="B168" s="9" t="s">
        <v>207</v>
      </c>
      <c r="C168" s="9">
        <v>7000000087</v>
      </c>
      <c r="D168" s="10" t="s">
        <v>208</v>
      </c>
      <c r="E168" s="10" t="s">
        <v>52</v>
      </c>
      <c r="F168" s="9" t="s">
        <v>28</v>
      </c>
      <c r="G168" s="9" t="s">
        <v>17</v>
      </c>
      <c r="H168" s="9" t="s">
        <v>18</v>
      </c>
      <c r="I168" s="9" t="s">
        <v>29</v>
      </c>
      <c r="J168" s="9" t="s">
        <v>20</v>
      </c>
      <c r="K168" s="9" t="s">
        <v>21</v>
      </c>
    </row>
    <row r="169" spans="1:11">
      <c r="A169" s="9">
        <v>164</v>
      </c>
      <c r="B169" s="9" t="s">
        <v>209</v>
      </c>
      <c r="C169" s="9">
        <v>7000000088</v>
      </c>
      <c r="D169" s="10" t="s">
        <v>210</v>
      </c>
      <c r="E169" s="10" t="s">
        <v>32</v>
      </c>
      <c r="F169" s="9" t="s">
        <v>36</v>
      </c>
      <c r="G169" s="9" t="s">
        <v>17</v>
      </c>
      <c r="H169" s="9" t="s">
        <v>18</v>
      </c>
      <c r="I169" s="9" t="s">
        <v>239</v>
      </c>
      <c r="J169" s="9" t="s">
        <v>20</v>
      </c>
      <c r="K169" s="9" t="s">
        <v>21</v>
      </c>
    </row>
    <row r="170" spans="1:11">
      <c r="A170" s="9">
        <v>165</v>
      </c>
      <c r="B170" s="9" t="s">
        <v>306</v>
      </c>
      <c r="C170" s="9">
        <v>7000000132</v>
      </c>
      <c r="D170" s="10" t="s">
        <v>524</v>
      </c>
      <c r="E170" s="10" t="s">
        <v>27</v>
      </c>
      <c r="F170" s="9" t="s">
        <v>303</v>
      </c>
      <c r="G170" s="9" t="s">
        <v>17</v>
      </c>
      <c r="H170" s="9" t="s">
        <v>18</v>
      </c>
      <c r="I170" s="9" t="s">
        <v>29</v>
      </c>
      <c r="J170" s="9" t="s">
        <v>53</v>
      </c>
      <c r="K170" s="9" t="s">
        <v>21</v>
      </c>
    </row>
    <row r="171" spans="1:11">
      <c r="A171" s="9">
        <v>166</v>
      </c>
      <c r="B171" s="9" t="s">
        <v>368</v>
      </c>
      <c r="C171" s="9">
        <v>7000000163</v>
      </c>
      <c r="D171" s="10" t="s">
        <v>369</v>
      </c>
      <c r="E171" s="10" t="s">
        <v>32</v>
      </c>
      <c r="F171" s="9" t="s">
        <v>303</v>
      </c>
      <c r="G171" s="9" t="s">
        <v>17</v>
      </c>
      <c r="H171" s="9" t="s">
        <v>18</v>
      </c>
      <c r="I171" s="9" t="s">
        <v>236</v>
      </c>
      <c r="J171" s="9" t="s">
        <v>20</v>
      </c>
      <c r="K171" s="9" t="s">
        <v>21</v>
      </c>
    </row>
    <row r="172" spans="1:11">
      <c r="A172" s="9">
        <v>167</v>
      </c>
      <c r="B172" s="9" t="s">
        <v>362</v>
      </c>
      <c r="C172" s="9">
        <v>7000000160</v>
      </c>
      <c r="D172" s="10" t="s">
        <v>363</v>
      </c>
      <c r="E172" s="10" t="s">
        <v>32</v>
      </c>
      <c r="F172" s="9" t="s">
        <v>303</v>
      </c>
      <c r="G172" s="9" t="s">
        <v>17</v>
      </c>
      <c r="H172" s="9" t="s">
        <v>18</v>
      </c>
      <c r="I172" s="9" t="s">
        <v>37</v>
      </c>
      <c r="J172" s="9" t="s">
        <v>53</v>
      </c>
      <c r="K172" s="9" t="s">
        <v>21</v>
      </c>
    </row>
    <row r="173" spans="1:11">
      <c r="A173" s="9">
        <v>168</v>
      </c>
      <c r="B173" s="9" t="s">
        <v>316</v>
      </c>
      <c r="C173" s="9">
        <v>7000000137</v>
      </c>
      <c r="D173" s="10" t="s">
        <v>525</v>
      </c>
      <c r="E173" s="10" t="s">
        <v>49</v>
      </c>
      <c r="F173" s="9" t="s">
        <v>303</v>
      </c>
      <c r="G173" s="9" t="s">
        <v>17</v>
      </c>
      <c r="H173" s="9" t="s">
        <v>18</v>
      </c>
      <c r="I173" s="9" t="s">
        <v>236</v>
      </c>
      <c r="J173" s="9" t="s">
        <v>53</v>
      </c>
      <c r="K173" s="9" t="s">
        <v>21</v>
      </c>
    </row>
    <row r="174" spans="1:11">
      <c r="A174" s="9">
        <v>169</v>
      </c>
      <c r="B174" s="9" t="s">
        <v>338</v>
      </c>
      <c r="C174" s="9">
        <v>7000000148</v>
      </c>
      <c r="D174" s="10" t="s">
        <v>339</v>
      </c>
      <c r="E174" s="10" t="s">
        <v>84</v>
      </c>
      <c r="F174" s="9" t="s">
        <v>303</v>
      </c>
      <c r="G174" s="9" t="s">
        <v>17</v>
      </c>
      <c r="H174" s="9" t="s">
        <v>18</v>
      </c>
      <c r="I174" s="9" t="s">
        <v>239</v>
      </c>
      <c r="J174" s="9" t="s">
        <v>20</v>
      </c>
      <c r="K174" s="9" t="s">
        <v>21</v>
      </c>
    </row>
    <row r="175" spans="1:11">
      <c r="A175" s="9">
        <v>170</v>
      </c>
      <c r="B175" s="9" t="s">
        <v>526</v>
      </c>
      <c r="C175" s="9">
        <v>7000000231</v>
      </c>
      <c r="D175" s="10" t="s">
        <v>527</v>
      </c>
      <c r="E175" s="10" t="s">
        <v>84</v>
      </c>
      <c r="F175" s="9" t="s">
        <v>303</v>
      </c>
      <c r="G175" s="9" t="s">
        <v>17</v>
      </c>
      <c r="H175" s="9" t="s">
        <v>18</v>
      </c>
      <c r="I175" s="9" t="s">
        <v>239</v>
      </c>
      <c r="J175" s="9" t="s">
        <v>20</v>
      </c>
      <c r="K175" s="9" t="s">
        <v>21</v>
      </c>
    </row>
    <row r="176" spans="1:11">
      <c r="A176" s="9">
        <v>171</v>
      </c>
      <c r="B176" s="9" t="s">
        <v>322</v>
      </c>
      <c r="C176" s="9">
        <v>7000000140</v>
      </c>
      <c r="D176" s="10" t="s">
        <v>323</v>
      </c>
      <c r="E176" s="10" t="s">
        <v>40</v>
      </c>
      <c r="F176" s="9" t="s">
        <v>303</v>
      </c>
      <c r="G176" s="9" t="s">
        <v>17</v>
      </c>
      <c r="H176" s="9" t="s">
        <v>18</v>
      </c>
      <c r="I176" s="9" t="s">
        <v>236</v>
      </c>
      <c r="J176" s="9" t="s">
        <v>20</v>
      </c>
      <c r="K176" s="9" t="s">
        <v>21</v>
      </c>
    </row>
    <row r="177" spans="1:11">
      <c r="A177" s="9">
        <v>172</v>
      </c>
      <c r="B177" s="9" t="s">
        <v>379</v>
      </c>
      <c r="C177" s="9">
        <v>7000000168</v>
      </c>
      <c r="D177" s="10" t="s">
        <v>380</v>
      </c>
      <c r="E177" s="10" t="s">
        <v>40</v>
      </c>
      <c r="F177" s="9" t="s">
        <v>303</v>
      </c>
      <c r="G177" s="9" t="s">
        <v>17</v>
      </c>
      <c r="H177" s="9" t="s">
        <v>18</v>
      </c>
      <c r="I177" s="9" t="s">
        <v>236</v>
      </c>
      <c r="J177" s="9" t="s">
        <v>20</v>
      </c>
      <c r="K177" s="9" t="s">
        <v>21</v>
      </c>
    </row>
    <row r="178" spans="1:11">
      <c r="A178" s="9">
        <v>173</v>
      </c>
      <c r="B178" s="9" t="s">
        <v>375</v>
      </c>
      <c r="C178" s="9">
        <v>7000000166</v>
      </c>
      <c r="D178" s="10" t="s">
        <v>376</v>
      </c>
      <c r="E178" s="10" t="s">
        <v>40</v>
      </c>
      <c r="F178" s="9" t="s">
        <v>303</v>
      </c>
      <c r="G178" s="9" t="s">
        <v>17</v>
      </c>
      <c r="H178" s="9" t="s">
        <v>18</v>
      </c>
      <c r="I178" s="9" t="s">
        <v>19</v>
      </c>
      <c r="J178" s="9" t="s">
        <v>20</v>
      </c>
      <c r="K178" s="9" t="s">
        <v>21</v>
      </c>
    </row>
    <row r="179" spans="1:11">
      <c r="A179" s="9">
        <v>174</v>
      </c>
      <c r="B179" s="9" t="s">
        <v>385</v>
      </c>
      <c r="C179" s="9">
        <v>7000000171</v>
      </c>
      <c r="D179" s="10" t="s">
        <v>386</v>
      </c>
      <c r="E179" s="10" t="s">
        <v>84</v>
      </c>
      <c r="F179" s="9" t="s">
        <v>303</v>
      </c>
      <c r="G179" s="9" t="s">
        <v>17</v>
      </c>
      <c r="H179" s="9" t="s">
        <v>18</v>
      </c>
      <c r="I179" s="9" t="s">
        <v>19</v>
      </c>
      <c r="J179" s="9" t="s">
        <v>20</v>
      </c>
      <c r="K179" s="9" t="s">
        <v>21</v>
      </c>
    </row>
    <row r="180" spans="1:11">
      <c r="A180" s="9">
        <v>175</v>
      </c>
      <c r="B180" s="9" t="s">
        <v>387</v>
      </c>
      <c r="C180" s="9">
        <v>7000000172</v>
      </c>
      <c r="D180" s="10" t="s">
        <v>528</v>
      </c>
      <c r="E180" s="10" t="s">
        <v>84</v>
      </c>
      <c r="F180" s="9" t="s">
        <v>303</v>
      </c>
      <c r="G180" s="9" t="s">
        <v>17</v>
      </c>
      <c r="H180" s="9" t="s">
        <v>18</v>
      </c>
      <c r="I180" s="9" t="s">
        <v>19</v>
      </c>
      <c r="J180" s="9" t="s">
        <v>20</v>
      </c>
      <c r="K180" s="9" t="s">
        <v>21</v>
      </c>
    </row>
    <row r="181" spans="1:11">
      <c r="A181" s="9">
        <v>176</v>
      </c>
      <c r="B181" s="9" t="s">
        <v>447</v>
      </c>
      <c r="C181" s="9">
        <v>7000000202</v>
      </c>
      <c r="D181" s="10" t="s">
        <v>448</v>
      </c>
      <c r="E181" s="10" t="s">
        <v>84</v>
      </c>
      <c r="F181" s="9" t="s">
        <v>28</v>
      </c>
      <c r="G181" s="9" t="s">
        <v>17</v>
      </c>
      <c r="H181" s="9" t="s">
        <v>18</v>
      </c>
      <c r="I181" s="9" t="s">
        <v>29</v>
      </c>
      <c r="J181" s="9" t="s">
        <v>20</v>
      </c>
      <c r="K181" s="9" t="s">
        <v>21</v>
      </c>
    </row>
    <row r="182" spans="1:11">
      <c r="A182" s="9">
        <v>177</v>
      </c>
      <c r="B182" s="9" t="s">
        <v>211</v>
      </c>
      <c r="C182" s="9">
        <v>7000000089</v>
      </c>
      <c r="D182" s="10" t="s">
        <v>212</v>
      </c>
      <c r="E182" s="10" t="s">
        <v>84</v>
      </c>
      <c r="F182" s="9" t="s">
        <v>28</v>
      </c>
      <c r="G182" s="9" t="s">
        <v>17</v>
      </c>
      <c r="H182" s="9" t="s">
        <v>18</v>
      </c>
      <c r="I182" s="9" t="s">
        <v>29</v>
      </c>
      <c r="J182" s="9" t="s">
        <v>20</v>
      </c>
      <c r="K182" s="9" t="s">
        <v>21</v>
      </c>
    </row>
    <row r="183" spans="1:11">
      <c r="A183" s="9">
        <v>178</v>
      </c>
      <c r="B183" s="9" t="s">
        <v>213</v>
      </c>
      <c r="C183" s="9">
        <v>7000000090</v>
      </c>
      <c r="D183" s="10" t="s">
        <v>214</v>
      </c>
      <c r="E183" s="10" t="s">
        <v>84</v>
      </c>
      <c r="F183" s="9" t="s">
        <v>28</v>
      </c>
      <c r="G183" s="9" t="s">
        <v>17</v>
      </c>
      <c r="H183" s="9" t="s">
        <v>18</v>
      </c>
      <c r="I183" s="9" t="s">
        <v>29</v>
      </c>
      <c r="J183" s="9" t="s">
        <v>20</v>
      </c>
      <c r="K183" s="9" t="s">
        <v>21</v>
      </c>
    </row>
    <row r="184" spans="1:11">
      <c r="A184" s="9">
        <v>179</v>
      </c>
      <c r="B184" s="9" t="s">
        <v>453</v>
      </c>
      <c r="C184" s="9">
        <v>7000000205</v>
      </c>
      <c r="D184" s="10" t="s">
        <v>454</v>
      </c>
      <c r="E184" s="10" t="s">
        <v>52</v>
      </c>
      <c r="F184" s="9" t="s">
        <v>28</v>
      </c>
      <c r="G184" s="9" t="s">
        <v>17</v>
      </c>
      <c r="H184" s="9" t="s">
        <v>18</v>
      </c>
      <c r="I184" s="9" t="s">
        <v>29</v>
      </c>
      <c r="J184" s="9" t="s">
        <v>20</v>
      </c>
      <c r="K184" s="9" t="s">
        <v>21</v>
      </c>
    </row>
    <row r="185" spans="1:11">
      <c r="A185" s="9">
        <v>180</v>
      </c>
      <c r="B185" s="9" t="s">
        <v>455</v>
      </c>
      <c r="C185" s="9">
        <v>7000000206</v>
      </c>
      <c r="D185" s="10" t="s">
        <v>456</v>
      </c>
      <c r="E185" s="10" t="s">
        <v>52</v>
      </c>
      <c r="F185" s="9" t="s">
        <v>28</v>
      </c>
      <c r="G185" s="9" t="s">
        <v>17</v>
      </c>
      <c r="H185" s="9" t="s">
        <v>18</v>
      </c>
      <c r="I185" s="9" t="s">
        <v>29</v>
      </c>
      <c r="J185" s="9" t="s">
        <v>20</v>
      </c>
      <c r="K185" s="9" t="s">
        <v>21</v>
      </c>
    </row>
    <row r="186" spans="1:11">
      <c r="A186" s="9">
        <v>181</v>
      </c>
      <c r="B186" s="9" t="s">
        <v>457</v>
      </c>
      <c r="C186" s="9">
        <v>7000000207</v>
      </c>
      <c r="D186" s="10" t="s">
        <v>458</v>
      </c>
      <c r="E186" s="10" t="s">
        <v>52</v>
      </c>
      <c r="F186" s="9" t="s">
        <v>28</v>
      </c>
      <c r="G186" s="9" t="s">
        <v>17</v>
      </c>
      <c r="H186" s="9" t="s">
        <v>18</v>
      </c>
      <c r="I186" s="9" t="s">
        <v>29</v>
      </c>
      <c r="J186" s="9" t="s">
        <v>20</v>
      </c>
      <c r="K186" s="9" t="s">
        <v>21</v>
      </c>
    </row>
    <row r="187" spans="1:11">
      <c r="A187" s="9">
        <v>182</v>
      </c>
      <c r="B187" s="9" t="s">
        <v>529</v>
      </c>
      <c r="C187" s="9">
        <v>7000000232</v>
      </c>
      <c r="D187" s="10" t="s">
        <v>530</v>
      </c>
      <c r="E187" s="10" t="s">
        <v>35</v>
      </c>
      <c r="F187" s="9" t="s">
        <v>36</v>
      </c>
      <c r="G187" s="9" t="s">
        <v>17</v>
      </c>
      <c r="H187" s="9" t="s">
        <v>18</v>
      </c>
      <c r="I187" s="9" t="s">
        <v>239</v>
      </c>
      <c r="J187" s="9" t="s">
        <v>53</v>
      </c>
      <c r="K187" s="9" t="s">
        <v>21</v>
      </c>
    </row>
    <row r="188" spans="1:11">
      <c r="A188" s="9">
        <v>183</v>
      </c>
      <c r="B188" s="9" t="s">
        <v>531</v>
      </c>
      <c r="C188" s="9">
        <v>7000000233</v>
      </c>
      <c r="D188" s="10" t="s">
        <v>532</v>
      </c>
      <c r="E188" s="10" t="s">
        <v>43</v>
      </c>
      <c r="F188" s="9" t="s">
        <v>303</v>
      </c>
      <c r="G188" s="9" t="s">
        <v>17</v>
      </c>
      <c r="H188" s="9" t="s">
        <v>18</v>
      </c>
      <c r="I188" s="9" t="s">
        <v>236</v>
      </c>
      <c r="J188" s="9" t="s">
        <v>53</v>
      </c>
      <c r="K188" s="9" t="s">
        <v>21</v>
      </c>
    </row>
    <row r="189" spans="1:11">
      <c r="A189" s="9">
        <v>184</v>
      </c>
      <c r="B189" s="9" t="s">
        <v>215</v>
      </c>
      <c r="C189" s="9">
        <v>7000000091</v>
      </c>
      <c r="D189" s="10" t="s">
        <v>216</v>
      </c>
      <c r="E189" s="10" t="s">
        <v>35</v>
      </c>
      <c r="F189" s="9" t="s">
        <v>36</v>
      </c>
      <c r="G189" s="9" t="s">
        <v>17</v>
      </c>
      <c r="H189" s="9" t="s">
        <v>18</v>
      </c>
      <c r="I189" s="9" t="s">
        <v>37</v>
      </c>
      <c r="J189" s="9" t="s">
        <v>20</v>
      </c>
      <c r="K189" s="9" t="s">
        <v>21</v>
      </c>
    </row>
    <row r="190" spans="1:11">
      <c r="A190" s="9">
        <v>185</v>
      </c>
      <c r="B190" s="9" t="s">
        <v>217</v>
      </c>
      <c r="C190" s="9">
        <v>7000000092</v>
      </c>
      <c r="D190" s="10" t="s">
        <v>218</v>
      </c>
      <c r="E190" s="10" t="s">
        <v>84</v>
      </c>
      <c r="F190" s="9" t="s">
        <v>36</v>
      </c>
      <c r="G190" s="9" t="s">
        <v>17</v>
      </c>
      <c r="H190" s="9" t="s">
        <v>18</v>
      </c>
      <c r="I190" s="9" t="s">
        <v>37</v>
      </c>
      <c r="J190" s="9" t="s">
        <v>20</v>
      </c>
      <c r="K190" s="9" t="s">
        <v>21</v>
      </c>
    </row>
    <row r="191" spans="1:11">
      <c r="A191" s="9">
        <v>186</v>
      </c>
      <c r="B191" s="9" t="s">
        <v>219</v>
      </c>
      <c r="C191" s="9">
        <v>7000000093</v>
      </c>
      <c r="D191" s="10" t="s">
        <v>220</v>
      </c>
      <c r="E191" s="10" t="s">
        <v>43</v>
      </c>
      <c r="F191" s="9" t="s">
        <v>36</v>
      </c>
      <c r="G191" s="9" t="s">
        <v>17</v>
      </c>
      <c r="H191" s="9" t="s">
        <v>18</v>
      </c>
      <c r="I191" s="9" t="s">
        <v>37</v>
      </c>
      <c r="J191" s="9" t="s">
        <v>53</v>
      </c>
      <c r="K191" s="9" t="s">
        <v>21</v>
      </c>
    </row>
    <row r="192" spans="1:11">
      <c r="A192" s="9">
        <v>187</v>
      </c>
      <c r="B192" s="9" t="s">
        <v>221</v>
      </c>
      <c r="C192" s="9">
        <v>7000000094</v>
      </c>
      <c r="D192" s="10" t="s">
        <v>222</v>
      </c>
      <c r="E192" s="10" t="s">
        <v>43</v>
      </c>
      <c r="F192" s="9" t="s">
        <v>36</v>
      </c>
      <c r="G192" s="9" t="s">
        <v>17</v>
      </c>
      <c r="H192" s="9" t="s">
        <v>18</v>
      </c>
      <c r="I192" s="9" t="s">
        <v>37</v>
      </c>
      <c r="J192" s="9" t="s">
        <v>53</v>
      </c>
      <c r="K192" s="9" t="s">
        <v>21</v>
      </c>
    </row>
    <row r="193" spans="1:11">
      <c r="A193" s="9">
        <v>188</v>
      </c>
      <c r="B193" s="9" t="s">
        <v>223</v>
      </c>
      <c r="C193" s="9">
        <v>7000000095</v>
      </c>
      <c r="D193" s="10" t="s">
        <v>224</v>
      </c>
      <c r="E193" s="10" t="s">
        <v>32</v>
      </c>
      <c r="F193" s="9" t="s">
        <v>36</v>
      </c>
      <c r="G193" s="9" t="s">
        <v>17</v>
      </c>
      <c r="H193" s="9" t="s">
        <v>18</v>
      </c>
      <c r="I193" s="9" t="s">
        <v>37</v>
      </c>
      <c r="J193" s="9" t="s">
        <v>53</v>
      </c>
      <c r="K193" s="9" t="s">
        <v>21</v>
      </c>
    </row>
    <row r="194" spans="1:11">
      <c r="A194" s="9">
        <v>189</v>
      </c>
      <c r="B194" s="9" t="s">
        <v>264</v>
      </c>
      <c r="C194" s="9">
        <v>7000000113</v>
      </c>
      <c r="D194" s="10" t="s">
        <v>265</v>
      </c>
      <c r="E194" s="10" t="s">
        <v>35</v>
      </c>
      <c r="F194" s="9" t="s">
        <v>36</v>
      </c>
      <c r="G194" s="9" t="s">
        <v>17</v>
      </c>
      <c r="H194" s="9" t="s">
        <v>18</v>
      </c>
      <c r="I194" s="9" t="s">
        <v>37</v>
      </c>
      <c r="J194" s="9" t="s">
        <v>20</v>
      </c>
      <c r="K194" s="9" t="s">
        <v>21</v>
      </c>
    </row>
    <row r="195" spans="1:11">
      <c r="A195" s="9">
        <v>190</v>
      </c>
      <c r="B195" s="9" t="s">
        <v>266</v>
      </c>
      <c r="C195" s="9">
        <v>7000000114</v>
      </c>
      <c r="D195" s="10" t="s">
        <v>267</v>
      </c>
      <c r="E195" s="10" t="s">
        <v>27</v>
      </c>
      <c r="F195" s="9" t="s">
        <v>268</v>
      </c>
      <c r="G195" s="9" t="s">
        <v>17</v>
      </c>
      <c r="H195" s="9" t="s">
        <v>18</v>
      </c>
      <c r="I195" s="9" t="s">
        <v>236</v>
      </c>
      <c r="J195" s="9" t="s">
        <v>20</v>
      </c>
      <c r="K195" s="9" t="s">
        <v>21</v>
      </c>
    </row>
    <row r="196" spans="1:11">
      <c r="A196" s="9">
        <v>191</v>
      </c>
      <c r="B196" s="9" t="s">
        <v>269</v>
      </c>
      <c r="C196" s="9">
        <v>7000000115</v>
      </c>
      <c r="D196" s="10" t="s">
        <v>270</v>
      </c>
      <c r="E196" s="10" t="s">
        <v>84</v>
      </c>
      <c r="F196" s="9" t="s">
        <v>28</v>
      </c>
      <c r="G196" s="9" t="s">
        <v>17</v>
      </c>
      <c r="H196" s="9" t="s">
        <v>18</v>
      </c>
      <c r="I196" s="9" t="s">
        <v>239</v>
      </c>
      <c r="J196" s="9" t="s">
        <v>20</v>
      </c>
      <c r="K196" s="9" t="s">
        <v>21</v>
      </c>
    </row>
    <row r="197" spans="1:11">
      <c r="A197" s="9">
        <v>192</v>
      </c>
      <c r="B197" s="9" t="s">
        <v>276</v>
      </c>
      <c r="C197" s="9">
        <v>7000000118</v>
      </c>
      <c r="D197" s="10" t="s">
        <v>277</v>
      </c>
      <c r="E197" s="10" t="s">
        <v>52</v>
      </c>
      <c r="F197" s="9" t="s">
        <v>273</v>
      </c>
      <c r="G197" s="9" t="s">
        <v>17</v>
      </c>
      <c r="H197" s="9" t="s">
        <v>18</v>
      </c>
      <c r="I197" s="9" t="s">
        <v>19</v>
      </c>
      <c r="J197" s="9" t="s">
        <v>20</v>
      </c>
      <c r="K197" s="9" t="s">
        <v>21</v>
      </c>
    </row>
    <row r="198" spans="1:11">
      <c r="A198" s="9">
        <v>193</v>
      </c>
      <c r="B198" s="9" t="s">
        <v>278</v>
      </c>
      <c r="C198" s="9">
        <v>7000000119</v>
      </c>
      <c r="D198" s="10" t="s">
        <v>279</v>
      </c>
      <c r="E198" s="10" t="s">
        <v>43</v>
      </c>
      <c r="F198" s="9" t="s">
        <v>273</v>
      </c>
      <c r="G198" s="9" t="s">
        <v>17</v>
      </c>
      <c r="H198" s="9" t="s">
        <v>18</v>
      </c>
      <c r="I198" s="9" t="s">
        <v>19</v>
      </c>
      <c r="J198" s="9" t="s">
        <v>20</v>
      </c>
      <c r="K198" s="9" t="s">
        <v>21</v>
      </c>
    </row>
    <row r="199" spans="1:11">
      <c r="A199" s="9">
        <v>194</v>
      </c>
      <c r="B199" s="9" t="s">
        <v>280</v>
      </c>
      <c r="C199" s="9">
        <v>7000000120</v>
      </c>
      <c r="D199" s="10" t="s">
        <v>281</v>
      </c>
      <c r="E199" s="10" t="s">
        <v>84</v>
      </c>
      <c r="F199" s="9" t="s">
        <v>273</v>
      </c>
      <c r="G199" s="9" t="s">
        <v>17</v>
      </c>
      <c r="H199" s="9" t="s">
        <v>18</v>
      </c>
      <c r="I199" s="9" t="s">
        <v>19</v>
      </c>
      <c r="J199" s="9" t="s">
        <v>20</v>
      </c>
      <c r="K199" s="9" t="s">
        <v>21</v>
      </c>
    </row>
    <row r="200" spans="1:11">
      <c r="A200" s="9">
        <v>195</v>
      </c>
      <c r="B200" s="9" t="s">
        <v>282</v>
      </c>
      <c r="C200" s="9">
        <v>7000000121</v>
      </c>
      <c r="D200" s="10" t="s">
        <v>283</v>
      </c>
      <c r="E200" s="10" t="s">
        <v>52</v>
      </c>
      <c r="F200" s="9" t="s">
        <v>273</v>
      </c>
      <c r="G200" s="9" t="s">
        <v>17</v>
      </c>
      <c r="H200" s="9" t="s">
        <v>18</v>
      </c>
      <c r="I200" s="9" t="s">
        <v>19</v>
      </c>
      <c r="J200" s="9" t="s">
        <v>53</v>
      </c>
      <c r="K200" s="9" t="s">
        <v>21</v>
      </c>
    </row>
    <row r="201" spans="1:11">
      <c r="A201" s="9">
        <v>196</v>
      </c>
      <c r="B201" s="9" t="s">
        <v>284</v>
      </c>
      <c r="C201" s="9">
        <v>7000000122</v>
      </c>
      <c r="D201" s="10" t="s">
        <v>285</v>
      </c>
      <c r="E201" s="10" t="s">
        <v>43</v>
      </c>
      <c r="F201" s="9" t="s">
        <v>273</v>
      </c>
      <c r="G201" s="9" t="s">
        <v>17</v>
      </c>
      <c r="H201" s="9" t="s">
        <v>18</v>
      </c>
      <c r="I201" s="9" t="s">
        <v>19</v>
      </c>
      <c r="J201" s="9" t="s">
        <v>53</v>
      </c>
      <c r="K201" s="9" t="s">
        <v>21</v>
      </c>
    </row>
    <row r="202" spans="1:11" customFormat="1" ht="28.8" customHeight="1">
      <c r="A202" s="9">
        <v>197</v>
      </c>
      <c r="B202" s="9" t="s">
        <v>286</v>
      </c>
      <c r="C202" s="9">
        <v>7000000123</v>
      </c>
      <c r="D202" s="10" t="s">
        <v>287</v>
      </c>
      <c r="E202" s="10" t="s">
        <v>52</v>
      </c>
      <c r="F202" s="9" t="s">
        <v>273</v>
      </c>
      <c r="G202" s="9" t="s">
        <v>17</v>
      </c>
      <c r="H202" s="9" t="s">
        <v>18</v>
      </c>
      <c r="I202" s="9" t="s">
        <v>19</v>
      </c>
      <c r="J202" s="9" t="s">
        <v>20</v>
      </c>
      <c r="K202" s="9" t="s">
        <v>21</v>
      </c>
    </row>
    <row r="203" spans="1:11" customFormat="1" ht="28.8" customHeight="1">
      <c r="A203" s="9">
        <v>198</v>
      </c>
      <c r="B203" s="9" t="s">
        <v>288</v>
      </c>
      <c r="C203" s="9">
        <v>7000000124</v>
      </c>
      <c r="D203" s="10" t="s">
        <v>289</v>
      </c>
      <c r="E203" s="10" t="s">
        <v>43</v>
      </c>
      <c r="F203" s="9" t="s">
        <v>273</v>
      </c>
      <c r="G203" s="9" t="s">
        <v>17</v>
      </c>
      <c r="H203" s="9" t="s">
        <v>18</v>
      </c>
      <c r="I203" s="9" t="s">
        <v>19</v>
      </c>
      <c r="J203" s="9" t="s">
        <v>20</v>
      </c>
      <c r="K203" s="9" t="s">
        <v>21</v>
      </c>
    </row>
    <row r="204" spans="1:11">
      <c r="A204" s="9">
        <v>199</v>
      </c>
      <c r="B204" s="9" t="s">
        <v>290</v>
      </c>
      <c r="C204" s="9">
        <v>7000000125</v>
      </c>
      <c r="D204" s="10" t="s">
        <v>291</v>
      </c>
      <c r="E204" s="10" t="s">
        <v>43</v>
      </c>
      <c r="F204" s="9" t="s">
        <v>273</v>
      </c>
      <c r="G204" s="9" t="s">
        <v>17</v>
      </c>
      <c r="H204" s="9" t="s">
        <v>18</v>
      </c>
      <c r="I204" s="9" t="s">
        <v>19</v>
      </c>
      <c r="J204" s="9" t="s">
        <v>20</v>
      </c>
      <c r="K204" s="9" t="s">
        <v>21</v>
      </c>
    </row>
    <row r="205" spans="1:11">
      <c r="A205" s="9">
        <v>200</v>
      </c>
      <c r="B205" s="9" t="s">
        <v>533</v>
      </c>
      <c r="C205" s="9">
        <v>7000000234</v>
      </c>
      <c r="D205" s="10" t="s">
        <v>534</v>
      </c>
      <c r="E205" s="10" t="s">
        <v>84</v>
      </c>
      <c r="F205" s="9" t="s">
        <v>273</v>
      </c>
      <c r="G205" s="9" t="s">
        <v>17</v>
      </c>
      <c r="H205" s="9" t="s">
        <v>18</v>
      </c>
      <c r="I205" s="9" t="s">
        <v>19</v>
      </c>
      <c r="J205" s="9" t="s">
        <v>53</v>
      </c>
      <c r="K205" s="9" t="s">
        <v>21</v>
      </c>
    </row>
    <row r="206" spans="1:11">
      <c r="A206" s="9">
        <v>201</v>
      </c>
      <c r="B206" s="9" t="s">
        <v>294</v>
      </c>
      <c r="C206" s="9">
        <v>7000000127</v>
      </c>
      <c r="D206" s="10" t="s">
        <v>295</v>
      </c>
      <c r="E206" s="10" t="s">
        <v>84</v>
      </c>
      <c r="F206" s="9" t="s">
        <v>28</v>
      </c>
      <c r="G206" s="9" t="s">
        <v>17</v>
      </c>
      <c r="H206" s="9" t="s">
        <v>18</v>
      </c>
      <c r="I206" s="9" t="s">
        <v>29</v>
      </c>
      <c r="J206" s="9" t="s">
        <v>20</v>
      </c>
      <c r="K206" s="9" t="s">
        <v>21</v>
      </c>
    </row>
    <row r="207" spans="1:11">
      <c r="A207" s="9">
        <v>202</v>
      </c>
      <c r="B207" s="9" t="s">
        <v>296</v>
      </c>
      <c r="C207" s="9">
        <v>7000000128</v>
      </c>
      <c r="D207" s="10" t="s">
        <v>297</v>
      </c>
      <c r="E207" s="10" t="s">
        <v>27</v>
      </c>
      <c r="F207" s="9" t="s">
        <v>298</v>
      </c>
      <c r="G207" s="9" t="s">
        <v>17</v>
      </c>
      <c r="H207" s="9" t="s">
        <v>18</v>
      </c>
      <c r="I207" s="9" t="s">
        <v>37</v>
      </c>
      <c r="J207" s="9" t="s">
        <v>20</v>
      </c>
      <c r="K207" s="9" t="s">
        <v>21</v>
      </c>
    </row>
    <row r="208" spans="1:11">
      <c r="A208" s="9">
        <v>203</v>
      </c>
      <c r="B208" s="9" t="s">
        <v>299</v>
      </c>
      <c r="C208" s="9">
        <v>7000000129</v>
      </c>
      <c r="D208" s="10" t="s">
        <v>300</v>
      </c>
      <c r="E208" s="10" t="s">
        <v>27</v>
      </c>
      <c r="F208" s="9" t="s">
        <v>298</v>
      </c>
      <c r="G208" s="9" t="s">
        <v>17</v>
      </c>
      <c r="H208" s="9" t="s">
        <v>18</v>
      </c>
      <c r="I208" s="9" t="s">
        <v>37</v>
      </c>
      <c r="J208" s="9" t="s">
        <v>53</v>
      </c>
      <c r="K208" s="9" t="s">
        <v>21</v>
      </c>
    </row>
    <row r="209" spans="1:11">
      <c r="A209" s="9">
        <v>204</v>
      </c>
      <c r="B209" s="9" t="s">
        <v>445</v>
      </c>
      <c r="C209" s="9">
        <v>7000000201</v>
      </c>
      <c r="D209" s="10" t="s">
        <v>446</v>
      </c>
      <c r="E209" s="10" t="s">
        <v>84</v>
      </c>
      <c r="F209" s="9" t="s">
        <v>16</v>
      </c>
      <c r="G209" s="9" t="s">
        <v>17</v>
      </c>
      <c r="H209" s="9" t="s">
        <v>18</v>
      </c>
      <c r="I209" s="9" t="s">
        <v>29</v>
      </c>
      <c r="J209" s="9" t="s">
        <v>53</v>
      </c>
      <c r="K209" s="9" t="s">
        <v>21</v>
      </c>
    </row>
    <row r="210" spans="1:11">
      <c r="A210" s="9">
        <v>205</v>
      </c>
      <c r="B210" s="9" t="s">
        <v>535</v>
      </c>
      <c r="C210" s="9">
        <v>7000000235</v>
      </c>
      <c r="D210" s="10" t="s">
        <v>536</v>
      </c>
      <c r="E210" s="10" t="s">
        <v>27</v>
      </c>
      <c r="F210" s="9" t="s">
        <v>298</v>
      </c>
      <c r="G210" s="9" t="s">
        <v>17</v>
      </c>
      <c r="H210" s="9" t="s">
        <v>18</v>
      </c>
      <c r="I210" s="9" t="s">
        <v>37</v>
      </c>
      <c r="J210" s="9" t="s">
        <v>20</v>
      </c>
      <c r="K210" s="9" t="s">
        <v>21</v>
      </c>
    </row>
    <row r="211" spans="1:11">
      <c r="A211" s="9">
        <v>206</v>
      </c>
      <c r="B211" s="9" t="s">
        <v>231</v>
      </c>
      <c r="C211" s="9">
        <v>7000000098</v>
      </c>
      <c r="D211" s="10" t="s">
        <v>232</v>
      </c>
      <c r="E211" s="10" t="s">
        <v>27</v>
      </c>
      <c r="F211" s="9" t="s">
        <v>227</v>
      </c>
      <c r="G211" s="9" t="s">
        <v>17</v>
      </c>
      <c r="H211" s="9" t="s">
        <v>18</v>
      </c>
      <c r="I211" s="9" t="s">
        <v>228</v>
      </c>
      <c r="J211" s="9" t="s">
        <v>20</v>
      </c>
      <c r="K211" s="9" t="s">
        <v>21</v>
      </c>
    </row>
    <row r="212" spans="1:11">
      <c r="A212" s="9">
        <v>207</v>
      </c>
      <c r="B212" s="9" t="s">
        <v>537</v>
      </c>
      <c r="C212" s="9">
        <v>7000000236</v>
      </c>
      <c r="D212" s="10" t="s">
        <v>538</v>
      </c>
      <c r="E212" s="10" t="s">
        <v>235</v>
      </c>
      <c r="F212" s="9" t="s">
        <v>227</v>
      </c>
      <c r="G212" s="9" t="s">
        <v>17</v>
      </c>
      <c r="H212" s="9" t="s">
        <v>18</v>
      </c>
      <c r="I212" s="9" t="s">
        <v>228</v>
      </c>
      <c r="J212" s="9" t="s">
        <v>20</v>
      </c>
      <c r="K212" s="9" t="s">
        <v>21</v>
      </c>
    </row>
    <row r="213" spans="1:11">
      <c r="A213" s="9">
        <v>208</v>
      </c>
      <c r="B213" s="9" t="s">
        <v>225</v>
      </c>
      <c r="C213" s="9">
        <v>7000000096</v>
      </c>
      <c r="D213" s="10" t="s">
        <v>226</v>
      </c>
      <c r="E213" s="10" t="s">
        <v>84</v>
      </c>
      <c r="F213" s="9" t="s">
        <v>227</v>
      </c>
      <c r="G213" s="9" t="s">
        <v>17</v>
      </c>
      <c r="H213" s="9" t="s">
        <v>18</v>
      </c>
      <c r="I213" s="9" t="s">
        <v>239</v>
      </c>
      <c r="J213" s="9" t="s">
        <v>20</v>
      </c>
      <c r="K213" s="9" t="s">
        <v>21</v>
      </c>
    </row>
    <row r="214" spans="1:11">
      <c r="A214" s="9">
        <v>209</v>
      </c>
      <c r="B214" s="9" t="s">
        <v>240</v>
      </c>
      <c r="C214" s="9">
        <v>7000000101</v>
      </c>
      <c r="D214" s="10" t="s">
        <v>241</v>
      </c>
      <c r="E214" s="10" t="s">
        <v>52</v>
      </c>
      <c r="F214" s="9" t="s">
        <v>227</v>
      </c>
      <c r="G214" s="9" t="s">
        <v>17</v>
      </c>
      <c r="H214" s="9" t="s">
        <v>18</v>
      </c>
      <c r="I214" s="9" t="s">
        <v>239</v>
      </c>
      <c r="J214" s="9" t="s">
        <v>20</v>
      </c>
      <c r="K214" s="9" t="s">
        <v>21</v>
      </c>
    </row>
    <row r="215" spans="1:11">
      <c r="A215" s="9">
        <v>210</v>
      </c>
      <c r="B215" s="9" t="s">
        <v>242</v>
      </c>
      <c r="C215" s="9">
        <v>7000000102</v>
      </c>
      <c r="D215" s="10" t="s">
        <v>243</v>
      </c>
      <c r="E215" s="10" t="s">
        <v>52</v>
      </c>
      <c r="F215" s="9" t="s">
        <v>227</v>
      </c>
      <c r="G215" s="9" t="s">
        <v>17</v>
      </c>
      <c r="H215" s="9" t="s">
        <v>18</v>
      </c>
      <c r="I215" s="9" t="s">
        <v>19</v>
      </c>
      <c r="J215" s="9" t="s">
        <v>53</v>
      </c>
      <c r="K215" s="9" t="s">
        <v>21</v>
      </c>
    </row>
    <row r="216" spans="1:11">
      <c r="A216" s="9">
        <v>211</v>
      </c>
      <c r="B216" s="9" t="s">
        <v>244</v>
      </c>
      <c r="C216" s="9">
        <v>7000000103</v>
      </c>
      <c r="D216" s="10" t="s">
        <v>245</v>
      </c>
      <c r="E216" s="10" t="s">
        <v>52</v>
      </c>
      <c r="F216" s="9" t="s">
        <v>227</v>
      </c>
      <c r="G216" s="9" t="s">
        <v>17</v>
      </c>
      <c r="H216" s="9" t="s">
        <v>18</v>
      </c>
      <c r="I216" s="9" t="s">
        <v>19</v>
      </c>
      <c r="J216" s="9" t="s">
        <v>20</v>
      </c>
      <c r="K216" s="9" t="s">
        <v>21</v>
      </c>
    </row>
    <row r="217" spans="1:11">
      <c r="A217" s="9">
        <v>212</v>
      </c>
      <c r="B217" s="9" t="s">
        <v>248</v>
      </c>
      <c r="C217" s="9">
        <v>7000000105</v>
      </c>
      <c r="D217" s="10" t="s">
        <v>249</v>
      </c>
      <c r="E217" s="10" t="s">
        <v>84</v>
      </c>
      <c r="F217" s="9" t="s">
        <v>227</v>
      </c>
      <c r="G217" s="9" t="s">
        <v>17</v>
      </c>
      <c r="H217" s="9" t="s">
        <v>18</v>
      </c>
      <c r="I217" s="9" t="s">
        <v>29</v>
      </c>
      <c r="J217" s="9" t="s">
        <v>20</v>
      </c>
      <c r="K217" s="9" t="s">
        <v>21</v>
      </c>
    </row>
    <row r="218" spans="1:11">
      <c r="A218" s="9">
        <v>213</v>
      </c>
      <c r="B218" s="9" t="s">
        <v>539</v>
      </c>
      <c r="C218" s="9">
        <v>7000000106</v>
      </c>
      <c r="D218" s="10" t="s">
        <v>251</v>
      </c>
      <c r="E218" s="10" t="s">
        <v>84</v>
      </c>
      <c r="F218" s="9" t="s">
        <v>227</v>
      </c>
      <c r="G218" s="9" t="s">
        <v>17</v>
      </c>
      <c r="H218" s="9" t="s">
        <v>18</v>
      </c>
      <c r="I218" s="9" t="s">
        <v>29</v>
      </c>
      <c r="J218" s="9" t="s">
        <v>20</v>
      </c>
      <c r="K218" s="9" t="s">
        <v>21</v>
      </c>
    </row>
    <row r="219" spans="1:11">
      <c r="A219" s="9">
        <v>214</v>
      </c>
      <c r="B219" s="9" t="s">
        <v>252</v>
      </c>
      <c r="C219" s="9">
        <v>7000000107</v>
      </c>
      <c r="D219" s="10" t="s">
        <v>253</v>
      </c>
      <c r="E219" s="10" t="s">
        <v>84</v>
      </c>
      <c r="F219" s="9" t="s">
        <v>227</v>
      </c>
      <c r="G219" s="9" t="s">
        <v>17</v>
      </c>
      <c r="H219" s="9" t="s">
        <v>18</v>
      </c>
      <c r="I219" s="9" t="s">
        <v>29</v>
      </c>
      <c r="J219" s="9" t="s">
        <v>20</v>
      </c>
      <c r="K219" s="9" t="s">
        <v>21</v>
      </c>
    </row>
    <row r="220" spans="1:11">
      <c r="A220" s="9">
        <v>215</v>
      </c>
      <c r="B220" s="9" t="s">
        <v>254</v>
      </c>
      <c r="C220" s="9">
        <v>7000000108</v>
      </c>
      <c r="D220" s="10" t="s">
        <v>255</v>
      </c>
      <c r="E220" s="10" t="s">
        <v>84</v>
      </c>
      <c r="F220" s="9" t="s">
        <v>227</v>
      </c>
      <c r="G220" s="9" t="s">
        <v>17</v>
      </c>
      <c r="H220" s="9" t="s">
        <v>18</v>
      </c>
      <c r="I220" s="9" t="s">
        <v>29</v>
      </c>
      <c r="J220" s="9" t="s">
        <v>53</v>
      </c>
      <c r="K220" s="9" t="s">
        <v>21</v>
      </c>
    </row>
    <row r="221" spans="1:11">
      <c r="A221" s="9">
        <v>216</v>
      </c>
      <c r="B221" s="9" t="s">
        <v>256</v>
      </c>
      <c r="C221" s="9">
        <v>7000000109</v>
      </c>
      <c r="D221" s="10" t="s">
        <v>257</v>
      </c>
      <c r="E221" s="10" t="s">
        <v>84</v>
      </c>
      <c r="F221" s="9" t="s">
        <v>227</v>
      </c>
      <c r="G221" s="9" t="s">
        <v>17</v>
      </c>
      <c r="H221" s="9" t="s">
        <v>18</v>
      </c>
      <c r="I221" s="9" t="s">
        <v>29</v>
      </c>
      <c r="J221" s="9" t="s">
        <v>53</v>
      </c>
      <c r="K221" s="9" t="s">
        <v>21</v>
      </c>
    </row>
    <row r="222" spans="1:11">
      <c r="A222" s="9">
        <v>217</v>
      </c>
      <c r="B222" s="9" t="s">
        <v>229</v>
      </c>
      <c r="C222" s="9">
        <v>7000000097</v>
      </c>
      <c r="D222" s="10" t="s">
        <v>230</v>
      </c>
      <c r="E222" s="10" t="s">
        <v>84</v>
      </c>
      <c r="F222" s="9" t="s">
        <v>227</v>
      </c>
      <c r="G222" s="9" t="s">
        <v>17</v>
      </c>
      <c r="H222" s="9" t="s">
        <v>18</v>
      </c>
      <c r="I222" s="9" t="s">
        <v>239</v>
      </c>
      <c r="J222" s="9" t="s">
        <v>20</v>
      </c>
      <c r="K222" s="9" t="s">
        <v>21</v>
      </c>
    </row>
    <row r="223" spans="1:11">
      <c r="A223" s="11">
        <v>218</v>
      </c>
      <c r="B223" s="11" t="s">
        <v>258</v>
      </c>
      <c r="C223" s="11">
        <v>7000000110</v>
      </c>
      <c r="D223" s="11" t="s">
        <v>259</v>
      </c>
      <c r="E223" s="11" t="s">
        <v>84</v>
      </c>
      <c r="F223" s="11" t="s">
        <v>227</v>
      </c>
      <c r="G223" s="11" t="s">
        <v>17</v>
      </c>
      <c r="H223" s="11" t="s">
        <v>18</v>
      </c>
      <c r="I223" s="11" t="s">
        <v>239</v>
      </c>
      <c r="J223" s="11" t="s">
        <v>53</v>
      </c>
      <c r="K223" s="11" t="s">
        <v>21</v>
      </c>
    </row>
    <row r="224" spans="1:11">
      <c r="A224" s="11">
        <v>219</v>
      </c>
      <c r="B224" s="11" t="s">
        <v>260</v>
      </c>
      <c r="C224" s="11">
        <v>7000000111</v>
      </c>
      <c r="D224" s="11" t="s">
        <v>261</v>
      </c>
      <c r="E224" s="11" t="s">
        <v>84</v>
      </c>
      <c r="F224" s="11" t="s">
        <v>227</v>
      </c>
      <c r="G224" s="11" t="s">
        <v>17</v>
      </c>
      <c r="H224" s="11" t="s">
        <v>18</v>
      </c>
      <c r="I224" s="11" t="s">
        <v>239</v>
      </c>
      <c r="J224" s="11" t="s">
        <v>20</v>
      </c>
      <c r="K224" s="11" t="s">
        <v>21</v>
      </c>
    </row>
    <row r="225" spans="1:11">
      <c r="A225" s="11">
        <v>220</v>
      </c>
      <c r="B225" s="11" t="s">
        <v>262</v>
      </c>
      <c r="C225" s="11">
        <v>7000000112</v>
      </c>
      <c r="D225" s="11" t="s">
        <v>263</v>
      </c>
      <c r="E225" s="11" t="s">
        <v>52</v>
      </c>
      <c r="F225" s="11" t="s">
        <v>227</v>
      </c>
      <c r="G225" s="11" t="s">
        <v>17</v>
      </c>
      <c r="H225" s="11" t="s">
        <v>18</v>
      </c>
      <c r="I225" s="11" t="s">
        <v>239</v>
      </c>
      <c r="J225" s="11" t="s">
        <v>20</v>
      </c>
      <c r="K225" s="11" t="s">
        <v>21</v>
      </c>
    </row>
    <row r="226" spans="1:11">
      <c r="A226" s="11">
        <v>221</v>
      </c>
      <c r="B226" s="11" t="s">
        <v>540</v>
      </c>
      <c r="C226" s="11">
        <v>7000000237</v>
      </c>
      <c r="D226" s="11" t="s">
        <v>541</v>
      </c>
      <c r="E226" s="11" t="s">
        <v>52</v>
      </c>
      <c r="F226" s="11" t="s">
        <v>227</v>
      </c>
      <c r="G226" s="11" t="s">
        <v>17</v>
      </c>
      <c r="H226" s="11" t="s">
        <v>18</v>
      </c>
      <c r="I226" s="11" t="s">
        <v>239</v>
      </c>
      <c r="J226" s="11" t="s">
        <v>53</v>
      </c>
      <c r="K226" s="11" t="s">
        <v>21</v>
      </c>
    </row>
  </sheetData>
  <mergeCells count="2">
    <mergeCell ref="A1:K2"/>
    <mergeCell ref="A3:K3"/>
  </mergeCells>
  <conditionalFormatting sqref="A2:K222">
    <cfRule type="expression" dxfId="15" priority="1">
      <formula>MOD(ROW(),2)=0</formula>
    </cfRule>
    <cfRule type="expression" dxfId="14" priority="2">
      <formula>MOD(ROW(),2)=1</formula>
    </cfRule>
    <cfRule type="expression" dxfId="13" priority="3">
      <formula>MOD(ROW(),2)=0</formula>
    </cfRule>
  </conditionalFormatting>
  <conditionalFormatting sqref="A6:K226">
    <cfRule type="expression" dxfId="12" priority="4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63"/>
  <sheetViews>
    <sheetView showGridLines="0" tabSelected="1" zoomScaleNormal="100" workbookViewId="0">
      <selection activeCell="H66" sqref="H66"/>
    </sheetView>
  </sheetViews>
  <sheetFormatPr defaultRowHeight="13.8"/>
  <cols>
    <col min="1" max="1" width="23" customWidth="1"/>
    <col min="2" max="3" width="14" customWidth="1"/>
    <col min="4" max="4" width="12" customWidth="1"/>
    <col min="5" max="5" width="12" style="1" customWidth="1"/>
    <col min="6" max="6" width="14" style="1" customWidth="1"/>
    <col min="7" max="7" width="3.5" style="39" customWidth="1"/>
    <col min="8" max="8" width="4.5" customWidth="1"/>
    <col min="9" max="9" width="18" style="1" customWidth="1"/>
    <col min="10" max="10" width="14" style="1" customWidth="1"/>
    <col min="11" max="11" width="14.69921875" style="1" customWidth="1"/>
    <col min="12" max="12" width="12" style="1" customWidth="1"/>
    <col min="13" max="13" width="18" style="1" customWidth="1"/>
    <col min="14" max="14" width="16" customWidth="1"/>
    <col min="15" max="15" width="11.69921875" customWidth="1"/>
    <col min="16" max="18" width="2" style="32" customWidth="1"/>
    <col min="19" max="20" width="8.796875" style="32"/>
  </cols>
  <sheetData>
    <row r="1" spans="1:20" ht="25.95" customHeight="1">
      <c r="A1" s="67" t="s">
        <v>542</v>
      </c>
      <c r="B1" s="67"/>
      <c r="C1" s="67"/>
      <c r="D1" s="67"/>
      <c r="E1" s="67"/>
      <c r="F1" s="67"/>
      <c r="G1" s="68"/>
      <c r="H1" s="67"/>
      <c r="I1" s="67"/>
      <c r="J1" s="67"/>
      <c r="K1" s="67"/>
      <c r="L1" s="67"/>
      <c r="M1" s="67"/>
      <c r="N1" s="67"/>
      <c r="O1" s="23"/>
      <c r="P1" s="31" t="s">
        <v>543</v>
      </c>
      <c r="Q1" s="31" t="s">
        <v>544</v>
      </c>
      <c r="R1" s="31" t="s">
        <v>545</v>
      </c>
    </row>
    <row r="2" spans="1:20" ht="25.95" customHeight="1">
      <c r="A2" s="67"/>
      <c r="B2" s="67"/>
      <c r="C2" s="67"/>
      <c r="D2" s="67"/>
      <c r="E2" s="67"/>
      <c r="F2" s="67"/>
      <c r="G2" s="68"/>
      <c r="H2" s="67"/>
      <c r="I2" s="67"/>
      <c r="J2" s="67"/>
      <c r="K2" s="67"/>
      <c r="L2" s="67"/>
      <c r="M2" s="67"/>
      <c r="N2" s="67"/>
      <c r="O2" s="23"/>
      <c r="P2" s="31" t="s">
        <v>546</v>
      </c>
      <c r="Q2" s="31">
        <v>214</v>
      </c>
      <c r="R2" s="31">
        <v>211</v>
      </c>
    </row>
    <row r="3" spans="1:20" ht="19.95" customHeight="1">
      <c r="A3" s="69" t="s">
        <v>547</v>
      </c>
      <c r="B3" s="70"/>
      <c r="C3" s="70"/>
      <c r="D3" s="70"/>
      <c r="E3" s="70"/>
      <c r="F3" s="70"/>
      <c r="G3" s="71"/>
      <c r="H3" s="70"/>
      <c r="I3" s="70"/>
      <c r="J3" s="70"/>
      <c r="K3" s="70"/>
      <c r="L3" s="70"/>
      <c r="M3" s="70"/>
      <c r="N3" s="70"/>
      <c r="O3" s="23"/>
      <c r="P3" s="31" t="s">
        <v>548</v>
      </c>
      <c r="Q3" s="31">
        <v>216</v>
      </c>
      <c r="R3" s="31">
        <v>215</v>
      </c>
    </row>
    <row r="4" spans="1:20" ht="13.2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23"/>
      <c r="P4" s="31" t="s">
        <v>549</v>
      </c>
      <c r="Q4" s="31">
        <v>219</v>
      </c>
      <c r="R4" s="31">
        <v>217</v>
      </c>
    </row>
    <row r="5" spans="1:20" ht="28.05" customHeight="1">
      <c r="A5" s="72">
        <f>COUNTA('Old Friday'!B6:B227)</f>
        <v>222</v>
      </c>
      <c r="B5" s="73"/>
      <c r="C5" s="74"/>
      <c r="D5" s="81">
        <f>COUNTA('Current Friday'!B6:B226)</f>
        <v>221</v>
      </c>
      <c r="E5" s="82"/>
      <c r="F5" s="83"/>
      <c r="G5" s="127"/>
      <c r="H5" s="90">
        <f>COUNTA('Current Friday'!B6:B226)-COUNTA('Old Friday'!B6:B227)</f>
        <v>-1</v>
      </c>
      <c r="I5" s="91"/>
      <c r="J5" s="92"/>
      <c r="K5" s="99">
        <f>COUNTA(A43:A58)</f>
        <v>16</v>
      </c>
      <c r="L5" s="100"/>
      <c r="M5" s="105">
        <f>COUNTA(I43:I59)</f>
        <v>17</v>
      </c>
      <c r="N5" s="106"/>
      <c r="O5" s="23"/>
      <c r="P5" s="31" t="s">
        <v>550</v>
      </c>
      <c r="Q5" s="31">
        <v>221</v>
      </c>
      <c r="R5" s="31">
        <v>220</v>
      </c>
    </row>
    <row r="6" spans="1:20" ht="10.199999999999999" customHeight="1">
      <c r="A6" s="75"/>
      <c r="B6" s="76"/>
      <c r="C6" s="77"/>
      <c r="D6" s="84"/>
      <c r="E6" s="85"/>
      <c r="F6" s="86"/>
      <c r="G6" s="127"/>
      <c r="H6" s="93"/>
      <c r="I6" s="94"/>
      <c r="J6" s="95"/>
      <c r="K6" s="101"/>
      <c r="L6" s="102"/>
      <c r="M6" s="107"/>
      <c r="N6" s="108"/>
      <c r="O6" s="23"/>
      <c r="P6" s="31" t="s">
        <v>551</v>
      </c>
      <c r="Q6" s="31">
        <v>222</v>
      </c>
      <c r="R6" s="31">
        <v>222</v>
      </c>
    </row>
    <row r="7" spans="1:20" ht="28.05" customHeight="1">
      <c r="A7" s="78"/>
      <c r="B7" s="79"/>
      <c r="C7" s="80"/>
      <c r="D7" s="87"/>
      <c r="E7" s="88"/>
      <c r="F7" s="89"/>
      <c r="G7" s="127"/>
      <c r="H7" s="96"/>
      <c r="I7" s="97"/>
      <c r="J7" s="98"/>
      <c r="K7" s="103"/>
      <c r="L7" s="104"/>
      <c r="M7" s="109"/>
      <c r="N7" s="110"/>
      <c r="O7" s="23"/>
      <c r="P7" s="31" t="s">
        <v>552</v>
      </c>
      <c r="Q7" s="31">
        <v>221</v>
      </c>
      <c r="R7" s="31">
        <v>221</v>
      </c>
    </row>
    <row r="8" spans="1:20" ht="18" customHeight="1">
      <c r="A8" s="65" t="s">
        <v>553</v>
      </c>
      <c r="B8" s="66"/>
      <c r="C8" s="66"/>
      <c r="D8" s="65" t="s">
        <v>554</v>
      </c>
      <c r="E8" s="66"/>
      <c r="F8" s="66"/>
      <c r="G8" s="127"/>
      <c r="H8" s="65" t="s">
        <v>555</v>
      </c>
      <c r="I8" s="66"/>
      <c r="J8" s="66"/>
      <c r="K8" s="65" t="s">
        <v>556</v>
      </c>
      <c r="L8" s="66"/>
      <c r="M8" s="66" t="s">
        <v>557</v>
      </c>
      <c r="N8" s="66"/>
      <c r="O8" s="23"/>
    </row>
    <row r="9" spans="1:20" s="130" customFormat="1" ht="18" customHeight="1">
      <c r="A9" s="126"/>
      <c r="B9" s="127"/>
      <c r="C9" s="127"/>
      <c r="D9" s="126"/>
      <c r="E9" s="127"/>
      <c r="F9" s="127"/>
      <c r="G9" s="127"/>
      <c r="H9" s="126"/>
      <c r="I9" s="127"/>
      <c r="J9" s="127"/>
      <c r="K9" s="126"/>
      <c r="L9" s="127"/>
      <c r="M9" s="127"/>
      <c r="N9" s="127"/>
      <c r="O9" s="128"/>
      <c r="P9" s="129"/>
      <c r="Q9" s="129"/>
      <c r="R9" s="129"/>
      <c r="S9" s="129"/>
      <c r="T9" s="129"/>
    </row>
    <row r="10" spans="1:20" s="130" customFormat="1" ht="18" customHeight="1">
      <c r="A10" s="126"/>
      <c r="B10" s="127"/>
      <c r="C10" s="127"/>
      <c r="D10" s="126"/>
      <c r="E10" s="127"/>
      <c r="F10" s="127"/>
      <c r="G10" s="127"/>
      <c r="H10" s="126"/>
      <c r="I10" s="127"/>
      <c r="J10" s="127"/>
      <c r="K10" s="126"/>
      <c r="L10" s="127"/>
      <c r="M10" s="127"/>
      <c r="N10" s="127"/>
      <c r="O10" s="128"/>
      <c r="P10" s="129"/>
      <c r="Q10" s="129"/>
      <c r="R10" s="129"/>
      <c r="S10" s="129"/>
      <c r="T10" s="129"/>
    </row>
    <row r="11" spans="1:20" s="130" customFormat="1" ht="18" customHeight="1">
      <c r="A11" s="126"/>
      <c r="B11" s="127"/>
      <c r="C11" s="127"/>
      <c r="D11" s="126"/>
      <c r="E11" s="127"/>
      <c r="F11" s="127"/>
      <c r="G11" s="127"/>
      <c r="H11" s="126"/>
      <c r="I11" s="127"/>
      <c r="J11" s="127"/>
      <c r="K11" s="126"/>
      <c r="L11" s="127"/>
      <c r="M11" s="127"/>
      <c r="N11" s="127"/>
      <c r="O11" s="128"/>
      <c r="P11" s="129"/>
      <c r="Q11" s="129"/>
      <c r="R11" s="129"/>
      <c r="S11" s="129"/>
      <c r="T11" s="129"/>
    </row>
    <row r="12" spans="1:20" ht="14.4" customHeight="1">
      <c r="A12" s="126"/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"/>
    </row>
    <row r="13" spans="1:20" ht="14.4" customHeight="1">
      <c r="A13" s="123" t="s">
        <v>558</v>
      </c>
      <c r="B13" s="123"/>
      <c r="C13" s="123"/>
      <c r="D13" s="123"/>
      <c r="E13" s="123"/>
      <c r="F13" s="123"/>
      <c r="G13" s="38"/>
      <c r="H13" s="115" t="s">
        <v>559</v>
      </c>
      <c r="I13" s="115"/>
      <c r="J13" s="115"/>
      <c r="K13" s="115"/>
      <c r="L13" s="127"/>
      <c r="M13" s="127"/>
      <c r="N13" s="127"/>
      <c r="O13" s="23"/>
    </row>
    <row r="14" spans="1:20" ht="14.4" customHeight="1">
      <c r="A14" s="135" t="s">
        <v>7</v>
      </c>
      <c r="B14" s="131" t="s">
        <v>560</v>
      </c>
      <c r="C14" s="131" t="s">
        <v>561</v>
      </c>
      <c r="D14" s="136" t="s">
        <v>562</v>
      </c>
      <c r="E14" s="131" t="s">
        <v>563</v>
      </c>
      <c r="F14" s="131" t="s">
        <v>564</v>
      </c>
      <c r="G14" s="38"/>
      <c r="H14" s="124" t="s">
        <v>11</v>
      </c>
      <c r="I14" s="125" t="s">
        <v>560</v>
      </c>
      <c r="J14" s="125" t="s">
        <v>561</v>
      </c>
      <c r="K14" s="125" t="s">
        <v>562</v>
      </c>
      <c r="L14" s="127"/>
      <c r="M14" s="127"/>
      <c r="N14" s="127"/>
      <c r="O14" s="23"/>
    </row>
    <row r="15" spans="1:20" ht="14.4" customHeight="1">
      <c r="A15" s="134" t="s">
        <v>28</v>
      </c>
      <c r="B15" s="133">
        <v>93</v>
      </c>
      <c r="C15" s="133">
        <v>91</v>
      </c>
      <c r="D15" s="132">
        <f>C15-B15</f>
        <v>-2</v>
      </c>
      <c r="E15" s="139">
        <f>IFERROR((C15-B15)/B15,0)</f>
        <v>-2.1505376344086023E-2</v>
      </c>
      <c r="F15" s="137" t="s">
        <v>565</v>
      </c>
      <c r="G15" s="38"/>
      <c r="H15" s="33" t="s">
        <v>20</v>
      </c>
      <c r="I15" s="18">
        <v>135</v>
      </c>
      <c r="J15" s="18">
        <v>136</v>
      </c>
      <c r="K15" s="18">
        <v>1</v>
      </c>
      <c r="L15" s="127"/>
      <c r="M15" s="127"/>
      <c r="N15" s="127"/>
      <c r="O15" s="23"/>
    </row>
    <row r="16" spans="1:20" ht="14.4" customHeight="1">
      <c r="A16" s="134" t="s">
        <v>303</v>
      </c>
      <c r="B16" s="133">
        <v>71</v>
      </c>
      <c r="C16" s="133">
        <v>74</v>
      </c>
      <c r="D16" s="132">
        <f t="shared" ref="D16:D22" si="0">C16-B16</f>
        <v>3</v>
      </c>
      <c r="E16" s="139">
        <f t="shared" ref="E16:E22" si="1">IFERROR((C16-B16)/B16,0)</f>
        <v>4.2253521126760563E-2</v>
      </c>
      <c r="F16" s="138" t="s">
        <v>566</v>
      </c>
      <c r="G16" s="38"/>
      <c r="H16" s="33" t="s">
        <v>53</v>
      </c>
      <c r="I16" s="18">
        <v>87</v>
      </c>
      <c r="J16" s="18">
        <v>85</v>
      </c>
      <c r="K16" s="18">
        <v>-2</v>
      </c>
      <c r="L16" s="127"/>
      <c r="M16" s="127"/>
      <c r="N16" s="127"/>
      <c r="O16" s="23"/>
    </row>
    <row r="17" spans="1:20" ht="14.4" customHeight="1">
      <c r="A17" s="134" t="s">
        <v>36</v>
      </c>
      <c r="B17" s="133">
        <v>24</v>
      </c>
      <c r="C17" s="133">
        <v>25</v>
      </c>
      <c r="D17" s="132">
        <f t="shared" si="0"/>
        <v>1</v>
      </c>
      <c r="E17" s="139">
        <f t="shared" si="1"/>
        <v>4.1666666666666664E-2</v>
      </c>
      <c r="F17" s="138" t="s">
        <v>566</v>
      </c>
      <c r="G17" s="38"/>
      <c r="H17" s="22"/>
      <c r="I17" s="24"/>
      <c r="J17" s="24"/>
      <c r="K17" s="24"/>
      <c r="L17" s="127"/>
      <c r="M17" s="127"/>
      <c r="N17" s="127"/>
      <c r="O17" s="23"/>
    </row>
    <row r="18" spans="1:20" ht="14.4" customHeight="1">
      <c r="A18" s="134" t="s">
        <v>227</v>
      </c>
      <c r="B18" s="133">
        <v>17</v>
      </c>
      <c r="C18" s="133">
        <v>16</v>
      </c>
      <c r="D18" s="132">
        <f t="shared" si="0"/>
        <v>-1</v>
      </c>
      <c r="E18" s="139">
        <f t="shared" si="1"/>
        <v>-5.8823529411764705E-2</v>
      </c>
      <c r="F18" s="137" t="s">
        <v>565</v>
      </c>
      <c r="G18" s="38"/>
      <c r="H18" s="22"/>
      <c r="I18" s="24"/>
      <c r="J18" s="24"/>
      <c r="K18" s="24"/>
      <c r="L18" s="23"/>
      <c r="M18" s="23"/>
      <c r="N18" s="23"/>
      <c r="O18" s="23"/>
    </row>
    <row r="19" spans="1:20" ht="14.4" customHeight="1">
      <c r="A19" s="134" t="s">
        <v>273</v>
      </c>
      <c r="B19" s="133">
        <v>10</v>
      </c>
      <c r="C19" s="133">
        <v>9</v>
      </c>
      <c r="D19" s="132">
        <f t="shared" si="0"/>
        <v>-1</v>
      </c>
      <c r="E19" s="139">
        <f t="shared" si="1"/>
        <v>-0.1</v>
      </c>
      <c r="F19" s="137" t="s">
        <v>565</v>
      </c>
      <c r="G19" s="38"/>
      <c r="H19" s="22"/>
      <c r="I19" s="24"/>
      <c r="J19" s="24"/>
      <c r="K19" s="24"/>
      <c r="L19" s="23"/>
      <c r="M19" s="23"/>
      <c r="N19" s="23"/>
      <c r="O19" s="23"/>
    </row>
    <row r="20" spans="1:20" ht="14.4" customHeight="1">
      <c r="A20" s="134" t="s">
        <v>298</v>
      </c>
      <c r="B20" s="133">
        <v>3</v>
      </c>
      <c r="C20" s="133">
        <v>4</v>
      </c>
      <c r="D20" s="132">
        <f t="shared" si="0"/>
        <v>1</v>
      </c>
      <c r="E20" s="139">
        <f t="shared" si="1"/>
        <v>0.33333333333333331</v>
      </c>
      <c r="F20" s="138" t="s">
        <v>566</v>
      </c>
      <c r="G20" s="38"/>
      <c r="H20" s="22"/>
      <c r="I20" s="24"/>
      <c r="J20" s="24"/>
      <c r="K20" s="24"/>
      <c r="L20" s="23"/>
      <c r="M20" s="23"/>
      <c r="N20" s="23"/>
      <c r="O20" s="23"/>
    </row>
    <row r="21" spans="1:20" ht="14.4" customHeight="1">
      <c r="A21" s="134" t="s">
        <v>268</v>
      </c>
      <c r="B21" s="133">
        <v>2</v>
      </c>
      <c r="C21" s="133">
        <v>1</v>
      </c>
      <c r="D21" s="132">
        <f t="shared" si="0"/>
        <v>-1</v>
      </c>
      <c r="E21" s="139">
        <f t="shared" si="1"/>
        <v>-0.5</v>
      </c>
      <c r="F21" s="137" t="s">
        <v>565</v>
      </c>
      <c r="G21" s="38"/>
      <c r="H21" s="22"/>
      <c r="I21" s="24"/>
      <c r="J21" s="24"/>
      <c r="K21" s="24"/>
      <c r="L21" s="23"/>
      <c r="M21" s="23"/>
      <c r="N21" s="23"/>
      <c r="O21" s="23"/>
    </row>
    <row r="22" spans="1:20" ht="14.4" customHeight="1">
      <c r="A22" s="134" t="s">
        <v>16</v>
      </c>
      <c r="B22" s="133">
        <v>2</v>
      </c>
      <c r="C22" s="133">
        <v>1</v>
      </c>
      <c r="D22" s="132">
        <f t="shared" si="0"/>
        <v>-1</v>
      </c>
      <c r="E22" s="139">
        <f t="shared" si="1"/>
        <v>-0.5</v>
      </c>
      <c r="F22" s="137" t="s">
        <v>565</v>
      </c>
      <c r="G22" s="38"/>
      <c r="H22" s="22"/>
      <c r="I22" s="24"/>
      <c r="J22" s="24"/>
      <c r="K22" s="24"/>
      <c r="L22" s="23"/>
      <c r="M22" s="23"/>
      <c r="N22" s="23"/>
      <c r="O22" s="23"/>
    </row>
    <row r="23" spans="1:20" s="30" customFormat="1" ht="14.4" customHeight="1">
      <c r="A23" s="126"/>
      <c r="B23" s="127"/>
      <c r="C23" s="127"/>
      <c r="D23" s="126"/>
      <c r="E23" s="127"/>
      <c r="F23" s="127"/>
      <c r="G23" s="38"/>
      <c r="H23" s="34"/>
      <c r="I23" s="35"/>
      <c r="J23" s="35"/>
      <c r="K23" s="35"/>
      <c r="L23" s="36"/>
      <c r="M23" s="36"/>
      <c r="N23" s="36"/>
      <c r="O23" s="36"/>
      <c r="P23" s="37"/>
      <c r="Q23" s="37"/>
      <c r="R23" s="37"/>
      <c r="S23" s="37"/>
      <c r="T23" s="37"/>
    </row>
    <row r="24" spans="1:20" s="30" customFormat="1" ht="14.4" customHeight="1">
      <c r="A24" s="35"/>
      <c r="B24" s="35"/>
      <c r="C24" s="35"/>
      <c r="D24" s="35"/>
      <c r="E24" s="35"/>
      <c r="F24" s="35"/>
      <c r="G24" s="38"/>
      <c r="H24" s="34"/>
      <c r="I24" s="35"/>
      <c r="J24" s="35"/>
      <c r="K24" s="35"/>
      <c r="L24" s="36"/>
      <c r="M24" s="36"/>
      <c r="N24" s="36"/>
      <c r="O24" s="36"/>
      <c r="P24" s="37"/>
      <c r="Q24" s="37"/>
      <c r="R24" s="37"/>
      <c r="S24" s="37"/>
      <c r="T24" s="37"/>
    </row>
    <row r="25" spans="1:20" ht="14.4" customHeight="1">
      <c r="A25" s="35"/>
      <c r="B25" s="35"/>
      <c r="C25" s="35"/>
      <c r="D25" s="35"/>
      <c r="E25" s="35"/>
      <c r="F25" s="35"/>
      <c r="G25" s="38"/>
      <c r="H25" s="22"/>
      <c r="I25" s="24"/>
      <c r="J25" s="24"/>
      <c r="K25" s="24"/>
      <c r="L25" s="23"/>
      <c r="M25" s="23"/>
      <c r="N25" s="23"/>
      <c r="O25" s="23"/>
    </row>
    <row r="26" spans="1:20" ht="14.4" customHeight="1">
      <c r="A26" s="35"/>
      <c r="B26" s="35"/>
      <c r="C26" s="35"/>
      <c r="D26" s="35"/>
      <c r="E26" s="35"/>
      <c r="F26" s="35"/>
      <c r="G26" s="38"/>
      <c r="H26" s="22"/>
      <c r="I26" s="24"/>
      <c r="J26" s="24"/>
      <c r="K26" s="24"/>
      <c r="L26" s="23"/>
      <c r="M26" s="23"/>
      <c r="N26" s="23"/>
      <c r="O26" s="36"/>
    </row>
    <row r="27" spans="1:20" ht="22.05" customHeight="1">
      <c r="A27" s="35"/>
      <c r="B27" s="35"/>
      <c r="C27" s="35"/>
      <c r="D27" s="35"/>
      <c r="E27" s="35"/>
      <c r="F27" s="35"/>
      <c r="G27" s="38"/>
      <c r="H27" s="115" t="s">
        <v>567</v>
      </c>
      <c r="I27" s="115"/>
      <c r="J27" s="115"/>
      <c r="K27" s="115"/>
      <c r="L27" s="115"/>
      <c r="M27" s="115"/>
      <c r="N27" s="115"/>
      <c r="O27" s="36"/>
    </row>
    <row r="28" spans="1:20" ht="22.05" customHeight="1">
      <c r="A28" s="13"/>
      <c r="B28" s="13"/>
      <c r="C28" s="13"/>
      <c r="D28" s="13"/>
      <c r="E28" s="15"/>
      <c r="F28" s="14"/>
      <c r="G28" s="38"/>
      <c r="H28" s="115"/>
      <c r="I28" s="115"/>
      <c r="J28" s="115"/>
      <c r="K28" s="115"/>
      <c r="L28" s="115"/>
      <c r="M28" s="115"/>
      <c r="N28" s="115"/>
      <c r="O28" s="36"/>
    </row>
    <row r="29" spans="1:20" ht="22.05" customHeight="1">
      <c r="A29" s="13"/>
      <c r="B29" s="13"/>
      <c r="C29" s="13"/>
      <c r="D29" s="13"/>
      <c r="E29" s="15"/>
      <c r="F29" s="14"/>
      <c r="G29" s="38"/>
      <c r="H29" s="41" t="s">
        <v>568</v>
      </c>
      <c r="I29" s="41"/>
      <c r="J29" s="29"/>
      <c r="K29" s="41" t="s">
        <v>569</v>
      </c>
      <c r="L29" s="41"/>
      <c r="M29" s="41" t="s">
        <v>570</v>
      </c>
      <c r="N29" s="41"/>
      <c r="O29" s="36"/>
    </row>
    <row r="30" spans="1:20">
      <c r="A30" s="23"/>
      <c r="B30" s="23"/>
      <c r="C30" s="23"/>
      <c r="D30" s="23"/>
      <c r="E30" s="23"/>
      <c r="F30" s="23"/>
      <c r="G30" s="38"/>
      <c r="H30" s="44" t="s">
        <v>571</v>
      </c>
      <c r="I30" s="45"/>
      <c r="J30" s="45"/>
      <c r="K30" s="46" t="s">
        <v>572</v>
      </c>
      <c r="L30" s="46"/>
      <c r="M30" s="116" t="s">
        <v>573</v>
      </c>
      <c r="N30" s="117"/>
      <c r="O30" s="36"/>
    </row>
    <row r="31" spans="1:20">
      <c r="A31" s="23"/>
      <c r="B31" s="23"/>
      <c r="C31" s="23"/>
      <c r="D31" s="23"/>
      <c r="E31" s="23"/>
      <c r="F31" s="23"/>
      <c r="G31" s="38"/>
      <c r="H31" s="60" t="s">
        <v>574</v>
      </c>
      <c r="I31" s="61"/>
      <c r="J31" s="61"/>
      <c r="K31" s="62" t="s">
        <v>575</v>
      </c>
      <c r="L31" s="62"/>
      <c r="M31" s="118" t="s">
        <v>576</v>
      </c>
      <c r="N31" s="119"/>
      <c r="O31" s="36"/>
    </row>
    <row r="32" spans="1:20">
      <c r="A32" s="25"/>
      <c r="B32" s="26"/>
      <c r="C32" s="26"/>
      <c r="D32" s="26"/>
      <c r="E32" s="25"/>
      <c r="F32" s="23"/>
      <c r="G32" s="36"/>
      <c r="H32" s="44" t="s">
        <v>577</v>
      </c>
      <c r="I32" s="45"/>
      <c r="J32" s="45"/>
      <c r="K32" s="46" t="s">
        <v>578</v>
      </c>
      <c r="L32" s="46"/>
      <c r="M32" s="58" t="s">
        <v>579</v>
      </c>
      <c r="N32" s="59"/>
      <c r="O32" s="36"/>
    </row>
    <row r="33" spans="1:15" ht="24" customHeight="1">
      <c r="A33" s="16"/>
      <c r="B33" s="17"/>
      <c r="C33" s="17"/>
      <c r="D33" s="17"/>
      <c r="E33" s="16"/>
      <c r="F33" s="27"/>
      <c r="G33" s="38"/>
      <c r="H33" s="60" t="s">
        <v>580</v>
      </c>
      <c r="I33" s="61"/>
      <c r="J33" s="61"/>
      <c r="K33" s="62" t="s">
        <v>581</v>
      </c>
      <c r="L33" s="62"/>
      <c r="M33" s="63" t="s">
        <v>582</v>
      </c>
      <c r="N33" s="64"/>
      <c r="O33" s="36"/>
    </row>
    <row r="34" spans="1:15" ht="25.8" customHeight="1">
      <c r="A34" s="18"/>
      <c r="B34" s="18"/>
      <c r="C34" s="19"/>
      <c r="D34" s="19"/>
      <c r="E34" s="18"/>
      <c r="F34" s="27"/>
      <c r="G34" s="38"/>
      <c r="H34" s="44" t="s">
        <v>583</v>
      </c>
      <c r="I34" s="45"/>
      <c r="J34" s="45"/>
      <c r="K34" s="46" t="s">
        <v>584</v>
      </c>
      <c r="L34" s="46"/>
      <c r="M34" s="47" t="s">
        <v>585</v>
      </c>
      <c r="N34" s="48"/>
      <c r="O34" s="36"/>
    </row>
    <row r="35" spans="1:15" ht="25.8" customHeight="1">
      <c r="A35" s="18"/>
      <c r="B35" s="18"/>
      <c r="C35" s="19"/>
      <c r="D35" s="19"/>
      <c r="E35" s="18"/>
      <c r="F35" s="27"/>
      <c r="G35" s="38"/>
      <c r="H35" s="23"/>
      <c r="I35" s="23"/>
      <c r="J35" s="23"/>
      <c r="K35" s="23"/>
      <c r="L35" s="23"/>
      <c r="M35" s="23"/>
      <c r="N35" s="23"/>
      <c r="O35" s="23"/>
    </row>
    <row r="36" spans="1:15" ht="25.8" customHeight="1">
      <c r="A36" s="18"/>
      <c r="B36" s="18"/>
      <c r="C36" s="19"/>
      <c r="D36" s="19"/>
      <c r="E36" s="18"/>
      <c r="F36" s="27"/>
      <c r="G36" s="38"/>
      <c r="H36" s="49" t="s">
        <v>586</v>
      </c>
      <c r="I36" s="50"/>
      <c r="J36" s="50"/>
      <c r="K36" s="50"/>
      <c r="L36" s="50"/>
      <c r="M36" s="50"/>
      <c r="N36" s="51"/>
      <c r="O36" s="23"/>
    </row>
    <row r="37" spans="1:15" ht="25.8" customHeight="1">
      <c r="A37" s="18"/>
      <c r="B37" s="18"/>
      <c r="C37" s="19"/>
      <c r="D37" s="19"/>
      <c r="E37" s="18"/>
      <c r="F37" s="27"/>
      <c r="G37" s="38"/>
      <c r="H37" s="52"/>
      <c r="I37" s="53"/>
      <c r="J37" s="53"/>
      <c r="K37" s="53"/>
      <c r="L37" s="53"/>
      <c r="M37" s="53"/>
      <c r="N37" s="54"/>
      <c r="O37" s="23"/>
    </row>
    <row r="38" spans="1:15" ht="25.8" customHeight="1">
      <c r="A38" s="18"/>
      <c r="B38" s="18"/>
      <c r="C38" s="19"/>
      <c r="D38" s="19"/>
      <c r="E38" s="18"/>
      <c r="F38" s="27"/>
      <c r="G38" s="38"/>
      <c r="H38" s="52"/>
      <c r="I38" s="53"/>
      <c r="J38" s="53"/>
      <c r="K38" s="53"/>
      <c r="L38" s="53"/>
      <c r="M38" s="53"/>
      <c r="N38" s="54"/>
      <c r="O38" s="23"/>
    </row>
    <row r="39" spans="1:15" ht="25.8" customHeight="1">
      <c r="A39" s="18"/>
      <c r="B39" s="18"/>
      <c r="C39" s="19"/>
      <c r="D39" s="19"/>
      <c r="E39" s="18"/>
      <c r="F39" s="27"/>
      <c r="G39" s="38"/>
      <c r="H39" s="55"/>
      <c r="I39" s="56"/>
      <c r="J39" s="56"/>
      <c r="K39" s="56"/>
      <c r="L39" s="56"/>
      <c r="M39" s="56"/>
      <c r="N39" s="57"/>
      <c r="O39" s="23"/>
    </row>
    <row r="40" spans="1:15" ht="13.2" customHeight="1">
      <c r="A40" s="18"/>
      <c r="B40" s="18"/>
      <c r="C40" s="19"/>
      <c r="D40" s="19"/>
      <c r="E40" s="18"/>
      <c r="F40" s="27"/>
      <c r="G40" s="38"/>
      <c r="H40" s="28"/>
      <c r="I40" s="18"/>
      <c r="J40" s="18"/>
      <c r="K40" s="18"/>
      <c r="L40" s="18"/>
      <c r="M40" s="18"/>
      <c r="N40" s="23"/>
      <c r="O40" s="23"/>
    </row>
    <row r="41" spans="1:15" ht="25.8" customHeight="1">
      <c r="A41" s="113" t="s">
        <v>587</v>
      </c>
      <c r="B41" s="114"/>
      <c r="C41" s="114"/>
      <c r="D41" s="114"/>
      <c r="E41" s="114"/>
      <c r="F41" s="114"/>
      <c r="G41" s="28"/>
      <c r="H41" s="42" t="s">
        <v>588</v>
      </c>
      <c r="I41" s="42"/>
      <c r="J41" s="42"/>
      <c r="K41" s="42"/>
      <c r="L41" s="42"/>
      <c r="M41" s="42"/>
      <c r="N41" s="42"/>
      <c r="O41" s="23"/>
    </row>
    <row r="42" spans="1:15" ht="25.8" customHeight="1">
      <c r="A42" s="20" t="s">
        <v>3</v>
      </c>
      <c r="B42" s="20" t="s">
        <v>5</v>
      </c>
      <c r="C42" s="20" t="s">
        <v>7</v>
      </c>
      <c r="D42" s="20" t="s">
        <v>11</v>
      </c>
      <c r="E42" s="20" t="s">
        <v>9</v>
      </c>
      <c r="F42" s="27"/>
      <c r="G42" s="38"/>
      <c r="H42" s="21"/>
      <c r="I42" s="21" t="s">
        <v>3</v>
      </c>
      <c r="J42" s="21" t="s">
        <v>5</v>
      </c>
      <c r="K42" s="21" t="s">
        <v>7</v>
      </c>
      <c r="L42" s="21" t="s">
        <v>11</v>
      </c>
      <c r="M42" s="21" t="s">
        <v>9</v>
      </c>
      <c r="N42" s="23"/>
      <c r="O42" s="23"/>
    </row>
    <row r="43" spans="1:15" ht="25.8" customHeight="1">
      <c r="A43" s="18" t="s">
        <v>495</v>
      </c>
      <c r="B43" s="33" t="s">
        <v>496</v>
      </c>
      <c r="C43" s="19" t="s">
        <v>28</v>
      </c>
      <c r="D43" s="18" t="s">
        <v>53</v>
      </c>
      <c r="E43" s="18" t="s">
        <v>18</v>
      </c>
      <c r="F43" s="27"/>
      <c r="G43" s="38"/>
      <c r="H43" s="28"/>
      <c r="I43" s="18" t="s">
        <v>13</v>
      </c>
      <c r="J43" s="33" t="s">
        <v>14</v>
      </c>
      <c r="K43" s="40" t="s">
        <v>16</v>
      </c>
      <c r="L43" s="18" t="s">
        <v>20</v>
      </c>
      <c r="M43" s="18" t="s">
        <v>18</v>
      </c>
      <c r="N43" s="23"/>
      <c r="O43" s="23"/>
    </row>
    <row r="44" spans="1:15" ht="25.8" customHeight="1">
      <c r="A44" s="18" t="s">
        <v>497</v>
      </c>
      <c r="B44" s="33" t="s">
        <v>498</v>
      </c>
      <c r="C44" s="19" t="s">
        <v>303</v>
      </c>
      <c r="D44" s="18" t="s">
        <v>20</v>
      </c>
      <c r="E44" s="18" t="s">
        <v>18</v>
      </c>
      <c r="F44" s="27"/>
      <c r="G44" s="38"/>
      <c r="H44" s="28"/>
      <c r="I44" s="18" t="s">
        <v>22</v>
      </c>
      <c r="J44" s="33" t="s">
        <v>23</v>
      </c>
      <c r="K44" s="40" t="s">
        <v>16</v>
      </c>
      <c r="L44" s="18" t="s">
        <v>20</v>
      </c>
      <c r="M44" s="18" t="s">
        <v>18</v>
      </c>
      <c r="N44" s="23"/>
      <c r="O44" s="23"/>
    </row>
    <row r="45" spans="1:15" ht="25.8" customHeight="1">
      <c r="A45" s="18" t="s">
        <v>502</v>
      </c>
      <c r="B45" s="33" t="s">
        <v>503</v>
      </c>
      <c r="C45" s="19" t="s">
        <v>28</v>
      </c>
      <c r="D45" s="18" t="s">
        <v>20</v>
      </c>
      <c r="E45" s="18" t="s">
        <v>18</v>
      </c>
      <c r="F45" s="27"/>
      <c r="G45" s="38"/>
      <c r="H45" s="28"/>
      <c r="I45" s="18" t="s">
        <v>171</v>
      </c>
      <c r="J45" s="33" t="s">
        <v>172</v>
      </c>
      <c r="K45" s="40" t="s">
        <v>36</v>
      </c>
      <c r="L45" s="18" t="s">
        <v>20</v>
      </c>
      <c r="M45" s="18" t="s">
        <v>18</v>
      </c>
      <c r="N45" s="23"/>
      <c r="O45" s="23"/>
    </row>
    <row r="46" spans="1:15" ht="25.8" customHeight="1">
      <c r="A46" s="18" t="s">
        <v>504</v>
      </c>
      <c r="B46" s="33" t="s">
        <v>505</v>
      </c>
      <c r="C46" s="19" t="s">
        <v>28</v>
      </c>
      <c r="D46" s="18" t="s">
        <v>20</v>
      </c>
      <c r="E46" s="18" t="s">
        <v>18</v>
      </c>
      <c r="F46" s="27"/>
      <c r="G46" s="38"/>
      <c r="H46" s="28"/>
      <c r="I46" s="18" t="s">
        <v>203</v>
      </c>
      <c r="J46" s="33" t="s">
        <v>204</v>
      </c>
      <c r="K46" s="40" t="s">
        <v>28</v>
      </c>
      <c r="L46" s="18" t="s">
        <v>53</v>
      </c>
      <c r="M46" s="18" t="s">
        <v>18</v>
      </c>
      <c r="N46" s="23"/>
      <c r="O46" s="23"/>
    </row>
    <row r="47" spans="1:15" ht="25.8" customHeight="1">
      <c r="A47" s="18" t="s">
        <v>510</v>
      </c>
      <c r="B47" s="33" t="s">
        <v>511</v>
      </c>
      <c r="C47" s="19" t="s">
        <v>303</v>
      </c>
      <c r="D47" s="18" t="s">
        <v>53</v>
      </c>
      <c r="E47" s="18" t="s">
        <v>18</v>
      </c>
      <c r="F47" s="27"/>
      <c r="G47" s="38"/>
      <c r="H47" s="28"/>
      <c r="I47" s="18" t="s">
        <v>233</v>
      </c>
      <c r="J47" s="33" t="s">
        <v>234</v>
      </c>
      <c r="K47" s="40" t="s">
        <v>227</v>
      </c>
      <c r="L47" s="18" t="s">
        <v>20</v>
      </c>
      <c r="M47" s="18" t="s">
        <v>18</v>
      </c>
      <c r="N47" s="23"/>
      <c r="O47" s="23"/>
    </row>
    <row r="48" spans="1:15" ht="25.8" customHeight="1">
      <c r="A48" s="18" t="s">
        <v>514</v>
      </c>
      <c r="B48" s="33" t="s">
        <v>515</v>
      </c>
      <c r="C48" s="19" t="s">
        <v>303</v>
      </c>
      <c r="D48" s="18" t="s">
        <v>53</v>
      </c>
      <c r="E48" s="18" t="s">
        <v>18</v>
      </c>
      <c r="F48" s="27"/>
      <c r="G48" s="38"/>
      <c r="H48" s="28"/>
      <c r="I48" s="18" t="s">
        <v>237</v>
      </c>
      <c r="J48" s="33" t="s">
        <v>238</v>
      </c>
      <c r="K48" s="40" t="s">
        <v>227</v>
      </c>
      <c r="L48" s="18" t="s">
        <v>20</v>
      </c>
      <c r="M48" s="18" t="s">
        <v>18</v>
      </c>
      <c r="N48" s="23"/>
      <c r="O48" s="23"/>
    </row>
    <row r="49" spans="1:15" ht="25.8" customHeight="1">
      <c r="A49" s="18" t="s">
        <v>518</v>
      </c>
      <c r="B49" s="33" t="s">
        <v>519</v>
      </c>
      <c r="C49" s="19" t="s">
        <v>28</v>
      </c>
      <c r="D49" s="18" t="s">
        <v>20</v>
      </c>
      <c r="E49" s="18" t="s">
        <v>18</v>
      </c>
      <c r="F49" s="27"/>
      <c r="G49" s="38"/>
      <c r="H49" s="28"/>
      <c r="I49" s="18" t="s">
        <v>246</v>
      </c>
      <c r="J49" s="33" t="s">
        <v>247</v>
      </c>
      <c r="K49" s="40" t="s">
        <v>227</v>
      </c>
      <c r="L49" s="18" t="s">
        <v>20</v>
      </c>
      <c r="M49" s="18" t="s">
        <v>18</v>
      </c>
      <c r="N49" s="23"/>
      <c r="O49" s="23"/>
    </row>
    <row r="50" spans="1:15" ht="25.8" customHeight="1">
      <c r="A50" s="18" t="s">
        <v>521</v>
      </c>
      <c r="B50" s="33" t="s">
        <v>522</v>
      </c>
      <c r="C50" s="19" t="s">
        <v>28</v>
      </c>
      <c r="D50" s="18" t="s">
        <v>20</v>
      </c>
      <c r="E50" s="18" t="s">
        <v>18</v>
      </c>
      <c r="F50" s="23"/>
      <c r="G50" s="36"/>
      <c r="H50" s="23"/>
      <c r="I50" s="18" t="s">
        <v>250</v>
      </c>
      <c r="J50" s="33" t="s">
        <v>251</v>
      </c>
      <c r="K50" s="40" t="s">
        <v>227</v>
      </c>
      <c r="L50" s="18" t="s">
        <v>20</v>
      </c>
      <c r="M50" s="18" t="s">
        <v>18</v>
      </c>
      <c r="N50" s="23"/>
      <c r="O50" s="23"/>
    </row>
    <row r="51" spans="1:15" ht="25.8" customHeight="1">
      <c r="A51" s="18" t="s">
        <v>526</v>
      </c>
      <c r="B51" s="33" t="s">
        <v>527</v>
      </c>
      <c r="C51" s="19" t="s">
        <v>303</v>
      </c>
      <c r="D51" s="18" t="s">
        <v>20</v>
      </c>
      <c r="E51" s="18" t="s">
        <v>18</v>
      </c>
      <c r="F51" s="23"/>
      <c r="G51" s="36"/>
      <c r="H51" s="23"/>
      <c r="I51" s="18" t="s">
        <v>271</v>
      </c>
      <c r="J51" s="33" t="s">
        <v>272</v>
      </c>
      <c r="K51" s="40" t="s">
        <v>273</v>
      </c>
      <c r="L51" s="18" t="s">
        <v>20</v>
      </c>
      <c r="M51" s="18" t="s">
        <v>18</v>
      </c>
      <c r="N51" s="23"/>
      <c r="O51" s="23"/>
    </row>
    <row r="52" spans="1:15" ht="25.8" customHeight="1">
      <c r="A52" s="18" t="s">
        <v>529</v>
      </c>
      <c r="B52" s="33" t="s">
        <v>530</v>
      </c>
      <c r="C52" s="19" t="s">
        <v>36</v>
      </c>
      <c r="D52" s="18" t="s">
        <v>53</v>
      </c>
      <c r="E52" s="18" t="s">
        <v>18</v>
      </c>
      <c r="F52" s="23"/>
      <c r="G52" s="36"/>
      <c r="H52" s="23"/>
      <c r="I52" s="18" t="s">
        <v>274</v>
      </c>
      <c r="J52" s="33" t="s">
        <v>275</v>
      </c>
      <c r="K52" s="40" t="s">
        <v>273</v>
      </c>
      <c r="L52" s="18" t="s">
        <v>20</v>
      </c>
      <c r="M52" s="18" t="s">
        <v>18</v>
      </c>
      <c r="N52" s="23"/>
      <c r="O52" s="23"/>
    </row>
    <row r="53" spans="1:15" ht="25.8" customHeight="1">
      <c r="A53" s="18" t="s">
        <v>531</v>
      </c>
      <c r="B53" s="33" t="s">
        <v>532</v>
      </c>
      <c r="C53" s="19" t="s">
        <v>303</v>
      </c>
      <c r="D53" s="18" t="s">
        <v>53</v>
      </c>
      <c r="E53" s="18" t="s">
        <v>18</v>
      </c>
      <c r="F53" s="23"/>
      <c r="G53" s="36"/>
      <c r="H53" s="23"/>
      <c r="I53" s="18" t="s">
        <v>292</v>
      </c>
      <c r="J53" s="33" t="s">
        <v>293</v>
      </c>
      <c r="K53" s="40" t="s">
        <v>268</v>
      </c>
      <c r="L53" s="18" t="s">
        <v>20</v>
      </c>
      <c r="M53" s="18" t="s">
        <v>18</v>
      </c>
      <c r="N53" s="23"/>
      <c r="O53" s="23"/>
    </row>
    <row r="54" spans="1:15" ht="25.8" customHeight="1">
      <c r="A54" s="18" t="s">
        <v>533</v>
      </c>
      <c r="B54" s="33" t="s">
        <v>534</v>
      </c>
      <c r="C54" s="19" t="s">
        <v>273</v>
      </c>
      <c r="D54" s="18" t="s">
        <v>53</v>
      </c>
      <c r="E54" s="18" t="s">
        <v>18</v>
      </c>
      <c r="F54" s="23"/>
      <c r="G54" s="36"/>
      <c r="H54" s="23"/>
      <c r="I54" s="18" t="s">
        <v>336</v>
      </c>
      <c r="J54" s="33" t="s">
        <v>337</v>
      </c>
      <c r="K54" s="40" t="s">
        <v>303</v>
      </c>
      <c r="L54" s="18" t="s">
        <v>20</v>
      </c>
      <c r="M54" s="18" t="s">
        <v>18</v>
      </c>
      <c r="N54" s="23"/>
      <c r="O54" s="23"/>
    </row>
    <row r="55" spans="1:15" ht="25.8" customHeight="1">
      <c r="A55" s="18" t="s">
        <v>535</v>
      </c>
      <c r="B55" s="33" t="s">
        <v>536</v>
      </c>
      <c r="C55" s="19" t="s">
        <v>298</v>
      </c>
      <c r="D55" s="18" t="s">
        <v>20</v>
      </c>
      <c r="E55" s="18" t="s">
        <v>18</v>
      </c>
      <c r="F55" s="23"/>
      <c r="G55" s="36"/>
      <c r="H55" s="23"/>
      <c r="I55" s="18" t="s">
        <v>401</v>
      </c>
      <c r="J55" s="33" t="s">
        <v>402</v>
      </c>
      <c r="K55" s="40" t="s">
        <v>303</v>
      </c>
      <c r="L55" s="18" t="s">
        <v>53</v>
      </c>
      <c r="M55" s="18" t="s">
        <v>370</v>
      </c>
      <c r="N55" s="23"/>
      <c r="O55" s="23"/>
    </row>
    <row r="56" spans="1:15" ht="25.8" customHeight="1">
      <c r="A56" s="18" t="s">
        <v>537</v>
      </c>
      <c r="B56" s="33" t="s">
        <v>538</v>
      </c>
      <c r="C56" s="19" t="s">
        <v>227</v>
      </c>
      <c r="D56" s="18" t="s">
        <v>20</v>
      </c>
      <c r="E56" s="18" t="s">
        <v>18</v>
      </c>
      <c r="F56" s="23"/>
      <c r="G56" s="36"/>
      <c r="H56" s="23"/>
      <c r="I56" s="18" t="s">
        <v>403</v>
      </c>
      <c r="J56" s="33" t="s">
        <v>404</v>
      </c>
      <c r="K56" s="40" t="s">
        <v>303</v>
      </c>
      <c r="L56" s="18" t="s">
        <v>53</v>
      </c>
      <c r="M56" s="18" t="s">
        <v>370</v>
      </c>
      <c r="N56" s="23"/>
      <c r="O56" s="23"/>
    </row>
    <row r="57" spans="1:15" ht="25.8" customHeight="1">
      <c r="A57" s="18" t="s">
        <v>539</v>
      </c>
      <c r="B57" s="33" t="s">
        <v>251</v>
      </c>
      <c r="C57" s="19" t="s">
        <v>227</v>
      </c>
      <c r="D57" s="18" t="s">
        <v>20</v>
      </c>
      <c r="E57" s="18" t="s">
        <v>18</v>
      </c>
      <c r="F57" s="23"/>
      <c r="G57" s="36"/>
      <c r="H57" s="23"/>
      <c r="I57" s="18" t="s">
        <v>451</v>
      </c>
      <c r="J57" s="33" t="s">
        <v>452</v>
      </c>
      <c r="K57" s="40" t="s">
        <v>28</v>
      </c>
      <c r="L57" s="18" t="s">
        <v>20</v>
      </c>
      <c r="M57" s="18" t="s">
        <v>18</v>
      </c>
      <c r="N57" s="23"/>
      <c r="O57" s="23"/>
    </row>
    <row r="58" spans="1:15" ht="25.8" customHeight="1">
      <c r="A58" s="18" t="s">
        <v>540</v>
      </c>
      <c r="B58" s="33" t="s">
        <v>541</v>
      </c>
      <c r="C58" s="19" t="s">
        <v>227</v>
      </c>
      <c r="D58" s="18" t="s">
        <v>53</v>
      </c>
      <c r="E58" s="18" t="s">
        <v>18</v>
      </c>
      <c r="F58" s="23"/>
      <c r="G58" s="36"/>
      <c r="H58" s="23"/>
      <c r="I58" s="18" t="s">
        <v>461</v>
      </c>
      <c r="J58" s="33" t="s">
        <v>462</v>
      </c>
      <c r="K58" s="40" t="s">
        <v>28</v>
      </c>
      <c r="L58" s="18" t="s">
        <v>53</v>
      </c>
      <c r="M58" s="18" t="s">
        <v>18</v>
      </c>
      <c r="N58" s="23"/>
      <c r="O58" s="23"/>
    </row>
    <row r="59" spans="1:15" ht="25.8" customHeight="1">
      <c r="A59" s="23"/>
      <c r="B59" s="23"/>
      <c r="C59" s="23"/>
      <c r="D59" s="23"/>
      <c r="E59" s="23"/>
      <c r="F59" s="23"/>
      <c r="G59" s="36"/>
      <c r="H59" s="23"/>
      <c r="I59" s="18" t="s">
        <v>463</v>
      </c>
      <c r="J59" s="33" t="s">
        <v>464</v>
      </c>
      <c r="K59" s="40" t="s">
        <v>28</v>
      </c>
      <c r="L59" s="18" t="s">
        <v>20</v>
      </c>
      <c r="M59" s="18" t="s">
        <v>465</v>
      </c>
      <c r="N59" s="23"/>
      <c r="O59" s="23"/>
    </row>
    <row r="60" spans="1:15">
      <c r="A60" s="23"/>
      <c r="B60" s="23"/>
      <c r="C60" s="23"/>
      <c r="D60" s="23"/>
      <c r="E60" s="23"/>
      <c r="F60" s="23"/>
      <c r="G60" s="36"/>
      <c r="H60" s="23"/>
      <c r="I60" s="23"/>
      <c r="J60" s="23"/>
      <c r="K60" s="23"/>
      <c r="L60" s="23"/>
      <c r="M60" s="23"/>
      <c r="N60" s="23"/>
      <c r="O60" s="23"/>
    </row>
    <row r="61" spans="1:15" ht="13.8" customHeight="1">
      <c r="A61" s="111" t="s">
        <v>589</v>
      </c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2"/>
    </row>
    <row r="62" spans="1:15" ht="13.8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2"/>
    </row>
    <row r="63" spans="1:15" ht="15.6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2"/>
    </row>
  </sheetData>
  <mergeCells count="38">
    <mergeCell ref="A13:F13"/>
    <mergeCell ref="A61:O63"/>
    <mergeCell ref="A41:F41"/>
    <mergeCell ref="H27:N28"/>
    <mergeCell ref="K29:L29"/>
    <mergeCell ref="M29:N29"/>
    <mergeCell ref="H30:J30"/>
    <mergeCell ref="K30:L30"/>
    <mergeCell ref="M30:N30"/>
    <mergeCell ref="H31:J31"/>
    <mergeCell ref="K31:L31"/>
    <mergeCell ref="M31:N31"/>
    <mergeCell ref="H32:J32"/>
    <mergeCell ref="H13:K13"/>
    <mergeCell ref="H8:J8"/>
    <mergeCell ref="K8:L8"/>
    <mergeCell ref="M8:N8"/>
    <mergeCell ref="A1:N2"/>
    <mergeCell ref="A3:N3"/>
    <mergeCell ref="A5:C7"/>
    <mergeCell ref="D5:F7"/>
    <mergeCell ref="H5:J7"/>
    <mergeCell ref="K5:L7"/>
    <mergeCell ref="M5:N7"/>
    <mergeCell ref="H29:I29"/>
    <mergeCell ref="H41:N41"/>
    <mergeCell ref="A4:N4"/>
    <mergeCell ref="H34:J34"/>
    <mergeCell ref="K34:L34"/>
    <mergeCell ref="M34:N34"/>
    <mergeCell ref="H36:N39"/>
    <mergeCell ref="K32:L32"/>
    <mergeCell ref="M32:N32"/>
    <mergeCell ref="H33:J33"/>
    <mergeCell ref="K33:L33"/>
    <mergeCell ref="M33:N33"/>
    <mergeCell ref="A8:C8"/>
    <mergeCell ref="D8:F8"/>
  </mergeCells>
  <conditionalFormatting sqref="A28:F29">
    <cfRule type="expression" dxfId="11" priority="11">
      <formula>MOD(ROW(),2)=0</formula>
    </cfRule>
    <cfRule type="expression" dxfId="10" priority="12">
      <formula>MOD(ROW(),2)=1</formula>
    </cfRule>
  </conditionalFormatting>
  <conditionalFormatting sqref="D28:D29">
    <cfRule type="expression" dxfId="9" priority="13">
      <formula>D28&gt;0</formula>
    </cfRule>
    <cfRule type="expression" dxfId="8" priority="14">
      <formula>D28&lt;0</formula>
    </cfRule>
  </conditionalFormatting>
  <pageMargins left="0.7" right="0.7" top="0.75" bottom="0.75" header="0.3" footer="0.3"/>
  <pageSetup paperSize="9" scale="3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Old Friday</vt:lpstr>
      <vt:lpstr>Current Friday</vt:lpstr>
      <vt:lpstr>Comparison Report</vt:lpstr>
      <vt:lpstr>'Comparison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Sudheer Ahmed</cp:lastModifiedBy>
  <cp:lastPrinted>2026-08-03T08:20:28Z</cp:lastPrinted>
  <dcterms:modified xsi:type="dcterms:W3CDTF">2026-08-03T11:45:36Z</dcterms:modified>
</cp:coreProperties>
</file>