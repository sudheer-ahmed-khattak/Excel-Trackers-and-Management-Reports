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49AF53-211C-4505-94C0-34BBCB4712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cutive Dashboard" sheetId="1" r:id="rId1"/>
    <sheet name="Correspondence Register" sheetId="2" r:id="rId2"/>
    <sheet name="Document Register" sheetId="3" r:id="rId3"/>
    <sheet name="Lists" sheetId="4" state="hidden" r:id="rId4"/>
  </sheets>
  <definedNames>
    <definedName name="_xlnm._FilterDatabase" localSheetId="1" hidden="1">'Correspondence Register'!$A$1:$O$61</definedName>
    <definedName name="_xlnm.Print_Area" localSheetId="0">'Executive Dashboard'!$A$1:$N$30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K36" i="2"/>
  <c r="M36" i="2" s="1"/>
  <c r="K2" i="2"/>
  <c r="M2" i="2" s="1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K61" i="2"/>
  <c r="M61" i="2" s="1"/>
  <c r="K60" i="2"/>
  <c r="M60" i="2" s="1"/>
  <c r="K59" i="2"/>
  <c r="M59" i="2" s="1"/>
  <c r="K58" i="2"/>
  <c r="M58" i="2" s="1"/>
  <c r="K57" i="2"/>
  <c r="M57" i="2" s="1"/>
  <c r="K56" i="2"/>
  <c r="M56" i="2" s="1"/>
  <c r="K55" i="2"/>
  <c r="M55" i="2" s="1"/>
  <c r="K54" i="2"/>
  <c r="M54" i="2" s="1"/>
  <c r="K53" i="2"/>
  <c r="M53" i="2" s="1"/>
  <c r="M52" i="2"/>
  <c r="K52" i="2"/>
  <c r="K51" i="2"/>
  <c r="M51" i="2" s="1"/>
  <c r="K50" i="2"/>
  <c r="M50" i="2" s="1"/>
  <c r="M49" i="2"/>
  <c r="K49" i="2"/>
  <c r="K48" i="2"/>
  <c r="M48" i="2" s="1"/>
  <c r="M47" i="2"/>
  <c r="K47" i="2"/>
  <c r="M46" i="2"/>
  <c r="K46" i="2"/>
  <c r="M45" i="2"/>
  <c r="K45" i="2"/>
  <c r="K44" i="2"/>
  <c r="M44" i="2" s="1"/>
  <c r="K43" i="2"/>
  <c r="M43" i="2" s="1"/>
  <c r="K42" i="2"/>
  <c r="M42" i="2" s="1"/>
  <c r="K41" i="2"/>
  <c r="M41" i="2" s="1"/>
  <c r="K40" i="2"/>
  <c r="M40" i="2" s="1"/>
  <c r="K39" i="2"/>
  <c r="M39" i="2" s="1"/>
  <c r="K38" i="2"/>
  <c r="M38" i="2" s="1"/>
  <c r="M37" i="2"/>
  <c r="K37" i="2"/>
  <c r="M35" i="2"/>
  <c r="K35" i="2"/>
  <c r="K34" i="2"/>
  <c r="M34" i="2" s="1"/>
  <c r="K33" i="2"/>
  <c r="M33" i="2" s="1"/>
  <c r="K32" i="2"/>
  <c r="M32" i="2" s="1"/>
  <c r="M31" i="2"/>
  <c r="K31" i="2"/>
  <c r="M30" i="2"/>
  <c r="K30" i="2"/>
  <c r="K29" i="2"/>
  <c r="M29" i="2" s="1"/>
  <c r="K28" i="2"/>
  <c r="M28" i="2" s="1"/>
  <c r="M27" i="2"/>
  <c r="K27" i="2"/>
  <c r="K26" i="2"/>
  <c r="M26" i="2" s="1"/>
  <c r="M25" i="2"/>
  <c r="K25" i="2"/>
  <c r="M24" i="2"/>
  <c r="K24" i="2"/>
  <c r="M23" i="2"/>
  <c r="K23" i="2"/>
  <c r="M22" i="2"/>
  <c r="K22" i="2"/>
  <c r="M21" i="2"/>
  <c r="K21" i="2"/>
  <c r="K20" i="2"/>
  <c r="M20" i="2" s="1"/>
  <c r="K19" i="2"/>
  <c r="M19" i="2" s="1"/>
  <c r="M18" i="2"/>
  <c r="K18" i="2"/>
  <c r="M17" i="2"/>
  <c r="K17" i="2"/>
  <c r="K16" i="2"/>
  <c r="M16" i="2" s="1"/>
  <c r="K15" i="2"/>
  <c r="M15" i="2" s="1"/>
  <c r="K14" i="2"/>
  <c r="M14" i="2" s="1"/>
  <c r="K13" i="2"/>
  <c r="M13" i="2" s="1"/>
  <c r="M12" i="2"/>
  <c r="K12" i="2"/>
  <c r="K11" i="2"/>
  <c r="M11" i="2" s="1"/>
  <c r="K10" i="2"/>
  <c r="M10" i="2" s="1"/>
  <c r="M9" i="2"/>
  <c r="K9" i="2"/>
  <c r="K8" i="2"/>
  <c r="M8" i="2" s="1"/>
  <c r="K7" i="2"/>
  <c r="M7" i="2" s="1"/>
  <c r="K6" i="2"/>
  <c r="M6" i="2" s="1"/>
  <c r="K5" i="2"/>
  <c r="M5" i="2" s="1"/>
  <c r="K4" i="2"/>
  <c r="K3" i="2"/>
  <c r="M3" i="2" s="1"/>
  <c r="H18" i="1"/>
  <c r="H17" i="1"/>
  <c r="H16" i="1"/>
  <c r="H15" i="1"/>
  <c r="H14" i="1"/>
  <c r="E14" i="1"/>
  <c r="B14" i="1"/>
  <c r="H13" i="1"/>
  <c r="E13" i="1"/>
  <c r="B13" i="1"/>
  <c r="H12" i="1"/>
  <c r="E12" i="1"/>
  <c r="B12" i="1"/>
  <c r="H11" i="1"/>
  <c r="E11" i="1"/>
  <c r="B11" i="1"/>
  <c r="M6" i="1"/>
  <c r="J6" i="1"/>
  <c r="D6" i="1"/>
  <c r="A6" i="1"/>
  <c r="G6" i="1" l="1"/>
</calcChain>
</file>

<file path=xl/sharedStrings.xml><?xml version="1.0" encoding="utf-8"?>
<sst xmlns="http://schemas.openxmlformats.org/spreadsheetml/2006/main" count="1071" uniqueCount="310">
  <si>
    <t>DOCUMENT CONTROL &amp; CORRESPONDENCE COMMAND CENTER</t>
  </si>
  <si>
    <t>Executive Document Control | Correspondence • Aging • Actions • Approvals • Portfolio Demonstration</t>
  </si>
  <si>
    <t>TOTAL CORRESPONDENCE</t>
  </si>
  <si>
    <t>ACTIVE ITEMS</t>
  </si>
  <si>
    <t>OVERDUE &gt;14 DAYS</t>
  </si>
  <si>
    <t>CLOSED</t>
  </si>
  <si>
    <t>DOCUMENTS</t>
  </si>
  <si>
    <t>1. CORRESPONDENCE STATUS &amp; PRIORITY</t>
  </si>
  <si>
    <t>2. ACTIVE EXPOSURE BY DEPARTMENT</t>
  </si>
  <si>
    <t>STATUS</t>
  </si>
  <si>
    <t>COUNT</t>
  </si>
  <si>
    <t>PRIORITY</t>
  </si>
  <si>
    <t>DEPARTMENT</t>
  </si>
  <si>
    <t>ACTIVE</t>
  </si>
  <si>
    <t>Open</t>
  </si>
  <si>
    <t>Critical</t>
  </si>
  <si>
    <t>Management</t>
  </si>
  <si>
    <t>Under Review</t>
  </si>
  <si>
    <t>High</t>
  </si>
  <si>
    <t>Engineering</t>
  </si>
  <si>
    <t>Action Required</t>
  </si>
  <si>
    <t>Medium</t>
  </si>
  <si>
    <t>Contracts</t>
  </si>
  <si>
    <t>Closed</t>
  </si>
  <si>
    <t>Low</t>
  </si>
  <si>
    <t>Procurement</t>
  </si>
  <si>
    <t>Construction</t>
  </si>
  <si>
    <t>Document Control</t>
  </si>
  <si>
    <t>Finance</t>
  </si>
  <si>
    <t>HSE</t>
  </si>
  <si>
    <t>3. MANAGEMENT CONTROL NOTES</t>
  </si>
  <si>
    <t>• Prioritize overdue and critical correspondence during management follow-up.</t>
  </si>
  <si>
    <t>• Correspondence Register is the operational source; dashboard KPIs update automatically.</t>
  </si>
  <si>
    <t>• Days Open and Aging Band recalculate dynamically using TODAY().</t>
  </si>
  <si>
    <t>• Document Register provides revision, approval-status and next-action visibility.</t>
  </si>
  <si>
    <t>• Hyperlink fields demonstrate direct document access; sample links/data are fictional for portfolio use.</t>
  </si>
  <si>
    <t>Ref No.</t>
  </si>
  <si>
    <t>Direction</t>
  </si>
  <si>
    <t>Date</t>
  </si>
  <si>
    <t>Type</t>
  </si>
  <si>
    <t>Subject</t>
  </si>
  <si>
    <t>From / To</t>
  </si>
  <si>
    <t>Department</t>
  </si>
  <si>
    <t>Responsible</t>
  </si>
  <si>
    <t>Priority</t>
  </si>
  <si>
    <t>Response Due</t>
  </si>
  <si>
    <t>Days Open</t>
  </si>
  <si>
    <t>Status</t>
  </si>
  <si>
    <t>Aging Band</t>
  </si>
  <si>
    <t>Document Link</t>
  </si>
  <si>
    <t>Remarks</t>
  </si>
  <si>
    <t>COR-2026-0001</t>
  </si>
  <si>
    <t>Incoming</t>
  </si>
  <si>
    <t>Letter</t>
  </si>
  <si>
    <t>Procurement technical clarification</t>
  </si>
  <si>
    <t>External Stakeholder</t>
  </si>
  <si>
    <t>HSE Lead</t>
  </si>
  <si>
    <t>documents/COR-2026-0001.pdf</t>
  </si>
  <si>
    <t>Synthetic portfolio sample</t>
  </si>
  <si>
    <t>COR-2026-0002</t>
  </si>
  <si>
    <t>Outgoing</t>
  </si>
  <si>
    <t>Memo</t>
  </si>
  <si>
    <t>Material approval package</t>
  </si>
  <si>
    <t>Project Team</t>
  </si>
  <si>
    <t>Project Controls</t>
  </si>
  <si>
    <t>documents/COR-2026-0002.pdf</t>
  </si>
  <si>
    <t>COR-2026-0003</t>
  </si>
  <si>
    <t>Management instruction and action follow-up</t>
  </si>
  <si>
    <t>documents/COR-2026-0003.pdf</t>
  </si>
  <si>
    <t>COR-2026-0004</t>
  </si>
  <si>
    <t>Method statement review</t>
  </si>
  <si>
    <t>Contracts Team</t>
  </si>
  <si>
    <t>documents/COR-2026-0004.pdf</t>
  </si>
  <si>
    <t>COR-2026-0005</t>
  </si>
  <si>
    <t>Submittal</t>
  </si>
  <si>
    <t>Technical drawing transmittal</t>
  </si>
  <si>
    <t>Document Controller</t>
  </si>
  <si>
    <t>documents/COR-2026-0005.pdf</t>
  </si>
  <si>
    <t>COR-2026-0006</t>
  </si>
  <si>
    <t>Transmittal</t>
  </si>
  <si>
    <t>Site access coordination</t>
  </si>
  <si>
    <t>Construction Manager</t>
  </si>
  <si>
    <t>documents/COR-2026-0006.pdf</t>
  </si>
  <si>
    <t>COR-2026-0007</t>
  </si>
  <si>
    <t>RFI</t>
  </si>
  <si>
    <t>documents/COR-2026-0007.pdf</t>
  </si>
  <si>
    <t>COR-2026-0008</t>
  </si>
  <si>
    <t>Finance Team</t>
  </si>
  <si>
    <t>documents/COR-2026-0008.pdf</t>
  </si>
  <si>
    <t>COR-2026-0009</t>
  </si>
  <si>
    <t>documents/COR-2026-0009.pdf</t>
  </si>
  <si>
    <t>COR-2026-0010</t>
  </si>
  <si>
    <t>Payment documentation follow-up</t>
  </si>
  <si>
    <t>documents/COR-2026-0010.pdf</t>
  </si>
  <si>
    <t>COR-2026-0011</t>
  </si>
  <si>
    <t>documents/COR-2026-0011.pdf</t>
  </si>
  <si>
    <t>COR-2026-0012</t>
  </si>
  <si>
    <t>Design clarification and response required</t>
  </si>
  <si>
    <t>documents/COR-2026-0012.pdf</t>
  </si>
  <si>
    <t>COR-2026-0013</t>
  </si>
  <si>
    <t>Variation supporting documents</t>
  </si>
  <si>
    <t>documents/COR-2026-0013.pdf</t>
  </si>
  <si>
    <t>COR-2026-0014</t>
  </si>
  <si>
    <t>Procurement Lead</t>
  </si>
  <si>
    <t>documents/COR-2026-0014.pdf</t>
  </si>
  <si>
    <t>COR-2026-0015</t>
  </si>
  <si>
    <t>documents/COR-2026-0015.pdf</t>
  </si>
  <si>
    <t>COR-2026-0016</t>
  </si>
  <si>
    <t>documents/COR-2026-0016.pdf</t>
  </si>
  <si>
    <t>COR-2026-0017</t>
  </si>
  <si>
    <t>Engineering Lead</t>
  </si>
  <si>
    <t>documents/COR-2026-0017.pdf</t>
  </si>
  <si>
    <t>COR-2026-0018</t>
  </si>
  <si>
    <t>Commercial submission for review</t>
  </si>
  <si>
    <t>documents/COR-2026-0018.pdf</t>
  </si>
  <si>
    <t>COR-2026-0019</t>
  </si>
  <si>
    <t>Interface coordination response</t>
  </si>
  <si>
    <t>documents/COR-2026-0019.pdf</t>
  </si>
  <si>
    <t>COR-2026-0020</t>
  </si>
  <si>
    <t>documents/COR-2026-0020.pdf</t>
  </si>
  <si>
    <t>COR-2026-0021</t>
  </si>
  <si>
    <t>documents/COR-2026-0021.pdf</t>
  </si>
  <si>
    <t>COR-2026-0022</t>
  </si>
  <si>
    <t>documents/COR-2026-0022.pdf</t>
  </si>
  <si>
    <t>COR-2026-0023</t>
  </si>
  <si>
    <t>documents/COR-2026-0023.pdf</t>
  </si>
  <si>
    <t>COR-2026-0024</t>
  </si>
  <si>
    <t>Document revision submission</t>
  </si>
  <si>
    <t>documents/COR-2026-0024.pdf</t>
  </si>
  <si>
    <t>COR-2026-0025</t>
  </si>
  <si>
    <t>documents/COR-2026-0025.pdf</t>
  </si>
  <si>
    <t>COR-2026-0026</t>
  </si>
  <si>
    <t>documents/COR-2026-0026.pdf</t>
  </si>
  <si>
    <t>COR-2026-0027</t>
  </si>
  <si>
    <t>documents/COR-2026-0027.pdf</t>
  </si>
  <si>
    <t>COR-2026-0028</t>
  </si>
  <si>
    <t>documents/COR-2026-0028.pdf</t>
  </si>
  <si>
    <t>COR-2026-0029</t>
  </si>
  <si>
    <t>documents/COR-2026-0029.pdf</t>
  </si>
  <si>
    <t>COR-2026-0030</t>
  </si>
  <si>
    <t>documents/COR-2026-0030.pdf</t>
  </si>
  <si>
    <t>COR-2026-0031</t>
  </si>
  <si>
    <t>documents/COR-2026-0031.pdf</t>
  </si>
  <si>
    <t>COR-2026-0032</t>
  </si>
  <si>
    <t>documents/COR-2026-0032.pdf</t>
  </si>
  <si>
    <t>COR-2026-0033</t>
  </si>
  <si>
    <t>documents/COR-2026-0033.pdf</t>
  </si>
  <si>
    <t>COR-2026-0034</t>
  </si>
  <si>
    <t>documents/COR-2026-0034.pdf</t>
  </si>
  <si>
    <t>COR-2026-0035</t>
  </si>
  <si>
    <t>documents/COR-2026-0035.pdf</t>
  </si>
  <si>
    <t>COR-2026-0036</t>
  </si>
  <si>
    <t>documents/COR-2026-0036.pdf</t>
  </si>
  <si>
    <t>COR-2026-0037</t>
  </si>
  <si>
    <t>documents/COR-2026-0037.pdf</t>
  </si>
  <si>
    <t>COR-2026-0038</t>
  </si>
  <si>
    <t>documents/COR-2026-0038.pdf</t>
  </si>
  <si>
    <t>COR-2026-0039</t>
  </si>
  <si>
    <t>documents/COR-2026-0039.pdf</t>
  </si>
  <si>
    <t>COR-2026-0040</t>
  </si>
  <si>
    <t>documents/COR-2026-0040.pdf</t>
  </si>
  <si>
    <t>COR-2026-0041</t>
  </si>
  <si>
    <t>documents/COR-2026-0041.pdf</t>
  </si>
  <si>
    <t>COR-2026-0042</t>
  </si>
  <si>
    <t>documents/COR-2026-0042.pdf</t>
  </si>
  <si>
    <t>COR-2026-0043</t>
  </si>
  <si>
    <t>documents/COR-2026-0043.pdf</t>
  </si>
  <si>
    <t>COR-2026-0044</t>
  </si>
  <si>
    <t>documents/COR-2026-0044.pdf</t>
  </si>
  <si>
    <t>COR-2026-0045</t>
  </si>
  <si>
    <t>documents/COR-2026-0045.pdf</t>
  </si>
  <si>
    <t>COR-2026-0046</t>
  </si>
  <si>
    <t>documents/COR-2026-0046.pdf</t>
  </si>
  <si>
    <t>COR-2026-0047</t>
  </si>
  <si>
    <t>documents/COR-2026-0047.pdf</t>
  </si>
  <si>
    <t>COR-2026-0048</t>
  </si>
  <si>
    <t>documents/COR-2026-0048.pdf</t>
  </si>
  <si>
    <t>COR-2026-0049</t>
  </si>
  <si>
    <t>documents/COR-2026-0049.pdf</t>
  </si>
  <si>
    <t>COR-2026-0050</t>
  </si>
  <si>
    <t>documents/COR-2026-0050.pdf</t>
  </si>
  <si>
    <t>COR-2026-0051</t>
  </si>
  <si>
    <t>documents/COR-2026-0051.pdf</t>
  </si>
  <si>
    <t>COR-2026-0052</t>
  </si>
  <si>
    <t>documents/COR-2026-0052.pdf</t>
  </si>
  <si>
    <t>COR-2026-0053</t>
  </si>
  <si>
    <t>documents/COR-2026-0053.pdf</t>
  </si>
  <si>
    <t>COR-2026-0054</t>
  </si>
  <si>
    <t>documents/COR-2026-0054.pdf</t>
  </si>
  <si>
    <t>COR-2026-0055</t>
  </si>
  <si>
    <t>documents/COR-2026-0055.pdf</t>
  </si>
  <si>
    <t>COR-2026-0056</t>
  </si>
  <si>
    <t>documents/COR-2026-0056.pdf</t>
  </si>
  <si>
    <t>COR-2026-0057</t>
  </si>
  <si>
    <t>documents/COR-2026-0057.pdf</t>
  </si>
  <si>
    <t>COR-2026-0058</t>
  </si>
  <si>
    <t>documents/COR-2026-0058.pdf</t>
  </si>
  <si>
    <t>COR-2026-0059</t>
  </si>
  <si>
    <t>documents/COR-2026-0059.pdf</t>
  </si>
  <si>
    <t>COR-2026-0060</t>
  </si>
  <si>
    <t>documents/COR-2026-0060.pdf</t>
  </si>
  <si>
    <t>Document No.</t>
  </si>
  <si>
    <t>Title</t>
  </si>
  <si>
    <t>Discipline</t>
  </si>
  <si>
    <t>Revision</t>
  </si>
  <si>
    <t>Document Type</t>
  </si>
  <si>
    <t>Submitted Date</t>
  </si>
  <si>
    <t>Current Status</t>
  </si>
  <si>
    <t>Next Action Due</t>
  </si>
  <si>
    <t>Days to Due</t>
  </si>
  <si>
    <t>Hyperlink</t>
  </si>
  <si>
    <t>DOC-0001</t>
  </si>
  <si>
    <t>Civil</t>
  </si>
  <si>
    <t>B</t>
  </si>
  <si>
    <t>Procedure</t>
  </si>
  <si>
    <t>For Information</t>
  </si>
  <si>
    <t>documents/DOC-0001.pdf</t>
  </si>
  <si>
    <t>DOC-0002</t>
  </si>
  <si>
    <t>01</t>
  </si>
  <si>
    <t>Report</t>
  </si>
  <si>
    <t>Approved</t>
  </si>
  <si>
    <t>documents/DOC-0002.pdf</t>
  </si>
  <si>
    <t>DOC-0003</t>
  </si>
  <si>
    <t>Commercial</t>
  </si>
  <si>
    <t>02</t>
  </si>
  <si>
    <t>Method Statement</t>
  </si>
  <si>
    <t>documents/DOC-0003.pdf</t>
  </si>
  <si>
    <t>DOC-0004</t>
  </si>
  <si>
    <t>For Review</t>
  </si>
  <si>
    <t>documents/DOC-0004.pdf</t>
  </si>
  <si>
    <t>DOC-0005</t>
  </si>
  <si>
    <t>A</t>
  </si>
  <si>
    <t>documents/DOC-0005.pdf</t>
  </si>
  <si>
    <t>DOC-0006</t>
  </si>
  <si>
    <t>Architecture</t>
  </si>
  <si>
    <t>Technical Submittal</t>
  </si>
  <si>
    <t>documents/DOC-0006.pdf</t>
  </si>
  <si>
    <t>DOC-0007</t>
  </si>
  <si>
    <t>00</t>
  </si>
  <si>
    <t>Revise &amp; Resubmit</t>
  </si>
  <si>
    <t>documents/DOC-0007.pdf</t>
  </si>
  <si>
    <t>DOC-0008</t>
  </si>
  <si>
    <t>Structural</t>
  </si>
  <si>
    <t>Drawing</t>
  </si>
  <si>
    <t>documents/DOC-0008.pdf</t>
  </si>
  <si>
    <t>DOC-0009</t>
  </si>
  <si>
    <t>documents/DOC-0009.pdf</t>
  </si>
  <si>
    <t>DOC-0010</t>
  </si>
  <si>
    <t>MEP</t>
  </si>
  <si>
    <t>documents/DOC-0010.pdf</t>
  </si>
  <si>
    <t>DOC-0011</t>
  </si>
  <si>
    <t>documents/DOC-0011.pdf</t>
  </si>
  <si>
    <t>DOC-0012</t>
  </si>
  <si>
    <t>documents/DOC-0012.pdf</t>
  </si>
  <si>
    <t>DOC-0013</t>
  </si>
  <si>
    <t>documents/DOC-0013.pdf</t>
  </si>
  <si>
    <t>DOC-0014</t>
  </si>
  <si>
    <t>documents/DOC-0014.pdf</t>
  </si>
  <si>
    <t>DOC-0015</t>
  </si>
  <si>
    <t>documents/DOC-0015.pdf</t>
  </si>
  <si>
    <t>DOC-0016</t>
  </si>
  <si>
    <t>documents/DOC-0016.pdf</t>
  </si>
  <si>
    <t>DOC-0017</t>
  </si>
  <si>
    <t>documents/DOC-0017.pdf</t>
  </si>
  <si>
    <t>DOC-0018</t>
  </si>
  <si>
    <t>documents/DOC-0018.pdf</t>
  </si>
  <si>
    <t>DOC-0019</t>
  </si>
  <si>
    <t>documents/DOC-0019.pdf</t>
  </si>
  <si>
    <t>DOC-0020</t>
  </si>
  <si>
    <t>documents/DOC-0020.pdf</t>
  </si>
  <si>
    <t>DOC-0021</t>
  </si>
  <si>
    <t>documents/DOC-0021.pdf</t>
  </si>
  <si>
    <t>DOC-0022</t>
  </si>
  <si>
    <t>documents/DOC-0022.pdf</t>
  </si>
  <si>
    <t>DOC-0023</t>
  </si>
  <si>
    <t>documents/DOC-0023.pdf</t>
  </si>
  <si>
    <t>DOC-0024</t>
  </si>
  <si>
    <t>documents/DOC-0024.pdf</t>
  </si>
  <si>
    <t>DOC-0025</t>
  </si>
  <si>
    <t>documents/DOC-0025.pdf</t>
  </si>
  <si>
    <t>DOC-0026</t>
  </si>
  <si>
    <t>documents/DOC-0026.pdf</t>
  </si>
  <si>
    <t>DOC-0027</t>
  </si>
  <si>
    <t>documents/DOC-0027.pdf</t>
  </si>
  <si>
    <t>DOC-0028</t>
  </si>
  <si>
    <t>documents/DOC-0028.pdf</t>
  </si>
  <si>
    <t>DOC-0029</t>
  </si>
  <si>
    <t>documents/DOC-0029.pdf</t>
  </si>
  <si>
    <t>DOC-0030</t>
  </si>
  <si>
    <t>documents/DOC-0030.pdf</t>
  </si>
  <si>
    <t>DOC-0031</t>
  </si>
  <si>
    <t>documents/DOC-0031.pdf</t>
  </si>
  <si>
    <t>DOC-0032</t>
  </si>
  <si>
    <t>documents/DOC-0032.pdf</t>
  </si>
  <si>
    <t>DOC-0033</t>
  </si>
  <si>
    <t>documents/DOC-0033.pdf</t>
  </si>
  <si>
    <t>DOC-0034</t>
  </si>
  <si>
    <t>documents/DOC-0034.pdf</t>
  </si>
  <si>
    <t>DOC-0035</t>
  </si>
  <si>
    <t>documents/DOC-0035.pdf</t>
  </si>
  <si>
    <t>DOC-0036</t>
  </si>
  <si>
    <t>documents/DOC-0036.pdf</t>
  </si>
  <si>
    <t>DOC-0037</t>
  </si>
  <si>
    <t>documents/DOC-0037.pdf</t>
  </si>
  <si>
    <t>DOC-0038</t>
  </si>
  <si>
    <t>documents/DOC-0038.pdf</t>
  </si>
  <si>
    <t>DOC-0039</t>
  </si>
  <si>
    <t>documents/DOC-0039.pdf</t>
  </si>
  <si>
    <t>DOC-0040</t>
  </si>
  <si>
    <t>documents/DOC-0040.pdf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</si>
</sst>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22"/>
      <color rgb="FFFFFFFF"/>
      <name val="Calibri"/>
    </font>
    <font>
      <i/>
      <sz val="11"/>
      <color rgb="FFFFFFFF"/>
      <name val="Calibri"/>
    </font>
    <font>
      <b/>
      <sz val="10"/>
      <color rgb="FF1F1F1F"/>
      <name val="Calibri"/>
    </font>
    <font>
      <b/>
      <sz val="22"/>
      <color rgb="FFD6A928"/>
      <name val="Calibri"/>
    </font>
    <font>
      <b/>
      <sz val="22"/>
      <color rgb="FF2F5597"/>
      <name val="Calibri"/>
    </font>
    <font>
      <b/>
      <sz val="22"/>
      <color rgb="FFC00000"/>
      <name val="Calibri"/>
    </font>
    <font>
      <b/>
      <sz val="22"/>
      <color rgb="FF548235"/>
      <name val="Calibri"/>
    </font>
    <font>
      <b/>
      <sz val="22"/>
      <color rgb="FF17365D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559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1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1"/>
    <xf numFmtId="0" fontId="0" fillId="6" borderId="0" xfId="0" applyFill="1" applyAlignment="1">
      <alignment wrapText="1"/>
    </xf>
    <xf numFmtId="0" fontId="0" fillId="0" borderId="0" xfId="0"/>
    <xf numFmtId="0" fontId="11" fillId="2" borderId="0" xfId="0" applyFont="1" applyFill="1"/>
    <xf numFmtId="0" fontId="5" fillId="4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3" borderId="0" xfId="0" applyFont="1" applyFill="1"/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Correspondence Status Mix</a:t>
            </a:r>
          </a:p>
        </c:rich>
      </c:tx>
      <c:layout>
        <c:manualLayout>
          <c:xMode val="edge"/>
          <c:yMode val="edge"/>
          <c:x val="0.3559473323096024"/>
          <c:y val="9.7124317214138094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9308449369186192"/>
          <c:y val="0.11192737940108151"/>
          <c:w val="0.43424972465576062"/>
          <c:h val="0.88807262059891834"/>
        </c:manualLayout>
      </c:layout>
      <c:doughnutChart>
        <c:varyColors val="1"/>
        <c:ser>
          <c:idx val="0"/>
          <c:order val="0"/>
          <c:tx>
            <c:strRef>
              <c:f>'Executive Dashboard'!$B$10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Dashboard'!$A$11:$A$14</c:f>
              <c:strCache>
                <c:ptCount val="4"/>
                <c:pt idx="0">
                  <c:v>Open</c:v>
                </c:pt>
                <c:pt idx="1">
                  <c:v>Under Review</c:v>
                </c:pt>
                <c:pt idx="2">
                  <c:v>Action Required</c:v>
                </c:pt>
                <c:pt idx="3">
                  <c:v>Closed</c:v>
                </c:pt>
              </c:strCache>
            </c:strRef>
          </c:cat>
          <c:val>
            <c:numRef>
              <c:f>'Executive Dashboard'!$B$11:$B$14</c:f>
              <c:numCache>
                <c:formatCode>General</c:formatCode>
                <c:ptCount val="4"/>
                <c:pt idx="0">
                  <c:v>17</c:v>
                </c:pt>
                <c:pt idx="1">
                  <c:v>14</c:v>
                </c:pt>
                <c:pt idx="2">
                  <c:v>9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6BB-A2F2-77BD962F6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Active Items by Department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348333333333334"/>
          <c:y val="8.2434344614505842E-2"/>
          <c:w val="0.73429188034188031"/>
          <c:h val="0.84107229556931629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'Executive Dashboard'!$H$10</c:f>
              <c:strCache>
                <c:ptCount val="1"/>
                <c:pt idx="0">
                  <c:v>ACTIVE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25400" cap="flat" cmpd="sng" algn="ctr">
                <a:solidFill>
                  <a:schemeClr val="accent1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01-4B84-8201-886CA59AD8E2}"/>
              </c:ext>
            </c:extLst>
          </c:dPt>
          <c:dPt>
            <c:idx val="1"/>
            <c:invertIfNegative val="1"/>
            <c:bubble3D val="0"/>
            <c:spPr>
              <a:noFill/>
              <a:ln w="25400" cap="flat" cmpd="sng" algn="ctr">
                <a:solidFill>
                  <a:schemeClr val="accent2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01-4B84-8201-886CA59AD8E2}"/>
              </c:ext>
            </c:extLst>
          </c:dPt>
          <c:dPt>
            <c:idx val="2"/>
            <c:invertIfNegative val="1"/>
            <c:bubble3D val="0"/>
            <c:spPr>
              <a:noFill/>
              <a:ln w="25400" cap="flat" cmpd="sng" algn="ctr">
                <a:solidFill>
                  <a:schemeClr val="accent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01-4B84-8201-886CA59AD8E2}"/>
              </c:ext>
            </c:extLst>
          </c:dPt>
          <c:dPt>
            <c:idx val="3"/>
            <c:invertIfNegative val="1"/>
            <c:bubble3D val="0"/>
            <c:spPr>
              <a:noFill/>
              <a:ln w="25400" cap="flat" cmpd="sng" algn="ctr">
                <a:solidFill>
                  <a:schemeClr val="accent4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01-4B84-8201-886CA59AD8E2}"/>
              </c:ext>
            </c:extLst>
          </c:dPt>
          <c:dPt>
            <c:idx val="4"/>
            <c:invertIfNegative val="1"/>
            <c:bubble3D val="0"/>
            <c:spPr>
              <a:noFill/>
              <a:ln w="25400" cap="flat" cmpd="sng" algn="ctr">
                <a:solidFill>
                  <a:schemeClr val="accent5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01-4B84-8201-886CA59AD8E2}"/>
              </c:ext>
            </c:extLst>
          </c:dPt>
          <c:dPt>
            <c:idx val="5"/>
            <c:invertIfNegative val="1"/>
            <c:bubble3D val="0"/>
            <c:spPr>
              <a:noFill/>
              <a:ln w="25400" cap="flat" cmpd="sng" algn="ctr">
                <a:solidFill>
                  <a:schemeClr val="accent6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01-4B84-8201-886CA59AD8E2}"/>
              </c:ext>
            </c:extLst>
          </c:dPt>
          <c:dPt>
            <c:idx val="6"/>
            <c:invertIfNegative val="1"/>
            <c:bubble3D val="0"/>
            <c:spPr>
              <a:noFill/>
              <a:ln w="25400" cap="flat" cmpd="sng" algn="ctr">
                <a:solidFill>
                  <a:schemeClr val="accent1">
                    <a:lumMod val="60000"/>
                  </a:schemeClr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2C01-4B84-8201-886CA59AD8E2}"/>
              </c:ext>
            </c:extLst>
          </c:dPt>
          <c:dPt>
            <c:idx val="7"/>
            <c:invertIfNegative val="1"/>
            <c:bubble3D val="0"/>
            <c:spPr>
              <a:noFill/>
              <a:ln w="25400" cap="flat" cmpd="sng" algn="ctr">
                <a:solidFill>
                  <a:schemeClr val="accent2">
                    <a:lumMod val="60000"/>
                  </a:schemeClr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2C01-4B84-8201-886CA59AD8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Dashboard'!$G$11:$G$18</c:f>
              <c:strCache>
                <c:ptCount val="8"/>
                <c:pt idx="0">
                  <c:v>Management</c:v>
                </c:pt>
                <c:pt idx="1">
                  <c:v>Engineering</c:v>
                </c:pt>
                <c:pt idx="2">
                  <c:v>Contracts</c:v>
                </c:pt>
                <c:pt idx="3">
                  <c:v>Procurement</c:v>
                </c:pt>
                <c:pt idx="4">
                  <c:v>Construction</c:v>
                </c:pt>
                <c:pt idx="5">
                  <c:v>Document Control</c:v>
                </c:pt>
                <c:pt idx="6">
                  <c:v>Finance</c:v>
                </c:pt>
                <c:pt idx="7">
                  <c:v>HSE</c:v>
                </c:pt>
              </c:strCache>
            </c:strRef>
          </c:cat>
          <c:val>
            <c:numRef>
              <c:f>'Executive Dashboard'!$H$11:$H$18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10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F-4BA6-A815-C0293E934A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169544</xdr:colOff>
      <xdr:row>14</xdr:row>
      <xdr:rowOff>95250</xdr:rowOff>
    </xdr:from>
    <xdr:ext cx="4872991" cy="26132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363855</xdr:colOff>
      <xdr:row>9</xdr:row>
      <xdr:rowOff>200025</xdr:rowOff>
    </xdr:from>
    <xdr:ext cx="4680000" cy="3851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cumentTable" displayName="DocumentTable" ref="A1:K41">
  <autoFilter ref="A1:K41" xr:uid="{00000000-0009-0000-0100-000002000000}"/>
  <tableColumns count="11">
    <tableColumn id="1" xr3:uid="{00000000-0010-0000-0100-000001000000}" name="Document No."/>
    <tableColumn id="2" xr3:uid="{00000000-0010-0000-0100-000002000000}" name="Title"/>
    <tableColumn id="3" xr3:uid="{00000000-0010-0000-0100-000003000000}" name="Discipline"/>
    <tableColumn id="4" xr3:uid="{00000000-0010-0000-0100-000004000000}" name="Revision"/>
    <tableColumn id="5" xr3:uid="{00000000-0010-0000-0100-000005000000}" name="Document Type"/>
    <tableColumn id="6" xr3:uid="{00000000-0010-0000-0100-000006000000}" name="Submitted Date"/>
    <tableColumn id="7" xr3:uid="{00000000-0010-0000-0100-000007000000}" name="Current Status"/>
    <tableColumn id="8" xr3:uid="{00000000-0010-0000-0100-000008000000}" name="Responsible"/>
    <tableColumn id="9" xr3:uid="{00000000-0010-0000-0100-000009000000}" name="Next Action Due"/>
    <tableColumn id="10" xr3:uid="{00000000-0010-0000-0100-00000A000000}" name="Days to Due"/>
    <tableColumn id="11" xr3:uid="{00000000-0010-0000-0100-00000B000000}" nam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xample.com/COR-2026-0013" TargetMode="External"/><Relationship Id="rId18" Type="http://schemas.openxmlformats.org/officeDocument/2006/relationships/hyperlink" Target="https://example.com/COR-2026-0018" TargetMode="External"/><Relationship Id="rId26" Type="http://schemas.openxmlformats.org/officeDocument/2006/relationships/hyperlink" Target="https://example.com/COR-2026-0026" TargetMode="External"/><Relationship Id="rId39" Type="http://schemas.openxmlformats.org/officeDocument/2006/relationships/hyperlink" Target="https://example.com/COR-2026-0039" TargetMode="External"/><Relationship Id="rId21" Type="http://schemas.openxmlformats.org/officeDocument/2006/relationships/hyperlink" Target="https://example.com/COR-2026-0021" TargetMode="External"/><Relationship Id="rId34" Type="http://schemas.openxmlformats.org/officeDocument/2006/relationships/hyperlink" Target="https://example.com/COR-2026-0034" TargetMode="External"/><Relationship Id="rId42" Type="http://schemas.openxmlformats.org/officeDocument/2006/relationships/hyperlink" Target="https://example.com/COR-2026-0042" TargetMode="External"/><Relationship Id="rId47" Type="http://schemas.openxmlformats.org/officeDocument/2006/relationships/hyperlink" Target="https://example.com/COR-2026-0047" TargetMode="External"/><Relationship Id="rId50" Type="http://schemas.openxmlformats.org/officeDocument/2006/relationships/hyperlink" Target="https://example.com/COR-2026-0050" TargetMode="External"/><Relationship Id="rId55" Type="http://schemas.openxmlformats.org/officeDocument/2006/relationships/hyperlink" Target="https://example.com/COR-2026-0055" TargetMode="External"/><Relationship Id="rId7" Type="http://schemas.openxmlformats.org/officeDocument/2006/relationships/hyperlink" Target="https://example.com/COR-2026-0007" TargetMode="External"/><Relationship Id="rId2" Type="http://schemas.openxmlformats.org/officeDocument/2006/relationships/hyperlink" Target="https://example.com/COR-2026-0002" TargetMode="External"/><Relationship Id="rId16" Type="http://schemas.openxmlformats.org/officeDocument/2006/relationships/hyperlink" Target="https://example.com/COR-2026-0016" TargetMode="External"/><Relationship Id="rId29" Type="http://schemas.openxmlformats.org/officeDocument/2006/relationships/hyperlink" Target="https://example.com/COR-2026-0029" TargetMode="External"/><Relationship Id="rId11" Type="http://schemas.openxmlformats.org/officeDocument/2006/relationships/hyperlink" Target="https://example.com/COR-2026-0011" TargetMode="External"/><Relationship Id="rId24" Type="http://schemas.openxmlformats.org/officeDocument/2006/relationships/hyperlink" Target="https://example.com/COR-2026-0024" TargetMode="External"/><Relationship Id="rId32" Type="http://schemas.openxmlformats.org/officeDocument/2006/relationships/hyperlink" Target="https://example.com/COR-2026-0032" TargetMode="External"/><Relationship Id="rId37" Type="http://schemas.openxmlformats.org/officeDocument/2006/relationships/hyperlink" Target="https://example.com/COR-2026-0037" TargetMode="External"/><Relationship Id="rId40" Type="http://schemas.openxmlformats.org/officeDocument/2006/relationships/hyperlink" Target="https://example.com/COR-2026-0040" TargetMode="External"/><Relationship Id="rId45" Type="http://schemas.openxmlformats.org/officeDocument/2006/relationships/hyperlink" Target="https://example.com/COR-2026-0045" TargetMode="External"/><Relationship Id="rId53" Type="http://schemas.openxmlformats.org/officeDocument/2006/relationships/hyperlink" Target="https://example.com/COR-2026-0053" TargetMode="External"/><Relationship Id="rId58" Type="http://schemas.openxmlformats.org/officeDocument/2006/relationships/hyperlink" Target="https://example.com/COR-2026-0058" TargetMode="External"/><Relationship Id="rId5" Type="http://schemas.openxmlformats.org/officeDocument/2006/relationships/hyperlink" Target="https://example.com/COR-2026-0005" TargetMode="External"/><Relationship Id="rId19" Type="http://schemas.openxmlformats.org/officeDocument/2006/relationships/hyperlink" Target="https://example.com/COR-2026-0019" TargetMode="External"/><Relationship Id="rId4" Type="http://schemas.openxmlformats.org/officeDocument/2006/relationships/hyperlink" Target="https://example.com/COR-2026-0004" TargetMode="External"/><Relationship Id="rId9" Type="http://schemas.openxmlformats.org/officeDocument/2006/relationships/hyperlink" Target="https://example.com/COR-2026-0009" TargetMode="External"/><Relationship Id="rId14" Type="http://schemas.openxmlformats.org/officeDocument/2006/relationships/hyperlink" Target="https://example.com/COR-2026-0014" TargetMode="External"/><Relationship Id="rId22" Type="http://schemas.openxmlformats.org/officeDocument/2006/relationships/hyperlink" Target="https://example.com/COR-2026-0022" TargetMode="External"/><Relationship Id="rId27" Type="http://schemas.openxmlformats.org/officeDocument/2006/relationships/hyperlink" Target="https://example.com/COR-2026-0027" TargetMode="External"/><Relationship Id="rId30" Type="http://schemas.openxmlformats.org/officeDocument/2006/relationships/hyperlink" Target="https://example.com/COR-2026-0030" TargetMode="External"/><Relationship Id="rId35" Type="http://schemas.openxmlformats.org/officeDocument/2006/relationships/hyperlink" Target="https://example.com/COR-2026-0035" TargetMode="External"/><Relationship Id="rId43" Type="http://schemas.openxmlformats.org/officeDocument/2006/relationships/hyperlink" Target="https://example.com/COR-2026-0043" TargetMode="External"/><Relationship Id="rId48" Type="http://schemas.openxmlformats.org/officeDocument/2006/relationships/hyperlink" Target="https://example.com/COR-2026-0048" TargetMode="External"/><Relationship Id="rId56" Type="http://schemas.openxmlformats.org/officeDocument/2006/relationships/hyperlink" Target="https://example.com/COR-2026-0056" TargetMode="External"/><Relationship Id="rId8" Type="http://schemas.openxmlformats.org/officeDocument/2006/relationships/hyperlink" Target="https://example.com/COR-2026-0008" TargetMode="External"/><Relationship Id="rId51" Type="http://schemas.openxmlformats.org/officeDocument/2006/relationships/hyperlink" Target="https://example.com/COR-2026-0051" TargetMode="External"/><Relationship Id="rId3" Type="http://schemas.openxmlformats.org/officeDocument/2006/relationships/hyperlink" Target="https://example.com/COR-2026-0003" TargetMode="External"/><Relationship Id="rId12" Type="http://schemas.openxmlformats.org/officeDocument/2006/relationships/hyperlink" Target="https://example.com/COR-2026-0012" TargetMode="External"/><Relationship Id="rId17" Type="http://schemas.openxmlformats.org/officeDocument/2006/relationships/hyperlink" Target="https://example.com/COR-2026-0017" TargetMode="External"/><Relationship Id="rId25" Type="http://schemas.openxmlformats.org/officeDocument/2006/relationships/hyperlink" Target="https://example.com/COR-2026-0025" TargetMode="External"/><Relationship Id="rId33" Type="http://schemas.openxmlformats.org/officeDocument/2006/relationships/hyperlink" Target="https://example.com/COR-2026-0033" TargetMode="External"/><Relationship Id="rId38" Type="http://schemas.openxmlformats.org/officeDocument/2006/relationships/hyperlink" Target="https://example.com/COR-2026-0038" TargetMode="External"/><Relationship Id="rId46" Type="http://schemas.openxmlformats.org/officeDocument/2006/relationships/hyperlink" Target="https://example.com/COR-2026-0046" TargetMode="External"/><Relationship Id="rId59" Type="http://schemas.openxmlformats.org/officeDocument/2006/relationships/hyperlink" Target="https://example.com/COR-2026-0059" TargetMode="External"/><Relationship Id="rId20" Type="http://schemas.openxmlformats.org/officeDocument/2006/relationships/hyperlink" Target="https://example.com/COR-2026-0020" TargetMode="External"/><Relationship Id="rId41" Type="http://schemas.openxmlformats.org/officeDocument/2006/relationships/hyperlink" Target="https://example.com/COR-2026-0041" TargetMode="External"/><Relationship Id="rId54" Type="http://schemas.openxmlformats.org/officeDocument/2006/relationships/hyperlink" Target="https://example.com/COR-2026-0054" TargetMode="External"/><Relationship Id="rId1" Type="http://schemas.openxmlformats.org/officeDocument/2006/relationships/hyperlink" Target="https://example.com/COR-2026-0001" TargetMode="External"/><Relationship Id="rId6" Type="http://schemas.openxmlformats.org/officeDocument/2006/relationships/hyperlink" Target="https://example.com/COR-2026-0006" TargetMode="External"/><Relationship Id="rId15" Type="http://schemas.openxmlformats.org/officeDocument/2006/relationships/hyperlink" Target="https://example.com/COR-2026-0015" TargetMode="External"/><Relationship Id="rId23" Type="http://schemas.openxmlformats.org/officeDocument/2006/relationships/hyperlink" Target="https://example.com/COR-2026-0023" TargetMode="External"/><Relationship Id="rId28" Type="http://schemas.openxmlformats.org/officeDocument/2006/relationships/hyperlink" Target="https://example.com/COR-2026-0028" TargetMode="External"/><Relationship Id="rId36" Type="http://schemas.openxmlformats.org/officeDocument/2006/relationships/hyperlink" Target="https://example.com/COR-2026-0036" TargetMode="External"/><Relationship Id="rId49" Type="http://schemas.openxmlformats.org/officeDocument/2006/relationships/hyperlink" Target="https://example.com/COR-2026-0049" TargetMode="External"/><Relationship Id="rId57" Type="http://schemas.openxmlformats.org/officeDocument/2006/relationships/hyperlink" Target="https://example.com/COR-2026-0057" TargetMode="External"/><Relationship Id="rId10" Type="http://schemas.openxmlformats.org/officeDocument/2006/relationships/hyperlink" Target="https://example.com/COR-2026-0010" TargetMode="External"/><Relationship Id="rId31" Type="http://schemas.openxmlformats.org/officeDocument/2006/relationships/hyperlink" Target="https://example.com/COR-2026-0031" TargetMode="External"/><Relationship Id="rId44" Type="http://schemas.openxmlformats.org/officeDocument/2006/relationships/hyperlink" Target="https://example.com/COR-2026-0044" TargetMode="External"/><Relationship Id="rId52" Type="http://schemas.openxmlformats.org/officeDocument/2006/relationships/hyperlink" Target="https://example.com/COR-2026-0052" TargetMode="External"/><Relationship Id="rId60" Type="http://schemas.openxmlformats.org/officeDocument/2006/relationships/hyperlink" Target="https://example.com/COR-2026-0060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xample.com/DOC-0013.pdf" TargetMode="External"/><Relationship Id="rId18" Type="http://schemas.openxmlformats.org/officeDocument/2006/relationships/hyperlink" Target="https://example.com/DOC-0018.pdf" TargetMode="External"/><Relationship Id="rId26" Type="http://schemas.openxmlformats.org/officeDocument/2006/relationships/hyperlink" Target="https://example.com/DOC-0026.pdf" TargetMode="External"/><Relationship Id="rId39" Type="http://schemas.openxmlformats.org/officeDocument/2006/relationships/hyperlink" Target="https://example.com/DOC-0039.pdf" TargetMode="External"/><Relationship Id="rId21" Type="http://schemas.openxmlformats.org/officeDocument/2006/relationships/hyperlink" Target="https://example.com/DOC-0021.pdf" TargetMode="External"/><Relationship Id="rId34" Type="http://schemas.openxmlformats.org/officeDocument/2006/relationships/hyperlink" Target="https://example.com/DOC-0034.pdf" TargetMode="External"/><Relationship Id="rId7" Type="http://schemas.openxmlformats.org/officeDocument/2006/relationships/hyperlink" Target="https://example.com/DOC-0007.pdf" TargetMode="External"/><Relationship Id="rId2" Type="http://schemas.openxmlformats.org/officeDocument/2006/relationships/hyperlink" Target="https://example.com/DOC-0002.pdf" TargetMode="External"/><Relationship Id="rId16" Type="http://schemas.openxmlformats.org/officeDocument/2006/relationships/hyperlink" Target="https://example.com/DOC-0016.pdf" TargetMode="External"/><Relationship Id="rId20" Type="http://schemas.openxmlformats.org/officeDocument/2006/relationships/hyperlink" Target="https://example.com/DOC-0020.pdf" TargetMode="External"/><Relationship Id="rId29" Type="http://schemas.openxmlformats.org/officeDocument/2006/relationships/hyperlink" Target="https://example.com/DOC-0029.pdf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example.com/DOC-0001.pdf" TargetMode="External"/><Relationship Id="rId6" Type="http://schemas.openxmlformats.org/officeDocument/2006/relationships/hyperlink" Target="https://example.com/DOC-0006.pdf" TargetMode="External"/><Relationship Id="rId11" Type="http://schemas.openxmlformats.org/officeDocument/2006/relationships/hyperlink" Target="https://example.com/DOC-0011.pdf" TargetMode="External"/><Relationship Id="rId24" Type="http://schemas.openxmlformats.org/officeDocument/2006/relationships/hyperlink" Target="https://example.com/DOC-0024.pdf" TargetMode="External"/><Relationship Id="rId32" Type="http://schemas.openxmlformats.org/officeDocument/2006/relationships/hyperlink" Target="https://example.com/DOC-0032.pdf" TargetMode="External"/><Relationship Id="rId37" Type="http://schemas.openxmlformats.org/officeDocument/2006/relationships/hyperlink" Target="https://example.com/DOC-0037.pdf" TargetMode="External"/><Relationship Id="rId40" Type="http://schemas.openxmlformats.org/officeDocument/2006/relationships/hyperlink" Target="https://example.com/DOC-0040.pdf" TargetMode="External"/><Relationship Id="rId5" Type="http://schemas.openxmlformats.org/officeDocument/2006/relationships/hyperlink" Target="https://example.com/DOC-0005.pdf" TargetMode="External"/><Relationship Id="rId15" Type="http://schemas.openxmlformats.org/officeDocument/2006/relationships/hyperlink" Target="https://example.com/DOC-0015.pdf" TargetMode="External"/><Relationship Id="rId23" Type="http://schemas.openxmlformats.org/officeDocument/2006/relationships/hyperlink" Target="https://example.com/DOC-0023.pdf" TargetMode="External"/><Relationship Id="rId28" Type="http://schemas.openxmlformats.org/officeDocument/2006/relationships/hyperlink" Target="https://example.com/DOC-0028.pdf" TargetMode="External"/><Relationship Id="rId36" Type="http://schemas.openxmlformats.org/officeDocument/2006/relationships/hyperlink" Target="https://example.com/DOC-0036.pdf" TargetMode="External"/><Relationship Id="rId10" Type="http://schemas.openxmlformats.org/officeDocument/2006/relationships/hyperlink" Target="https://example.com/DOC-0010.pdf" TargetMode="External"/><Relationship Id="rId19" Type="http://schemas.openxmlformats.org/officeDocument/2006/relationships/hyperlink" Target="https://example.com/DOC-0019.pdf" TargetMode="External"/><Relationship Id="rId31" Type="http://schemas.openxmlformats.org/officeDocument/2006/relationships/hyperlink" Target="https://example.com/DOC-0031.pdf" TargetMode="External"/><Relationship Id="rId4" Type="http://schemas.openxmlformats.org/officeDocument/2006/relationships/hyperlink" Target="https://example.com/DOC-0004.pdf" TargetMode="External"/><Relationship Id="rId9" Type="http://schemas.openxmlformats.org/officeDocument/2006/relationships/hyperlink" Target="https://example.com/DOC-0009.pdf" TargetMode="External"/><Relationship Id="rId14" Type="http://schemas.openxmlformats.org/officeDocument/2006/relationships/hyperlink" Target="https://example.com/DOC-0014.pdf" TargetMode="External"/><Relationship Id="rId22" Type="http://schemas.openxmlformats.org/officeDocument/2006/relationships/hyperlink" Target="https://example.com/DOC-0022.pdf" TargetMode="External"/><Relationship Id="rId27" Type="http://schemas.openxmlformats.org/officeDocument/2006/relationships/hyperlink" Target="https://example.com/DOC-0027.pdf" TargetMode="External"/><Relationship Id="rId30" Type="http://schemas.openxmlformats.org/officeDocument/2006/relationships/hyperlink" Target="https://example.com/DOC-0030.pdf" TargetMode="External"/><Relationship Id="rId35" Type="http://schemas.openxmlformats.org/officeDocument/2006/relationships/hyperlink" Target="https://example.com/DOC-0035.pdf" TargetMode="External"/><Relationship Id="rId8" Type="http://schemas.openxmlformats.org/officeDocument/2006/relationships/hyperlink" Target="https://example.com/DOC-0008.pdf" TargetMode="External"/><Relationship Id="rId3" Type="http://schemas.openxmlformats.org/officeDocument/2006/relationships/hyperlink" Target="https://example.com/DOC-0003.pdf" TargetMode="External"/><Relationship Id="rId12" Type="http://schemas.openxmlformats.org/officeDocument/2006/relationships/hyperlink" Target="https://example.com/DOC-0012.pdf" TargetMode="External"/><Relationship Id="rId17" Type="http://schemas.openxmlformats.org/officeDocument/2006/relationships/hyperlink" Target="https://example.com/DOC-0017.pdf" TargetMode="External"/><Relationship Id="rId25" Type="http://schemas.openxmlformats.org/officeDocument/2006/relationships/hyperlink" Target="https://example.com/DOC-0025.pdf" TargetMode="External"/><Relationship Id="rId33" Type="http://schemas.openxmlformats.org/officeDocument/2006/relationships/hyperlink" Target="https://example.com/DOC-0033.pdf" TargetMode="External"/><Relationship Id="rId38" Type="http://schemas.openxmlformats.org/officeDocument/2006/relationships/hyperlink" Target="https://example.com/DOC-003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"/>
  <sheetViews>
    <sheetView showGridLines="0" workbookViewId="0">
      <pane ySplit="3" topLeftCell="A4" activePane="bottomLeft" state="frozen"/>
      <selection pane="bottomLeft" activeCell="Q13" sqref="Q13"/>
    </sheetView>
  </sheetViews>
  <sheetFormatPr defaultRowHeight="14.4" x14ac:dyDescent="0.3"/>
  <cols>
    <col min="1" max="14" width="13" customWidth="1"/>
  </cols>
  <sheetData>
    <row r="1" spans="1:14" ht="28.05" customHeight="1" x14ac:dyDescent="0.3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2.0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2.05" customHeight="1" x14ac:dyDescent="0.3">
      <c r="A3" s="16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22.05" customHeight="1" x14ac:dyDescent="0.3"/>
    <row r="5" spans="1:14" ht="22.05" customHeight="1" x14ac:dyDescent="0.3">
      <c r="A5" s="11" t="s">
        <v>2</v>
      </c>
      <c r="B5" s="9"/>
      <c r="C5" s="9"/>
      <c r="D5" s="11" t="s">
        <v>3</v>
      </c>
      <c r="E5" s="9"/>
      <c r="F5" s="9"/>
      <c r="G5" s="11" t="s">
        <v>4</v>
      </c>
      <c r="H5" s="9"/>
      <c r="I5" s="9"/>
      <c r="J5" s="11" t="s">
        <v>5</v>
      </c>
      <c r="K5" s="9"/>
      <c r="L5" s="9"/>
      <c r="M5" s="11" t="s">
        <v>6</v>
      </c>
      <c r="N5" s="9"/>
    </row>
    <row r="6" spans="1:14" ht="22.05" customHeight="1" x14ac:dyDescent="0.3">
      <c r="A6" s="15">
        <f>COUNTA('Correspondence Register'!A2:A61)</f>
        <v>60</v>
      </c>
      <c r="B6" s="9"/>
      <c r="C6" s="9"/>
      <c r="D6" s="14">
        <f>COUNTIF('Correspondence Register'!L2:L61,"Open")+COUNTIF('Correspondence Register'!L2:L61,"Under Review")+COUNTIF('Correspondence Register'!L2:L61,"Action Required")</f>
        <v>40</v>
      </c>
      <c r="E6" s="9"/>
      <c r="F6" s="9"/>
      <c r="G6" s="13">
        <f ca="1">COUNTIFS('Correspondence Register'!K2:K61,"&gt;14",'Correspondence Register'!L2:L61,"&lt;&gt;Closed")</f>
        <v>32</v>
      </c>
      <c r="H6" s="9"/>
      <c r="I6" s="9"/>
      <c r="J6" s="17">
        <f>COUNTIF('Correspondence Register'!L2:L61,"Closed")</f>
        <v>20</v>
      </c>
      <c r="K6" s="9"/>
      <c r="L6" s="9"/>
      <c r="M6" s="18">
        <f>COUNTA('Document Register'!A2:A41)</f>
        <v>40</v>
      </c>
      <c r="N6" s="9"/>
    </row>
    <row r="7" spans="1:14" ht="22.05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22.05" customHeight="1" x14ac:dyDescent="0.3"/>
    <row r="9" spans="1:14" ht="22.05" customHeight="1" x14ac:dyDescent="0.3">
      <c r="A9" s="10" t="s">
        <v>7</v>
      </c>
      <c r="B9" s="9"/>
      <c r="C9" s="9"/>
      <c r="D9" s="9"/>
      <c r="E9" s="9"/>
      <c r="F9" s="9"/>
      <c r="G9" s="10" t="s">
        <v>8</v>
      </c>
      <c r="H9" s="9"/>
      <c r="I9" s="9"/>
      <c r="J9" s="9"/>
      <c r="K9" s="9"/>
      <c r="L9" s="9"/>
      <c r="M9" s="9"/>
      <c r="N9" s="9"/>
    </row>
    <row r="10" spans="1:14" ht="22.05" customHeight="1" x14ac:dyDescent="0.3">
      <c r="A10" t="s">
        <v>9</v>
      </c>
      <c r="B10" t="s">
        <v>10</v>
      </c>
      <c r="D10" t="s">
        <v>11</v>
      </c>
      <c r="E10" t="s">
        <v>10</v>
      </c>
      <c r="G10" t="s">
        <v>12</v>
      </c>
      <c r="H10" t="s">
        <v>13</v>
      </c>
    </row>
    <row r="11" spans="1:14" ht="22.05" customHeight="1" x14ac:dyDescent="0.3">
      <c r="A11" t="s">
        <v>14</v>
      </c>
      <c r="B11">
        <f>COUNTIF('Correspondence Register'!L2:L61,A11)</f>
        <v>17</v>
      </c>
      <c r="D11" t="s">
        <v>15</v>
      </c>
      <c r="E11">
        <f>COUNTIF('Correspondence Register'!I2:I61,D11)</f>
        <v>5</v>
      </c>
      <c r="G11" t="s">
        <v>16</v>
      </c>
      <c r="H11">
        <f>COUNTIFS('Correspondence Register'!G2:G61,G11,'Correspondence Register'!L2:L61,"&lt;&gt;Closed")</f>
        <v>5</v>
      </c>
    </row>
    <row r="12" spans="1:14" ht="22.05" customHeight="1" x14ac:dyDescent="0.3">
      <c r="A12" t="s">
        <v>17</v>
      </c>
      <c r="B12">
        <f>COUNTIF('Correspondence Register'!L2:L61,A12)</f>
        <v>14</v>
      </c>
      <c r="D12" t="s">
        <v>18</v>
      </c>
      <c r="E12">
        <f>COUNTIF('Correspondence Register'!I2:I61,D12)</f>
        <v>16</v>
      </c>
      <c r="G12" t="s">
        <v>19</v>
      </c>
      <c r="H12">
        <f>COUNTIFS('Correspondence Register'!G2:G61,G12,'Correspondence Register'!L2:L61,"&lt;&gt;Closed")</f>
        <v>5</v>
      </c>
    </row>
    <row r="13" spans="1:14" ht="22.05" customHeight="1" x14ac:dyDescent="0.3">
      <c r="A13" t="s">
        <v>20</v>
      </c>
      <c r="B13">
        <f>COUNTIF('Correspondence Register'!L2:L61,A13)</f>
        <v>9</v>
      </c>
      <c r="D13" t="s">
        <v>21</v>
      </c>
      <c r="E13">
        <f>COUNTIF('Correspondence Register'!I2:I61,D13)</f>
        <v>23</v>
      </c>
      <c r="G13" t="s">
        <v>22</v>
      </c>
      <c r="H13">
        <f>COUNTIFS('Correspondence Register'!G2:G61,G13,'Correspondence Register'!L2:L61,"&lt;&gt;Closed")</f>
        <v>6</v>
      </c>
    </row>
    <row r="14" spans="1:14" ht="22.05" customHeight="1" x14ac:dyDescent="0.3">
      <c r="A14" t="s">
        <v>23</v>
      </c>
      <c r="B14">
        <f>COUNTIF('Correspondence Register'!L2:L61,A14)</f>
        <v>20</v>
      </c>
      <c r="D14" t="s">
        <v>24</v>
      </c>
      <c r="E14">
        <f>COUNTIF('Correspondence Register'!I2:I61,D14)</f>
        <v>16</v>
      </c>
      <c r="G14" t="s">
        <v>25</v>
      </c>
      <c r="H14">
        <f>COUNTIFS('Correspondence Register'!G2:G61,G14,'Correspondence Register'!L2:L61,"&lt;&gt;Closed")</f>
        <v>4</v>
      </c>
    </row>
    <row r="15" spans="1:14" ht="22.05" customHeight="1" x14ac:dyDescent="0.3">
      <c r="G15" t="s">
        <v>26</v>
      </c>
      <c r="H15">
        <f>COUNTIFS('Correspondence Register'!G2:G61,G15,'Correspondence Register'!L2:L61,"&lt;&gt;Closed")</f>
        <v>2</v>
      </c>
    </row>
    <row r="16" spans="1:14" ht="22.05" customHeight="1" x14ac:dyDescent="0.3">
      <c r="G16" t="s">
        <v>27</v>
      </c>
      <c r="H16">
        <f>COUNTIFS('Correspondence Register'!G2:G61,G16,'Correspondence Register'!L2:L61,"&lt;&gt;Closed")</f>
        <v>10</v>
      </c>
    </row>
    <row r="17" spans="1:14" ht="22.05" customHeight="1" x14ac:dyDescent="0.3">
      <c r="G17" t="s">
        <v>28</v>
      </c>
      <c r="H17">
        <f>COUNTIFS('Correspondence Register'!G2:G61,G17,'Correspondence Register'!L2:L61,"&lt;&gt;Closed")</f>
        <v>3</v>
      </c>
    </row>
    <row r="18" spans="1:14" ht="22.05" customHeight="1" x14ac:dyDescent="0.3">
      <c r="G18" t="s">
        <v>29</v>
      </c>
      <c r="H18">
        <f>COUNTIFS('Correspondence Register'!G2:G61,G18,'Correspondence Register'!L2:L61,"&lt;&gt;Closed")</f>
        <v>5</v>
      </c>
    </row>
    <row r="19" spans="1:14" ht="22.05" customHeight="1" x14ac:dyDescent="0.3"/>
    <row r="20" spans="1:14" ht="22.05" customHeight="1" x14ac:dyDescent="0.3"/>
    <row r="21" spans="1:14" ht="22.05" customHeight="1" x14ac:dyDescent="0.3"/>
    <row r="22" spans="1:14" ht="22.05" customHeight="1" x14ac:dyDescent="0.3"/>
    <row r="23" spans="1:14" ht="22.05" customHeight="1" x14ac:dyDescent="0.3"/>
    <row r="24" spans="1:14" ht="22.05" customHeight="1" x14ac:dyDescent="0.3"/>
    <row r="25" spans="1:14" ht="22.05" customHeight="1" x14ac:dyDescent="0.3">
      <c r="A25" s="10" t="s">
        <v>30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22.05" customHeight="1" x14ac:dyDescent="0.3">
      <c r="A26" s="8" t="s">
        <v>31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ht="22.05" customHeight="1" x14ac:dyDescent="0.3">
      <c r="A27" s="8" t="s">
        <v>32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22.05" customHeight="1" x14ac:dyDescent="0.3">
      <c r="A28" s="8" t="s">
        <v>33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ht="22.05" customHeight="1" x14ac:dyDescent="0.3">
      <c r="A29" s="8" t="s">
        <v>34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ht="22.05" customHeight="1" x14ac:dyDescent="0.3">
      <c r="A30" s="8" t="s">
        <v>35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</sheetData>
  <mergeCells count="20">
    <mergeCell ref="J6:L7"/>
    <mergeCell ref="D5:F5"/>
    <mergeCell ref="M6:N7"/>
    <mergeCell ref="A26:N26"/>
    <mergeCell ref="A30:N30"/>
    <mergeCell ref="A9:F9"/>
    <mergeCell ref="M5:N5"/>
    <mergeCell ref="A1:N2"/>
    <mergeCell ref="J5:L5"/>
    <mergeCell ref="G6:I7"/>
    <mergeCell ref="D6:F7"/>
    <mergeCell ref="A5:C5"/>
    <mergeCell ref="G5:I5"/>
    <mergeCell ref="A29:N29"/>
    <mergeCell ref="A25:N25"/>
    <mergeCell ref="A28:N28"/>
    <mergeCell ref="G9:N9"/>
    <mergeCell ref="A6:C7"/>
    <mergeCell ref="A27:N27"/>
    <mergeCell ref="A3:N3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"/>
  <sheetViews>
    <sheetView tabSelected="1" topLeftCell="C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16" customWidth="1"/>
    <col min="2" max="3" width="12" customWidth="1"/>
    <col min="4" max="4" width="14" customWidth="1"/>
    <col min="5" max="5" width="42" customWidth="1"/>
    <col min="6" max="6" width="20" customWidth="1"/>
    <col min="7" max="7" width="18" customWidth="1"/>
    <col min="8" max="8" width="22" customWidth="1"/>
    <col min="9" max="9" width="12" customWidth="1"/>
    <col min="10" max="10" width="14" customWidth="1"/>
    <col min="11" max="11" width="11" customWidth="1"/>
    <col min="12" max="12" width="17" customWidth="1"/>
    <col min="13" max="13" width="14" customWidth="1"/>
    <col min="14" max="14" width="28" customWidth="1"/>
    <col min="15" max="15" width="24" customWidth="1"/>
  </cols>
  <sheetData>
    <row r="1" spans="1:15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</row>
    <row r="2" spans="1:15" ht="31.2" x14ac:dyDescent="0.3">
      <c r="A2" s="2" t="s">
        <v>51</v>
      </c>
      <c r="B2" s="2" t="s">
        <v>52</v>
      </c>
      <c r="C2" s="3">
        <v>46213</v>
      </c>
      <c r="D2" s="2" t="s">
        <v>53</v>
      </c>
      <c r="E2" s="2" t="s">
        <v>54</v>
      </c>
      <c r="F2" s="2" t="s">
        <v>55</v>
      </c>
      <c r="G2" s="2" t="s">
        <v>29</v>
      </c>
      <c r="H2" s="2" t="s">
        <v>56</v>
      </c>
      <c r="I2" s="2" t="s">
        <v>18</v>
      </c>
      <c r="J2" s="3">
        <v>46220</v>
      </c>
      <c r="K2" s="2">
        <f t="shared" ref="K2" ca="1" si="0">IF(L2="Closed",0,MAX(0,TODAY()-C2))</f>
        <v>17</v>
      </c>
      <c r="L2" s="2" t="s">
        <v>14</v>
      </c>
      <c r="M2" s="2" t="str">
        <f t="shared" ref="M2:M33" ca="1" si="1">IF(L2="Closed","Closed",IF(K2&gt;30,"31+ Days",IF(K2&gt;14,"15-30 Days",IF(K2&gt;7,"8-14 Days","0-7 Days"))))</f>
        <v>15-30 Days</v>
      </c>
      <c r="N2" s="4" t="s">
        <v>57</v>
      </c>
      <c r="O2" s="2" t="s">
        <v>58</v>
      </c>
    </row>
    <row r="3" spans="1:15" ht="31.2" x14ac:dyDescent="0.3">
      <c r="A3" s="2" t="s">
        <v>59</v>
      </c>
      <c r="B3" s="2" t="s">
        <v>60</v>
      </c>
      <c r="C3" s="3">
        <v>46186</v>
      </c>
      <c r="D3" s="2" t="s">
        <v>61</v>
      </c>
      <c r="E3" s="2" t="s">
        <v>62</v>
      </c>
      <c r="F3" s="2" t="s">
        <v>63</v>
      </c>
      <c r="G3" s="2" t="s">
        <v>16</v>
      </c>
      <c r="H3" s="2" t="s">
        <v>64</v>
      </c>
      <c r="I3" s="2" t="s">
        <v>18</v>
      </c>
      <c r="J3" s="3">
        <v>46191</v>
      </c>
      <c r="K3" s="2">
        <f t="shared" ref="K2:K33" ca="1" si="2">IF(L3="Closed",0,MAX(0,TODAY()-C3))</f>
        <v>44</v>
      </c>
      <c r="L3" s="2" t="s">
        <v>14</v>
      </c>
      <c r="M3" s="2" t="str">
        <f t="shared" ca="1" si="1"/>
        <v>31+ Days</v>
      </c>
      <c r="N3" s="4" t="s">
        <v>65</v>
      </c>
      <c r="O3" s="2" t="s">
        <v>58</v>
      </c>
    </row>
    <row r="4" spans="1:15" ht="31.2" x14ac:dyDescent="0.3">
      <c r="A4" s="2" t="s">
        <v>66</v>
      </c>
      <c r="B4" s="2" t="s">
        <v>52</v>
      </c>
      <c r="C4" s="3">
        <v>46160</v>
      </c>
      <c r="D4" s="2" t="s">
        <v>53</v>
      </c>
      <c r="E4" s="2" t="s">
        <v>67</v>
      </c>
      <c r="F4" s="2" t="s">
        <v>55</v>
      </c>
      <c r="G4" s="2" t="s">
        <v>16</v>
      </c>
      <c r="H4" s="2" t="s">
        <v>64</v>
      </c>
      <c r="I4" s="2" t="s">
        <v>21</v>
      </c>
      <c r="J4" s="3">
        <v>46174</v>
      </c>
      <c r="K4" s="2">
        <f t="shared" ca="1" si="2"/>
        <v>0</v>
      </c>
      <c r="L4" s="2" t="s">
        <v>23</v>
      </c>
      <c r="M4" s="2" t="str">
        <f t="shared" si="1"/>
        <v>Closed</v>
      </c>
      <c r="N4" s="4" t="s">
        <v>68</v>
      </c>
      <c r="O4" s="2" t="s">
        <v>58</v>
      </c>
    </row>
    <row r="5" spans="1:15" ht="31.2" x14ac:dyDescent="0.3">
      <c r="A5" s="2" t="s">
        <v>69</v>
      </c>
      <c r="B5" s="2" t="s">
        <v>60</v>
      </c>
      <c r="C5" s="3">
        <v>46197</v>
      </c>
      <c r="D5" s="2" t="s">
        <v>61</v>
      </c>
      <c r="E5" s="2" t="s">
        <v>70</v>
      </c>
      <c r="F5" s="2" t="s">
        <v>63</v>
      </c>
      <c r="G5" s="2" t="s">
        <v>22</v>
      </c>
      <c r="H5" s="2" t="s">
        <v>71</v>
      </c>
      <c r="I5" s="2" t="s">
        <v>24</v>
      </c>
      <c r="J5" s="3">
        <v>46207</v>
      </c>
      <c r="K5" s="2">
        <f t="shared" ca="1" si="2"/>
        <v>33</v>
      </c>
      <c r="L5" s="2" t="s">
        <v>17</v>
      </c>
      <c r="M5" s="2" t="str">
        <f t="shared" ca="1" si="1"/>
        <v>31+ Days</v>
      </c>
      <c r="N5" s="4" t="s">
        <v>72</v>
      </c>
      <c r="O5" s="2" t="s">
        <v>58</v>
      </c>
    </row>
    <row r="6" spans="1:15" ht="31.2" x14ac:dyDescent="0.3">
      <c r="A6" s="2" t="s">
        <v>73</v>
      </c>
      <c r="B6" s="2" t="s">
        <v>52</v>
      </c>
      <c r="C6" s="3">
        <v>46158</v>
      </c>
      <c r="D6" s="2" t="s">
        <v>74</v>
      </c>
      <c r="E6" s="2" t="s">
        <v>75</v>
      </c>
      <c r="F6" s="2" t="s">
        <v>55</v>
      </c>
      <c r="G6" s="2" t="s">
        <v>27</v>
      </c>
      <c r="H6" s="2" t="s">
        <v>76</v>
      </c>
      <c r="I6" s="2" t="s">
        <v>18</v>
      </c>
      <c r="J6" s="3">
        <v>46163</v>
      </c>
      <c r="K6" s="2">
        <f t="shared" ca="1" si="2"/>
        <v>72</v>
      </c>
      <c r="L6" s="2" t="s">
        <v>20</v>
      </c>
      <c r="M6" s="2" t="str">
        <f t="shared" ca="1" si="1"/>
        <v>31+ Days</v>
      </c>
      <c r="N6" s="4" t="s">
        <v>77</v>
      </c>
      <c r="O6" s="2" t="s">
        <v>58</v>
      </c>
    </row>
    <row r="7" spans="1:15" ht="31.2" x14ac:dyDescent="0.3">
      <c r="A7" s="2" t="s">
        <v>78</v>
      </c>
      <c r="B7" s="2" t="s">
        <v>60</v>
      </c>
      <c r="C7" s="3">
        <v>46165</v>
      </c>
      <c r="D7" s="2" t="s">
        <v>79</v>
      </c>
      <c r="E7" s="2" t="s">
        <v>80</v>
      </c>
      <c r="F7" s="2" t="s">
        <v>63</v>
      </c>
      <c r="G7" s="2" t="s">
        <v>26</v>
      </c>
      <c r="H7" s="2" t="s">
        <v>81</v>
      </c>
      <c r="I7" s="2" t="s">
        <v>21</v>
      </c>
      <c r="J7" s="3">
        <v>46172</v>
      </c>
      <c r="K7" s="2">
        <f t="shared" ca="1" si="2"/>
        <v>65</v>
      </c>
      <c r="L7" s="2" t="s">
        <v>17</v>
      </c>
      <c r="M7" s="2" t="str">
        <f t="shared" ca="1" si="1"/>
        <v>31+ Days</v>
      </c>
      <c r="N7" s="4" t="s">
        <v>82</v>
      </c>
      <c r="O7" s="2" t="s">
        <v>58</v>
      </c>
    </row>
    <row r="8" spans="1:15" ht="31.2" x14ac:dyDescent="0.3">
      <c r="A8" s="2" t="s">
        <v>83</v>
      </c>
      <c r="B8" s="2" t="s">
        <v>52</v>
      </c>
      <c r="C8" s="3">
        <v>46224</v>
      </c>
      <c r="D8" s="2" t="s">
        <v>84</v>
      </c>
      <c r="E8" s="2" t="s">
        <v>70</v>
      </c>
      <c r="F8" s="2" t="s">
        <v>55</v>
      </c>
      <c r="G8" s="2" t="s">
        <v>16</v>
      </c>
      <c r="H8" s="2" t="s">
        <v>64</v>
      </c>
      <c r="I8" s="2" t="s">
        <v>21</v>
      </c>
      <c r="J8" s="3">
        <v>46234</v>
      </c>
      <c r="K8" s="2">
        <f t="shared" ca="1" si="2"/>
        <v>6</v>
      </c>
      <c r="L8" s="2" t="s">
        <v>20</v>
      </c>
      <c r="M8" s="2" t="str">
        <f t="shared" ca="1" si="1"/>
        <v>0-7 Days</v>
      </c>
      <c r="N8" s="4" t="s">
        <v>85</v>
      </c>
      <c r="O8" s="2" t="s">
        <v>58</v>
      </c>
    </row>
    <row r="9" spans="1:15" ht="31.2" x14ac:dyDescent="0.3">
      <c r="A9" s="2" t="s">
        <v>86</v>
      </c>
      <c r="B9" s="2" t="s">
        <v>60</v>
      </c>
      <c r="C9" s="3">
        <v>46194</v>
      </c>
      <c r="D9" s="2" t="s">
        <v>79</v>
      </c>
      <c r="E9" s="2" t="s">
        <v>75</v>
      </c>
      <c r="F9" s="2" t="s">
        <v>63</v>
      </c>
      <c r="G9" s="2" t="s">
        <v>28</v>
      </c>
      <c r="H9" s="2" t="s">
        <v>87</v>
      </c>
      <c r="I9" s="2" t="s">
        <v>21</v>
      </c>
      <c r="J9" s="3">
        <v>46215</v>
      </c>
      <c r="K9" s="2">
        <f t="shared" ca="1" si="2"/>
        <v>0</v>
      </c>
      <c r="L9" s="2" t="s">
        <v>23</v>
      </c>
      <c r="M9" s="2" t="str">
        <f t="shared" si="1"/>
        <v>Closed</v>
      </c>
      <c r="N9" s="4" t="s">
        <v>88</v>
      </c>
      <c r="O9" s="2" t="s">
        <v>58</v>
      </c>
    </row>
    <row r="10" spans="1:15" ht="31.2" x14ac:dyDescent="0.3">
      <c r="A10" s="2" t="s">
        <v>89</v>
      </c>
      <c r="B10" s="2" t="s">
        <v>52</v>
      </c>
      <c r="C10" s="3">
        <v>46158</v>
      </c>
      <c r="D10" s="2" t="s">
        <v>61</v>
      </c>
      <c r="E10" s="2" t="s">
        <v>70</v>
      </c>
      <c r="F10" s="2" t="s">
        <v>55</v>
      </c>
      <c r="G10" s="2" t="s">
        <v>16</v>
      </c>
      <c r="H10" s="2" t="s">
        <v>64</v>
      </c>
      <c r="I10" s="2" t="s">
        <v>18</v>
      </c>
      <c r="J10" s="3">
        <v>46168</v>
      </c>
      <c r="K10" s="2">
        <f t="shared" ca="1" si="2"/>
        <v>72</v>
      </c>
      <c r="L10" s="2" t="s">
        <v>17</v>
      </c>
      <c r="M10" s="2" t="str">
        <f t="shared" ca="1" si="1"/>
        <v>31+ Days</v>
      </c>
      <c r="N10" s="4" t="s">
        <v>90</v>
      </c>
      <c r="O10" s="2" t="s">
        <v>58</v>
      </c>
    </row>
    <row r="11" spans="1:15" ht="31.2" x14ac:dyDescent="0.3">
      <c r="A11" s="2" t="s">
        <v>91</v>
      </c>
      <c r="B11" s="2" t="s">
        <v>60</v>
      </c>
      <c r="C11" s="3">
        <v>46161</v>
      </c>
      <c r="D11" s="2" t="s">
        <v>74</v>
      </c>
      <c r="E11" s="2" t="s">
        <v>92</v>
      </c>
      <c r="F11" s="2" t="s">
        <v>63</v>
      </c>
      <c r="G11" s="2" t="s">
        <v>28</v>
      </c>
      <c r="H11" s="2" t="s">
        <v>87</v>
      </c>
      <c r="I11" s="2" t="s">
        <v>15</v>
      </c>
      <c r="J11" s="3">
        <v>46182</v>
      </c>
      <c r="K11" s="2">
        <f t="shared" ca="1" si="2"/>
        <v>69</v>
      </c>
      <c r="L11" s="2" t="s">
        <v>17</v>
      </c>
      <c r="M11" s="2" t="str">
        <f t="shared" ca="1" si="1"/>
        <v>31+ Days</v>
      </c>
      <c r="N11" s="4" t="s">
        <v>93</v>
      </c>
      <c r="O11" s="2" t="s">
        <v>58</v>
      </c>
    </row>
    <row r="12" spans="1:15" ht="31.2" x14ac:dyDescent="0.3">
      <c r="A12" s="2" t="s">
        <v>94</v>
      </c>
      <c r="B12" s="2" t="s">
        <v>52</v>
      </c>
      <c r="C12" s="3">
        <v>46218</v>
      </c>
      <c r="D12" s="2" t="s">
        <v>79</v>
      </c>
      <c r="E12" s="2" t="s">
        <v>70</v>
      </c>
      <c r="F12" s="2" t="s">
        <v>55</v>
      </c>
      <c r="G12" s="2" t="s">
        <v>16</v>
      </c>
      <c r="H12" s="2" t="s">
        <v>64</v>
      </c>
      <c r="I12" s="2" t="s">
        <v>24</v>
      </c>
      <c r="J12" s="3">
        <v>46232</v>
      </c>
      <c r="K12" s="2">
        <f t="shared" ca="1" si="2"/>
        <v>0</v>
      </c>
      <c r="L12" s="2" t="s">
        <v>23</v>
      </c>
      <c r="M12" s="2" t="str">
        <f t="shared" si="1"/>
        <v>Closed</v>
      </c>
      <c r="N12" s="4" t="s">
        <v>95</v>
      </c>
      <c r="O12" s="2" t="s">
        <v>58</v>
      </c>
    </row>
    <row r="13" spans="1:15" ht="31.2" x14ac:dyDescent="0.3">
      <c r="A13" s="2" t="s">
        <v>96</v>
      </c>
      <c r="B13" s="2" t="s">
        <v>60</v>
      </c>
      <c r="C13" s="3">
        <v>46200</v>
      </c>
      <c r="D13" s="2" t="s">
        <v>79</v>
      </c>
      <c r="E13" s="2" t="s">
        <v>97</v>
      </c>
      <c r="F13" s="2" t="s">
        <v>63</v>
      </c>
      <c r="G13" s="2" t="s">
        <v>29</v>
      </c>
      <c r="H13" s="2" t="s">
        <v>56</v>
      </c>
      <c r="I13" s="2" t="s">
        <v>24</v>
      </c>
      <c r="J13" s="3">
        <v>46214</v>
      </c>
      <c r="K13" s="2">
        <f t="shared" ca="1" si="2"/>
        <v>30</v>
      </c>
      <c r="L13" s="2" t="s">
        <v>14</v>
      </c>
      <c r="M13" s="2" t="str">
        <f t="shared" ca="1" si="1"/>
        <v>15-30 Days</v>
      </c>
      <c r="N13" s="4" t="s">
        <v>98</v>
      </c>
      <c r="O13" s="2" t="s">
        <v>58</v>
      </c>
    </row>
    <row r="14" spans="1:15" ht="31.2" x14ac:dyDescent="0.3">
      <c r="A14" s="2" t="s">
        <v>99</v>
      </c>
      <c r="B14" s="2" t="s">
        <v>52</v>
      </c>
      <c r="C14" s="3">
        <v>46161</v>
      </c>
      <c r="D14" s="2" t="s">
        <v>79</v>
      </c>
      <c r="E14" s="2" t="s">
        <v>100</v>
      </c>
      <c r="F14" s="2" t="s">
        <v>55</v>
      </c>
      <c r="G14" s="2" t="s">
        <v>27</v>
      </c>
      <c r="H14" s="2" t="s">
        <v>76</v>
      </c>
      <c r="I14" s="2" t="s">
        <v>24</v>
      </c>
      <c r="J14" s="3">
        <v>46175</v>
      </c>
      <c r="K14" s="2">
        <f t="shared" ca="1" si="2"/>
        <v>69</v>
      </c>
      <c r="L14" s="2" t="s">
        <v>17</v>
      </c>
      <c r="M14" s="2" t="str">
        <f t="shared" ca="1" si="1"/>
        <v>31+ Days</v>
      </c>
      <c r="N14" s="4" t="s">
        <v>101</v>
      </c>
      <c r="O14" s="2" t="s">
        <v>58</v>
      </c>
    </row>
    <row r="15" spans="1:15" ht="31.2" x14ac:dyDescent="0.3">
      <c r="A15" s="2" t="s">
        <v>102</v>
      </c>
      <c r="B15" s="2" t="s">
        <v>60</v>
      </c>
      <c r="C15" s="3">
        <v>46226</v>
      </c>
      <c r="D15" s="2" t="s">
        <v>53</v>
      </c>
      <c r="E15" s="2" t="s">
        <v>97</v>
      </c>
      <c r="F15" s="2" t="s">
        <v>63</v>
      </c>
      <c r="G15" s="2" t="s">
        <v>25</v>
      </c>
      <c r="H15" s="2" t="s">
        <v>103</v>
      </c>
      <c r="I15" s="2" t="s">
        <v>21</v>
      </c>
      <c r="J15" s="3">
        <v>46231</v>
      </c>
      <c r="K15" s="2">
        <f t="shared" ca="1" si="2"/>
        <v>4</v>
      </c>
      <c r="L15" s="2" t="s">
        <v>20</v>
      </c>
      <c r="M15" s="2" t="str">
        <f t="shared" ca="1" si="1"/>
        <v>0-7 Days</v>
      </c>
      <c r="N15" s="4" t="s">
        <v>104</v>
      </c>
      <c r="O15" s="2" t="s">
        <v>58</v>
      </c>
    </row>
    <row r="16" spans="1:15" ht="31.2" x14ac:dyDescent="0.3">
      <c r="A16" s="2" t="s">
        <v>105</v>
      </c>
      <c r="B16" s="2" t="s">
        <v>52</v>
      </c>
      <c r="C16" s="3">
        <v>46206</v>
      </c>
      <c r="D16" s="2" t="s">
        <v>74</v>
      </c>
      <c r="E16" s="2" t="s">
        <v>97</v>
      </c>
      <c r="F16" s="2" t="s">
        <v>55</v>
      </c>
      <c r="G16" s="2" t="s">
        <v>22</v>
      </c>
      <c r="H16" s="2" t="s">
        <v>71</v>
      </c>
      <c r="I16" s="2" t="s">
        <v>24</v>
      </c>
      <c r="J16" s="3">
        <v>46220</v>
      </c>
      <c r="K16" s="2">
        <f t="shared" ca="1" si="2"/>
        <v>24</v>
      </c>
      <c r="L16" s="2" t="s">
        <v>14</v>
      </c>
      <c r="M16" s="2" t="str">
        <f t="shared" ca="1" si="1"/>
        <v>15-30 Days</v>
      </c>
      <c r="N16" s="4" t="s">
        <v>106</v>
      </c>
      <c r="O16" s="2" t="s">
        <v>58</v>
      </c>
    </row>
    <row r="17" spans="1:15" ht="31.2" x14ac:dyDescent="0.3">
      <c r="A17" s="2" t="s">
        <v>107</v>
      </c>
      <c r="B17" s="2" t="s">
        <v>60</v>
      </c>
      <c r="C17" s="3">
        <v>46215</v>
      </c>
      <c r="D17" s="2" t="s">
        <v>74</v>
      </c>
      <c r="E17" s="2" t="s">
        <v>100</v>
      </c>
      <c r="F17" s="2" t="s">
        <v>63</v>
      </c>
      <c r="G17" s="2" t="s">
        <v>22</v>
      </c>
      <c r="H17" s="2" t="s">
        <v>71</v>
      </c>
      <c r="I17" s="2" t="s">
        <v>21</v>
      </c>
      <c r="J17" s="3">
        <v>46229</v>
      </c>
      <c r="K17" s="2">
        <f t="shared" ca="1" si="2"/>
        <v>0</v>
      </c>
      <c r="L17" s="2" t="s">
        <v>23</v>
      </c>
      <c r="M17" s="2" t="str">
        <f t="shared" si="1"/>
        <v>Closed</v>
      </c>
      <c r="N17" s="4" t="s">
        <v>108</v>
      </c>
      <c r="O17" s="2" t="s">
        <v>58</v>
      </c>
    </row>
    <row r="18" spans="1:15" ht="31.2" x14ac:dyDescent="0.3">
      <c r="A18" s="2" t="s">
        <v>109</v>
      </c>
      <c r="B18" s="2" t="s">
        <v>52</v>
      </c>
      <c r="C18" s="3">
        <v>46222</v>
      </c>
      <c r="D18" s="2" t="s">
        <v>61</v>
      </c>
      <c r="E18" s="2" t="s">
        <v>75</v>
      </c>
      <c r="F18" s="2" t="s">
        <v>55</v>
      </c>
      <c r="G18" s="2" t="s">
        <v>19</v>
      </c>
      <c r="H18" s="2" t="s">
        <v>110</v>
      </c>
      <c r="I18" s="2" t="s">
        <v>24</v>
      </c>
      <c r="J18" s="3">
        <v>46232</v>
      </c>
      <c r="K18" s="2">
        <f t="shared" ca="1" si="2"/>
        <v>0</v>
      </c>
      <c r="L18" s="2" t="s">
        <v>23</v>
      </c>
      <c r="M18" s="2" t="str">
        <f t="shared" si="1"/>
        <v>Closed</v>
      </c>
      <c r="N18" s="4" t="s">
        <v>111</v>
      </c>
      <c r="O18" s="2" t="s">
        <v>58</v>
      </c>
    </row>
    <row r="19" spans="1:15" ht="31.2" x14ac:dyDescent="0.3">
      <c r="A19" s="2" t="s">
        <v>112</v>
      </c>
      <c r="B19" s="2" t="s">
        <v>60</v>
      </c>
      <c r="C19" s="3">
        <v>46215</v>
      </c>
      <c r="D19" s="2" t="s">
        <v>84</v>
      </c>
      <c r="E19" s="2" t="s">
        <v>113</v>
      </c>
      <c r="F19" s="2" t="s">
        <v>63</v>
      </c>
      <c r="G19" s="2" t="s">
        <v>27</v>
      </c>
      <c r="H19" s="2" t="s">
        <v>76</v>
      </c>
      <c r="I19" s="2" t="s">
        <v>21</v>
      </c>
      <c r="J19" s="3">
        <v>46220</v>
      </c>
      <c r="K19" s="2">
        <f t="shared" ca="1" si="2"/>
        <v>15</v>
      </c>
      <c r="L19" s="2" t="s">
        <v>14</v>
      </c>
      <c r="M19" s="2" t="str">
        <f t="shared" ca="1" si="1"/>
        <v>15-30 Days</v>
      </c>
      <c r="N19" s="4" t="s">
        <v>114</v>
      </c>
      <c r="O19" s="2" t="s">
        <v>58</v>
      </c>
    </row>
    <row r="20" spans="1:15" ht="31.2" x14ac:dyDescent="0.3">
      <c r="A20" s="2" t="s">
        <v>115</v>
      </c>
      <c r="B20" s="2" t="s">
        <v>52</v>
      </c>
      <c r="C20" s="3">
        <v>46209</v>
      </c>
      <c r="D20" s="2" t="s">
        <v>53</v>
      </c>
      <c r="E20" s="2" t="s">
        <v>116</v>
      </c>
      <c r="F20" s="2" t="s">
        <v>55</v>
      </c>
      <c r="G20" s="2" t="s">
        <v>26</v>
      </c>
      <c r="H20" s="2" t="s">
        <v>81</v>
      </c>
      <c r="I20" s="2" t="s">
        <v>18</v>
      </c>
      <c r="J20" s="3">
        <v>46230</v>
      </c>
      <c r="K20" s="2">
        <f t="shared" ca="1" si="2"/>
        <v>21</v>
      </c>
      <c r="L20" s="2" t="s">
        <v>17</v>
      </c>
      <c r="M20" s="2" t="str">
        <f t="shared" ca="1" si="1"/>
        <v>15-30 Days</v>
      </c>
      <c r="N20" s="4" t="s">
        <v>117</v>
      </c>
      <c r="O20" s="2" t="s">
        <v>58</v>
      </c>
    </row>
    <row r="21" spans="1:15" ht="31.2" x14ac:dyDescent="0.3">
      <c r="A21" s="2" t="s">
        <v>118</v>
      </c>
      <c r="B21" s="2" t="s">
        <v>60</v>
      </c>
      <c r="C21" s="3">
        <v>46185</v>
      </c>
      <c r="D21" s="2" t="s">
        <v>53</v>
      </c>
      <c r="E21" s="2" t="s">
        <v>62</v>
      </c>
      <c r="F21" s="2" t="s">
        <v>63</v>
      </c>
      <c r="G21" s="2" t="s">
        <v>26</v>
      </c>
      <c r="H21" s="2" t="s">
        <v>81</v>
      </c>
      <c r="I21" s="2" t="s">
        <v>21</v>
      </c>
      <c r="J21" s="3">
        <v>46190</v>
      </c>
      <c r="K21" s="2">
        <f t="shared" ca="1" si="2"/>
        <v>0</v>
      </c>
      <c r="L21" s="2" t="s">
        <v>23</v>
      </c>
      <c r="M21" s="2" t="str">
        <f t="shared" si="1"/>
        <v>Closed</v>
      </c>
      <c r="N21" s="4" t="s">
        <v>119</v>
      </c>
      <c r="O21" s="2" t="s">
        <v>58</v>
      </c>
    </row>
    <row r="22" spans="1:15" ht="31.2" x14ac:dyDescent="0.3">
      <c r="A22" s="2" t="s">
        <v>120</v>
      </c>
      <c r="B22" s="2" t="s">
        <v>52</v>
      </c>
      <c r="C22" s="3">
        <v>46228</v>
      </c>
      <c r="D22" s="2" t="s">
        <v>74</v>
      </c>
      <c r="E22" s="2" t="s">
        <v>92</v>
      </c>
      <c r="F22" s="2" t="s">
        <v>55</v>
      </c>
      <c r="G22" s="2" t="s">
        <v>29</v>
      </c>
      <c r="H22" s="2" t="s">
        <v>56</v>
      </c>
      <c r="I22" s="2" t="s">
        <v>21</v>
      </c>
      <c r="J22" s="3">
        <v>46238</v>
      </c>
      <c r="K22" s="2">
        <f t="shared" ca="1" si="2"/>
        <v>0</v>
      </c>
      <c r="L22" s="2" t="s">
        <v>23</v>
      </c>
      <c r="M22" s="2" t="str">
        <f t="shared" si="1"/>
        <v>Closed</v>
      </c>
      <c r="N22" s="4" t="s">
        <v>121</v>
      </c>
      <c r="O22" s="2" t="s">
        <v>58</v>
      </c>
    </row>
    <row r="23" spans="1:15" ht="31.2" x14ac:dyDescent="0.3">
      <c r="A23" s="2" t="s">
        <v>122</v>
      </c>
      <c r="B23" s="2" t="s">
        <v>60</v>
      </c>
      <c r="C23" s="3">
        <v>46215</v>
      </c>
      <c r="D23" s="2" t="s">
        <v>61</v>
      </c>
      <c r="E23" s="2" t="s">
        <v>97</v>
      </c>
      <c r="F23" s="2" t="s">
        <v>63</v>
      </c>
      <c r="G23" s="2" t="s">
        <v>16</v>
      </c>
      <c r="H23" s="2" t="s">
        <v>64</v>
      </c>
      <c r="I23" s="2" t="s">
        <v>18</v>
      </c>
      <c r="J23" s="3">
        <v>46236</v>
      </c>
      <c r="K23" s="2">
        <f t="shared" ca="1" si="2"/>
        <v>0</v>
      </c>
      <c r="L23" s="2" t="s">
        <v>23</v>
      </c>
      <c r="M23" s="2" t="str">
        <f t="shared" si="1"/>
        <v>Closed</v>
      </c>
      <c r="N23" s="4" t="s">
        <v>123</v>
      </c>
      <c r="O23" s="2" t="s">
        <v>58</v>
      </c>
    </row>
    <row r="24" spans="1:15" ht="31.2" x14ac:dyDescent="0.3">
      <c r="A24" s="2" t="s">
        <v>124</v>
      </c>
      <c r="B24" s="2" t="s">
        <v>52</v>
      </c>
      <c r="C24" s="3">
        <v>46204</v>
      </c>
      <c r="D24" s="2" t="s">
        <v>74</v>
      </c>
      <c r="E24" s="2" t="s">
        <v>100</v>
      </c>
      <c r="F24" s="2" t="s">
        <v>55</v>
      </c>
      <c r="G24" s="2" t="s">
        <v>28</v>
      </c>
      <c r="H24" s="2" t="s">
        <v>87</v>
      </c>
      <c r="I24" s="2" t="s">
        <v>15</v>
      </c>
      <c r="J24" s="3">
        <v>46211</v>
      </c>
      <c r="K24" s="2">
        <f t="shared" ca="1" si="2"/>
        <v>0</v>
      </c>
      <c r="L24" s="2" t="s">
        <v>23</v>
      </c>
      <c r="M24" s="2" t="str">
        <f t="shared" si="1"/>
        <v>Closed</v>
      </c>
      <c r="N24" s="4" t="s">
        <v>125</v>
      </c>
      <c r="O24" s="2" t="s">
        <v>58</v>
      </c>
    </row>
    <row r="25" spans="1:15" ht="31.2" x14ac:dyDescent="0.3">
      <c r="A25" s="2" t="s">
        <v>126</v>
      </c>
      <c r="B25" s="2" t="s">
        <v>60</v>
      </c>
      <c r="C25" s="3">
        <v>46198</v>
      </c>
      <c r="D25" s="2" t="s">
        <v>53</v>
      </c>
      <c r="E25" s="2" t="s">
        <v>127</v>
      </c>
      <c r="F25" s="2" t="s">
        <v>63</v>
      </c>
      <c r="G25" s="2" t="s">
        <v>19</v>
      </c>
      <c r="H25" s="2" t="s">
        <v>110</v>
      </c>
      <c r="I25" s="2" t="s">
        <v>18</v>
      </c>
      <c r="J25" s="3">
        <v>46205</v>
      </c>
      <c r="K25" s="2">
        <f t="shared" ca="1" si="2"/>
        <v>0</v>
      </c>
      <c r="L25" s="2" t="s">
        <v>23</v>
      </c>
      <c r="M25" s="2" t="str">
        <f t="shared" si="1"/>
        <v>Closed</v>
      </c>
      <c r="N25" s="4" t="s">
        <v>128</v>
      </c>
      <c r="O25" s="2" t="s">
        <v>58</v>
      </c>
    </row>
    <row r="26" spans="1:15" ht="31.2" x14ac:dyDescent="0.3">
      <c r="A26" s="2" t="s">
        <v>129</v>
      </c>
      <c r="B26" s="2" t="s">
        <v>52</v>
      </c>
      <c r="C26" s="3">
        <v>46158</v>
      </c>
      <c r="D26" s="2" t="s">
        <v>74</v>
      </c>
      <c r="E26" s="2" t="s">
        <v>62</v>
      </c>
      <c r="F26" s="2" t="s">
        <v>55</v>
      </c>
      <c r="G26" s="2" t="s">
        <v>27</v>
      </c>
      <c r="H26" s="2" t="s">
        <v>76</v>
      </c>
      <c r="I26" s="2" t="s">
        <v>15</v>
      </c>
      <c r="J26" s="3">
        <v>46165</v>
      </c>
      <c r="K26" s="2">
        <f t="shared" ca="1" si="2"/>
        <v>72</v>
      </c>
      <c r="L26" s="2" t="s">
        <v>14</v>
      </c>
      <c r="M26" s="2" t="str">
        <f t="shared" ca="1" si="1"/>
        <v>31+ Days</v>
      </c>
      <c r="N26" s="4" t="s">
        <v>130</v>
      </c>
      <c r="O26" s="2" t="s">
        <v>58</v>
      </c>
    </row>
    <row r="27" spans="1:15" ht="31.2" x14ac:dyDescent="0.3">
      <c r="A27" s="2" t="s">
        <v>131</v>
      </c>
      <c r="B27" s="2" t="s">
        <v>60</v>
      </c>
      <c r="C27" s="3">
        <v>46195</v>
      </c>
      <c r="D27" s="2" t="s">
        <v>53</v>
      </c>
      <c r="E27" s="2" t="s">
        <v>116</v>
      </c>
      <c r="F27" s="2" t="s">
        <v>63</v>
      </c>
      <c r="G27" s="2" t="s">
        <v>16</v>
      </c>
      <c r="H27" s="2" t="s">
        <v>64</v>
      </c>
      <c r="I27" s="2" t="s">
        <v>18</v>
      </c>
      <c r="J27" s="3">
        <v>46200</v>
      </c>
      <c r="K27" s="2">
        <f t="shared" ca="1" si="2"/>
        <v>0</v>
      </c>
      <c r="L27" s="2" t="s">
        <v>23</v>
      </c>
      <c r="M27" s="2" t="str">
        <f t="shared" si="1"/>
        <v>Closed</v>
      </c>
      <c r="N27" s="4" t="s">
        <v>132</v>
      </c>
      <c r="O27" s="2" t="s">
        <v>58</v>
      </c>
    </row>
    <row r="28" spans="1:15" ht="31.2" x14ac:dyDescent="0.3">
      <c r="A28" s="2" t="s">
        <v>133</v>
      </c>
      <c r="B28" s="2" t="s">
        <v>52</v>
      </c>
      <c r="C28" s="3">
        <v>46173</v>
      </c>
      <c r="D28" s="2" t="s">
        <v>84</v>
      </c>
      <c r="E28" s="2" t="s">
        <v>75</v>
      </c>
      <c r="F28" s="2" t="s">
        <v>55</v>
      </c>
      <c r="G28" s="2" t="s">
        <v>28</v>
      </c>
      <c r="H28" s="2" t="s">
        <v>87</v>
      </c>
      <c r="I28" s="2" t="s">
        <v>18</v>
      </c>
      <c r="J28" s="3">
        <v>46180</v>
      </c>
      <c r="K28" s="2">
        <f t="shared" ca="1" si="2"/>
        <v>57</v>
      </c>
      <c r="L28" s="2" t="s">
        <v>17</v>
      </c>
      <c r="M28" s="2" t="str">
        <f t="shared" ca="1" si="1"/>
        <v>31+ Days</v>
      </c>
      <c r="N28" s="4" t="s">
        <v>134</v>
      </c>
      <c r="O28" s="2" t="s">
        <v>58</v>
      </c>
    </row>
    <row r="29" spans="1:15" ht="31.2" x14ac:dyDescent="0.3">
      <c r="A29" s="2" t="s">
        <v>135</v>
      </c>
      <c r="B29" s="2" t="s">
        <v>60</v>
      </c>
      <c r="C29" s="3">
        <v>46229</v>
      </c>
      <c r="D29" s="2" t="s">
        <v>61</v>
      </c>
      <c r="E29" s="2" t="s">
        <v>70</v>
      </c>
      <c r="F29" s="2" t="s">
        <v>63</v>
      </c>
      <c r="G29" s="2" t="s">
        <v>19</v>
      </c>
      <c r="H29" s="2" t="s">
        <v>110</v>
      </c>
      <c r="I29" s="2" t="s">
        <v>18</v>
      </c>
      <c r="J29" s="3">
        <v>46243</v>
      </c>
      <c r="K29" s="2">
        <f t="shared" ca="1" si="2"/>
        <v>1</v>
      </c>
      <c r="L29" s="2" t="s">
        <v>20</v>
      </c>
      <c r="M29" s="2" t="str">
        <f t="shared" ca="1" si="1"/>
        <v>0-7 Days</v>
      </c>
      <c r="N29" s="4" t="s">
        <v>136</v>
      </c>
      <c r="O29" s="2" t="s">
        <v>58</v>
      </c>
    </row>
    <row r="30" spans="1:15" ht="31.2" x14ac:dyDescent="0.3">
      <c r="A30" s="2" t="s">
        <v>137</v>
      </c>
      <c r="B30" s="2" t="s">
        <v>52</v>
      </c>
      <c r="C30" s="3">
        <v>46184</v>
      </c>
      <c r="D30" s="2" t="s">
        <v>84</v>
      </c>
      <c r="E30" s="2" t="s">
        <v>70</v>
      </c>
      <c r="F30" s="2" t="s">
        <v>55</v>
      </c>
      <c r="G30" s="2" t="s">
        <v>26</v>
      </c>
      <c r="H30" s="2" t="s">
        <v>81</v>
      </c>
      <c r="I30" s="2" t="s">
        <v>18</v>
      </c>
      <c r="J30" s="3">
        <v>46194</v>
      </c>
      <c r="K30" s="2">
        <f t="shared" ca="1" si="2"/>
        <v>0</v>
      </c>
      <c r="L30" s="2" t="s">
        <v>23</v>
      </c>
      <c r="M30" s="2" t="str">
        <f t="shared" si="1"/>
        <v>Closed</v>
      </c>
      <c r="N30" s="4" t="s">
        <v>138</v>
      </c>
      <c r="O30" s="2" t="s">
        <v>58</v>
      </c>
    </row>
    <row r="31" spans="1:15" ht="31.2" x14ac:dyDescent="0.3">
      <c r="A31" s="2" t="s">
        <v>139</v>
      </c>
      <c r="B31" s="2" t="s">
        <v>60</v>
      </c>
      <c r="C31" s="3">
        <v>46210</v>
      </c>
      <c r="D31" s="2" t="s">
        <v>79</v>
      </c>
      <c r="E31" s="2" t="s">
        <v>70</v>
      </c>
      <c r="F31" s="2" t="s">
        <v>63</v>
      </c>
      <c r="G31" s="2" t="s">
        <v>29</v>
      </c>
      <c r="H31" s="2" t="s">
        <v>56</v>
      </c>
      <c r="I31" s="2" t="s">
        <v>21</v>
      </c>
      <c r="J31" s="3">
        <v>46220</v>
      </c>
      <c r="K31" s="2">
        <f t="shared" ca="1" si="2"/>
        <v>0</v>
      </c>
      <c r="L31" s="2" t="s">
        <v>23</v>
      </c>
      <c r="M31" s="2" t="str">
        <f t="shared" si="1"/>
        <v>Closed</v>
      </c>
      <c r="N31" s="4" t="s">
        <v>140</v>
      </c>
      <c r="O31" s="2" t="s">
        <v>58</v>
      </c>
    </row>
    <row r="32" spans="1:15" ht="31.2" x14ac:dyDescent="0.3">
      <c r="A32" s="2" t="s">
        <v>141</v>
      </c>
      <c r="B32" s="2" t="s">
        <v>52</v>
      </c>
      <c r="C32" s="3">
        <v>46206</v>
      </c>
      <c r="D32" s="2" t="s">
        <v>61</v>
      </c>
      <c r="E32" s="2" t="s">
        <v>116</v>
      </c>
      <c r="F32" s="2" t="s">
        <v>55</v>
      </c>
      <c r="G32" s="2" t="s">
        <v>19</v>
      </c>
      <c r="H32" s="2" t="s">
        <v>110</v>
      </c>
      <c r="I32" s="2" t="s">
        <v>21</v>
      </c>
      <c r="J32" s="3">
        <v>46220</v>
      </c>
      <c r="K32" s="2">
        <f t="shared" ca="1" si="2"/>
        <v>24</v>
      </c>
      <c r="L32" s="2" t="s">
        <v>17</v>
      </c>
      <c r="M32" s="2" t="str">
        <f t="shared" ca="1" si="1"/>
        <v>15-30 Days</v>
      </c>
      <c r="N32" s="4" t="s">
        <v>142</v>
      </c>
      <c r="O32" s="2" t="s">
        <v>58</v>
      </c>
    </row>
    <row r="33" spans="1:15" ht="31.2" x14ac:dyDescent="0.3">
      <c r="A33" s="2" t="s">
        <v>143</v>
      </c>
      <c r="B33" s="2" t="s">
        <v>60</v>
      </c>
      <c r="C33" s="3">
        <v>46210</v>
      </c>
      <c r="D33" s="2" t="s">
        <v>53</v>
      </c>
      <c r="E33" s="2" t="s">
        <v>70</v>
      </c>
      <c r="F33" s="2" t="s">
        <v>63</v>
      </c>
      <c r="G33" s="2" t="s">
        <v>28</v>
      </c>
      <c r="H33" s="2" t="s">
        <v>87</v>
      </c>
      <c r="I33" s="2" t="s">
        <v>18</v>
      </c>
      <c r="J33" s="3">
        <v>46215</v>
      </c>
      <c r="K33" s="2">
        <f t="shared" ca="1" si="2"/>
        <v>20</v>
      </c>
      <c r="L33" s="2" t="s">
        <v>14</v>
      </c>
      <c r="M33" s="2" t="str">
        <f t="shared" ca="1" si="1"/>
        <v>15-30 Days</v>
      </c>
      <c r="N33" s="4" t="s">
        <v>144</v>
      </c>
      <c r="O33" s="2" t="s">
        <v>58</v>
      </c>
    </row>
    <row r="34" spans="1:15" ht="31.2" x14ac:dyDescent="0.3">
      <c r="A34" s="2" t="s">
        <v>145</v>
      </c>
      <c r="B34" s="2" t="s">
        <v>52</v>
      </c>
      <c r="C34" s="3">
        <v>46163</v>
      </c>
      <c r="D34" s="2" t="s">
        <v>61</v>
      </c>
      <c r="E34" s="2" t="s">
        <v>97</v>
      </c>
      <c r="F34" s="2" t="s">
        <v>55</v>
      </c>
      <c r="G34" s="2" t="s">
        <v>27</v>
      </c>
      <c r="H34" s="2" t="s">
        <v>76</v>
      </c>
      <c r="I34" s="2" t="s">
        <v>24</v>
      </c>
      <c r="J34" s="3">
        <v>46170</v>
      </c>
      <c r="K34" s="2">
        <f t="shared" ref="K34:K61" ca="1" si="3">IF(L34="Closed",0,MAX(0,TODAY()-C34))</f>
        <v>67</v>
      </c>
      <c r="L34" s="2" t="s">
        <v>14</v>
      </c>
      <c r="M34" s="2" t="str">
        <f t="shared" ref="M34:M61" ca="1" si="4">IF(L34="Closed","Closed",IF(K34&gt;30,"31+ Days",IF(K34&gt;14,"15-30 Days",IF(K34&gt;7,"8-14 Days","0-7 Days"))))</f>
        <v>31+ Days</v>
      </c>
      <c r="N34" s="4" t="s">
        <v>146</v>
      </c>
      <c r="O34" s="2" t="s">
        <v>58</v>
      </c>
    </row>
    <row r="35" spans="1:15" ht="31.2" x14ac:dyDescent="0.3">
      <c r="A35" s="2" t="s">
        <v>147</v>
      </c>
      <c r="B35" s="2" t="s">
        <v>60</v>
      </c>
      <c r="C35" s="3">
        <v>46163</v>
      </c>
      <c r="D35" s="2" t="s">
        <v>61</v>
      </c>
      <c r="E35" s="2" t="s">
        <v>127</v>
      </c>
      <c r="F35" s="2" t="s">
        <v>63</v>
      </c>
      <c r="G35" s="2" t="s">
        <v>16</v>
      </c>
      <c r="H35" s="2" t="s">
        <v>64</v>
      </c>
      <c r="I35" s="2" t="s">
        <v>18</v>
      </c>
      <c r="J35" s="3">
        <v>46173</v>
      </c>
      <c r="K35" s="2">
        <f t="shared" ca="1" si="3"/>
        <v>0</v>
      </c>
      <c r="L35" s="2" t="s">
        <v>23</v>
      </c>
      <c r="M35" s="2" t="str">
        <f t="shared" si="4"/>
        <v>Closed</v>
      </c>
      <c r="N35" s="4" t="s">
        <v>148</v>
      </c>
      <c r="O35" s="2" t="s">
        <v>58</v>
      </c>
    </row>
    <row r="36" spans="1:15" ht="31.2" x14ac:dyDescent="0.3">
      <c r="A36" s="2" t="s">
        <v>149</v>
      </c>
      <c r="B36" s="2" t="s">
        <v>52</v>
      </c>
      <c r="C36" s="3">
        <v>46224</v>
      </c>
      <c r="D36" s="2" t="s">
        <v>84</v>
      </c>
      <c r="E36" s="2" t="s">
        <v>70</v>
      </c>
      <c r="F36" s="2" t="s">
        <v>55</v>
      </c>
      <c r="G36" s="2" t="s">
        <v>19</v>
      </c>
      <c r="H36" s="2" t="s">
        <v>110</v>
      </c>
      <c r="I36" s="2" t="s">
        <v>24</v>
      </c>
      <c r="J36" s="3">
        <v>46229</v>
      </c>
      <c r="K36" s="2">
        <f t="shared" ca="1" si="3"/>
        <v>6</v>
      </c>
      <c r="L36" s="2" t="s">
        <v>14</v>
      </c>
      <c r="M36" s="2" t="str">
        <f t="shared" ca="1" si="4"/>
        <v>0-7 Days</v>
      </c>
      <c r="N36" s="4" t="s">
        <v>150</v>
      </c>
      <c r="O36" s="2" t="s">
        <v>58</v>
      </c>
    </row>
    <row r="37" spans="1:15" ht="31.2" x14ac:dyDescent="0.3">
      <c r="A37" s="2" t="s">
        <v>151</v>
      </c>
      <c r="B37" s="2" t="s">
        <v>60</v>
      </c>
      <c r="C37" s="3">
        <v>46192</v>
      </c>
      <c r="D37" s="2" t="s">
        <v>61</v>
      </c>
      <c r="E37" s="2" t="s">
        <v>54</v>
      </c>
      <c r="F37" s="2" t="s">
        <v>63</v>
      </c>
      <c r="G37" s="2" t="s">
        <v>28</v>
      </c>
      <c r="H37" s="2" t="s">
        <v>87</v>
      </c>
      <c r="I37" s="2" t="s">
        <v>21</v>
      </c>
      <c r="J37" s="3">
        <v>46202</v>
      </c>
      <c r="K37" s="2">
        <f t="shared" ca="1" si="3"/>
        <v>0</v>
      </c>
      <c r="L37" s="2" t="s">
        <v>23</v>
      </c>
      <c r="M37" s="2" t="str">
        <f t="shared" si="4"/>
        <v>Closed</v>
      </c>
      <c r="N37" s="4" t="s">
        <v>152</v>
      </c>
      <c r="O37" s="2" t="s">
        <v>58</v>
      </c>
    </row>
    <row r="38" spans="1:15" ht="31.2" x14ac:dyDescent="0.3">
      <c r="A38" s="2" t="s">
        <v>153</v>
      </c>
      <c r="B38" s="2" t="s">
        <v>52</v>
      </c>
      <c r="C38" s="3">
        <v>46160</v>
      </c>
      <c r="D38" s="2" t="s">
        <v>61</v>
      </c>
      <c r="E38" s="2" t="s">
        <v>127</v>
      </c>
      <c r="F38" s="2" t="s">
        <v>55</v>
      </c>
      <c r="G38" s="2" t="s">
        <v>16</v>
      </c>
      <c r="H38" s="2" t="s">
        <v>64</v>
      </c>
      <c r="I38" s="2" t="s">
        <v>24</v>
      </c>
      <c r="J38" s="3">
        <v>46170</v>
      </c>
      <c r="K38" s="2">
        <f t="shared" ca="1" si="3"/>
        <v>70</v>
      </c>
      <c r="L38" s="2" t="s">
        <v>17</v>
      </c>
      <c r="M38" s="2" t="str">
        <f t="shared" ca="1" si="4"/>
        <v>31+ Days</v>
      </c>
      <c r="N38" s="4" t="s">
        <v>154</v>
      </c>
      <c r="O38" s="2" t="s">
        <v>58</v>
      </c>
    </row>
    <row r="39" spans="1:15" ht="31.2" x14ac:dyDescent="0.3">
      <c r="A39" s="2" t="s">
        <v>155</v>
      </c>
      <c r="B39" s="2" t="s">
        <v>60</v>
      </c>
      <c r="C39" s="3">
        <v>46189</v>
      </c>
      <c r="D39" s="2" t="s">
        <v>84</v>
      </c>
      <c r="E39" s="2" t="s">
        <v>75</v>
      </c>
      <c r="F39" s="2" t="s">
        <v>63</v>
      </c>
      <c r="G39" s="2" t="s">
        <v>25</v>
      </c>
      <c r="H39" s="2" t="s">
        <v>103</v>
      </c>
      <c r="I39" s="2" t="s">
        <v>15</v>
      </c>
      <c r="J39" s="3">
        <v>46199</v>
      </c>
      <c r="K39" s="2">
        <f t="shared" ca="1" si="3"/>
        <v>41</v>
      </c>
      <c r="L39" s="2" t="s">
        <v>14</v>
      </c>
      <c r="M39" s="2" t="str">
        <f t="shared" ca="1" si="4"/>
        <v>31+ Days</v>
      </c>
      <c r="N39" s="4" t="s">
        <v>156</v>
      </c>
      <c r="O39" s="2" t="s">
        <v>58</v>
      </c>
    </row>
    <row r="40" spans="1:15" ht="31.2" x14ac:dyDescent="0.3">
      <c r="A40" s="2" t="s">
        <v>157</v>
      </c>
      <c r="B40" s="2" t="s">
        <v>52</v>
      </c>
      <c r="C40" s="3">
        <v>46227</v>
      </c>
      <c r="D40" s="2" t="s">
        <v>79</v>
      </c>
      <c r="E40" s="2" t="s">
        <v>62</v>
      </c>
      <c r="F40" s="2" t="s">
        <v>55</v>
      </c>
      <c r="G40" s="2" t="s">
        <v>29</v>
      </c>
      <c r="H40" s="2" t="s">
        <v>56</v>
      </c>
      <c r="I40" s="2" t="s">
        <v>24</v>
      </c>
      <c r="J40" s="3">
        <v>46237</v>
      </c>
      <c r="K40" s="2">
        <f t="shared" ca="1" si="3"/>
        <v>3</v>
      </c>
      <c r="L40" s="2" t="s">
        <v>14</v>
      </c>
      <c r="M40" s="2" t="str">
        <f t="shared" ca="1" si="4"/>
        <v>0-7 Days</v>
      </c>
      <c r="N40" s="4" t="s">
        <v>158</v>
      </c>
      <c r="O40" s="2" t="s">
        <v>58</v>
      </c>
    </row>
    <row r="41" spans="1:15" ht="31.2" x14ac:dyDescent="0.3">
      <c r="A41" s="2" t="s">
        <v>159</v>
      </c>
      <c r="B41" s="2" t="s">
        <v>60</v>
      </c>
      <c r="C41" s="3">
        <v>46169</v>
      </c>
      <c r="D41" s="2" t="s">
        <v>74</v>
      </c>
      <c r="E41" s="2" t="s">
        <v>75</v>
      </c>
      <c r="F41" s="2" t="s">
        <v>63</v>
      </c>
      <c r="G41" s="2" t="s">
        <v>27</v>
      </c>
      <c r="H41" s="2" t="s">
        <v>76</v>
      </c>
      <c r="I41" s="2" t="s">
        <v>18</v>
      </c>
      <c r="J41" s="3">
        <v>46179</v>
      </c>
      <c r="K41" s="2">
        <f t="shared" ca="1" si="3"/>
        <v>61</v>
      </c>
      <c r="L41" s="2" t="s">
        <v>17</v>
      </c>
      <c r="M41" s="2" t="str">
        <f t="shared" ca="1" si="4"/>
        <v>31+ Days</v>
      </c>
      <c r="N41" s="4" t="s">
        <v>160</v>
      </c>
      <c r="O41" s="2" t="s">
        <v>58</v>
      </c>
    </row>
    <row r="42" spans="1:15" ht="31.2" x14ac:dyDescent="0.3">
      <c r="A42" s="2" t="s">
        <v>161</v>
      </c>
      <c r="B42" s="2" t="s">
        <v>52</v>
      </c>
      <c r="C42" s="3">
        <v>46200</v>
      </c>
      <c r="D42" s="2" t="s">
        <v>74</v>
      </c>
      <c r="E42" s="2" t="s">
        <v>75</v>
      </c>
      <c r="F42" s="2" t="s">
        <v>55</v>
      </c>
      <c r="G42" s="2" t="s">
        <v>27</v>
      </c>
      <c r="H42" s="2" t="s">
        <v>76</v>
      </c>
      <c r="I42" s="2" t="s">
        <v>24</v>
      </c>
      <c r="J42" s="3">
        <v>46221</v>
      </c>
      <c r="K42" s="2">
        <f t="shared" ca="1" si="3"/>
        <v>30</v>
      </c>
      <c r="L42" s="2" t="s">
        <v>14</v>
      </c>
      <c r="M42" s="2" t="str">
        <f t="shared" ca="1" si="4"/>
        <v>15-30 Days</v>
      </c>
      <c r="N42" s="4" t="s">
        <v>162</v>
      </c>
      <c r="O42" s="2" t="s">
        <v>58</v>
      </c>
    </row>
    <row r="43" spans="1:15" ht="31.2" x14ac:dyDescent="0.3">
      <c r="A43" s="2" t="s">
        <v>163</v>
      </c>
      <c r="B43" s="2" t="s">
        <v>60</v>
      </c>
      <c r="C43" s="3">
        <v>46165</v>
      </c>
      <c r="D43" s="2" t="s">
        <v>84</v>
      </c>
      <c r="E43" s="2" t="s">
        <v>70</v>
      </c>
      <c r="F43" s="2" t="s">
        <v>63</v>
      </c>
      <c r="G43" s="2" t="s">
        <v>22</v>
      </c>
      <c r="H43" s="2" t="s">
        <v>71</v>
      </c>
      <c r="I43" s="2" t="s">
        <v>24</v>
      </c>
      <c r="J43" s="3">
        <v>46186</v>
      </c>
      <c r="K43" s="2">
        <f t="shared" ca="1" si="3"/>
        <v>65</v>
      </c>
      <c r="L43" s="2" t="s">
        <v>14</v>
      </c>
      <c r="M43" s="2" t="str">
        <f t="shared" ca="1" si="4"/>
        <v>31+ Days</v>
      </c>
      <c r="N43" s="4" t="s">
        <v>164</v>
      </c>
      <c r="O43" s="2" t="s">
        <v>58</v>
      </c>
    </row>
    <row r="44" spans="1:15" ht="31.2" x14ac:dyDescent="0.3">
      <c r="A44" s="2" t="s">
        <v>165</v>
      </c>
      <c r="B44" s="2" t="s">
        <v>52</v>
      </c>
      <c r="C44" s="3">
        <v>46213</v>
      </c>
      <c r="D44" s="2" t="s">
        <v>53</v>
      </c>
      <c r="E44" s="2" t="s">
        <v>70</v>
      </c>
      <c r="F44" s="2" t="s">
        <v>55</v>
      </c>
      <c r="G44" s="2" t="s">
        <v>25</v>
      </c>
      <c r="H44" s="2" t="s">
        <v>103</v>
      </c>
      <c r="I44" s="2" t="s">
        <v>24</v>
      </c>
      <c r="J44" s="3">
        <v>46227</v>
      </c>
      <c r="K44" s="2">
        <f t="shared" ca="1" si="3"/>
        <v>17</v>
      </c>
      <c r="L44" s="2" t="s">
        <v>14</v>
      </c>
      <c r="M44" s="2" t="str">
        <f t="shared" ca="1" si="4"/>
        <v>15-30 Days</v>
      </c>
      <c r="N44" s="4" t="s">
        <v>166</v>
      </c>
      <c r="O44" s="2" t="s">
        <v>58</v>
      </c>
    </row>
    <row r="45" spans="1:15" ht="31.2" x14ac:dyDescent="0.3">
      <c r="A45" s="2" t="s">
        <v>167</v>
      </c>
      <c r="B45" s="2" t="s">
        <v>60</v>
      </c>
      <c r="C45" s="3">
        <v>46169</v>
      </c>
      <c r="D45" s="2" t="s">
        <v>84</v>
      </c>
      <c r="E45" s="2" t="s">
        <v>116</v>
      </c>
      <c r="F45" s="2" t="s">
        <v>63</v>
      </c>
      <c r="G45" s="2" t="s">
        <v>28</v>
      </c>
      <c r="H45" s="2" t="s">
        <v>87</v>
      </c>
      <c r="I45" s="2" t="s">
        <v>15</v>
      </c>
      <c r="J45" s="3">
        <v>46179</v>
      </c>
      <c r="K45" s="2">
        <f t="shared" ca="1" si="3"/>
        <v>0</v>
      </c>
      <c r="L45" s="2" t="s">
        <v>23</v>
      </c>
      <c r="M45" s="2" t="str">
        <f t="shared" si="4"/>
        <v>Closed</v>
      </c>
      <c r="N45" s="4" t="s">
        <v>168</v>
      </c>
      <c r="O45" s="2" t="s">
        <v>58</v>
      </c>
    </row>
    <row r="46" spans="1:15" ht="31.2" x14ac:dyDescent="0.3">
      <c r="A46" s="2" t="s">
        <v>169</v>
      </c>
      <c r="B46" s="2" t="s">
        <v>52</v>
      </c>
      <c r="C46" s="3">
        <v>46182</v>
      </c>
      <c r="D46" s="2" t="s">
        <v>61</v>
      </c>
      <c r="E46" s="2" t="s">
        <v>97</v>
      </c>
      <c r="F46" s="2" t="s">
        <v>55</v>
      </c>
      <c r="G46" s="2" t="s">
        <v>29</v>
      </c>
      <c r="H46" s="2" t="s">
        <v>56</v>
      </c>
      <c r="I46" s="2" t="s">
        <v>21</v>
      </c>
      <c r="J46" s="3">
        <v>46189</v>
      </c>
      <c r="K46" s="2">
        <f t="shared" ca="1" si="3"/>
        <v>0</v>
      </c>
      <c r="L46" s="2" t="s">
        <v>23</v>
      </c>
      <c r="M46" s="2" t="str">
        <f t="shared" si="4"/>
        <v>Closed</v>
      </c>
      <c r="N46" s="4" t="s">
        <v>170</v>
      </c>
      <c r="O46" s="2" t="s">
        <v>58</v>
      </c>
    </row>
    <row r="47" spans="1:15" ht="31.2" x14ac:dyDescent="0.3">
      <c r="A47" s="2" t="s">
        <v>171</v>
      </c>
      <c r="B47" s="2" t="s">
        <v>60</v>
      </c>
      <c r="C47" s="3">
        <v>46180</v>
      </c>
      <c r="D47" s="2" t="s">
        <v>84</v>
      </c>
      <c r="E47" s="2" t="s">
        <v>54</v>
      </c>
      <c r="F47" s="2" t="s">
        <v>63</v>
      </c>
      <c r="G47" s="2" t="s">
        <v>29</v>
      </c>
      <c r="H47" s="2" t="s">
        <v>56</v>
      </c>
      <c r="I47" s="2" t="s">
        <v>21</v>
      </c>
      <c r="J47" s="3">
        <v>46194</v>
      </c>
      <c r="K47" s="2">
        <f t="shared" ca="1" si="3"/>
        <v>0</v>
      </c>
      <c r="L47" s="2" t="s">
        <v>23</v>
      </c>
      <c r="M47" s="2" t="str">
        <f t="shared" si="4"/>
        <v>Closed</v>
      </c>
      <c r="N47" s="4" t="s">
        <v>172</v>
      </c>
      <c r="O47" s="2" t="s">
        <v>58</v>
      </c>
    </row>
    <row r="48" spans="1:15" ht="31.2" x14ac:dyDescent="0.3">
      <c r="A48" s="2" t="s">
        <v>173</v>
      </c>
      <c r="B48" s="2" t="s">
        <v>52</v>
      </c>
      <c r="C48" s="3">
        <v>46229</v>
      </c>
      <c r="D48" s="2" t="s">
        <v>53</v>
      </c>
      <c r="E48" s="2" t="s">
        <v>116</v>
      </c>
      <c r="F48" s="2" t="s">
        <v>55</v>
      </c>
      <c r="G48" s="2" t="s">
        <v>29</v>
      </c>
      <c r="H48" s="2" t="s">
        <v>56</v>
      </c>
      <c r="I48" s="2" t="s">
        <v>21</v>
      </c>
      <c r="J48" s="3">
        <v>46234</v>
      </c>
      <c r="K48" s="2">
        <f t="shared" ca="1" si="3"/>
        <v>1</v>
      </c>
      <c r="L48" s="2" t="s">
        <v>14</v>
      </c>
      <c r="M48" s="2" t="str">
        <f t="shared" ca="1" si="4"/>
        <v>0-7 Days</v>
      </c>
      <c r="N48" s="4" t="s">
        <v>174</v>
      </c>
      <c r="O48" s="2" t="s">
        <v>58</v>
      </c>
    </row>
    <row r="49" spans="1:15" ht="31.2" x14ac:dyDescent="0.3">
      <c r="A49" s="2" t="s">
        <v>175</v>
      </c>
      <c r="B49" s="2" t="s">
        <v>60</v>
      </c>
      <c r="C49" s="3">
        <v>46158</v>
      </c>
      <c r="D49" s="2" t="s">
        <v>53</v>
      </c>
      <c r="E49" s="2" t="s">
        <v>62</v>
      </c>
      <c r="F49" s="2" t="s">
        <v>63</v>
      </c>
      <c r="G49" s="2" t="s">
        <v>26</v>
      </c>
      <c r="H49" s="2" t="s">
        <v>81</v>
      </c>
      <c r="I49" s="2" t="s">
        <v>21</v>
      </c>
      <c r="J49" s="3">
        <v>46172</v>
      </c>
      <c r="K49" s="2">
        <f t="shared" ca="1" si="3"/>
        <v>0</v>
      </c>
      <c r="L49" s="2" t="s">
        <v>23</v>
      </c>
      <c r="M49" s="2" t="str">
        <f t="shared" si="4"/>
        <v>Closed</v>
      </c>
      <c r="N49" s="4" t="s">
        <v>176</v>
      </c>
      <c r="O49" s="2" t="s">
        <v>58</v>
      </c>
    </row>
    <row r="50" spans="1:15" ht="31.2" x14ac:dyDescent="0.3">
      <c r="A50" s="2" t="s">
        <v>177</v>
      </c>
      <c r="B50" s="2" t="s">
        <v>52</v>
      </c>
      <c r="C50" s="3">
        <v>46156</v>
      </c>
      <c r="D50" s="2" t="s">
        <v>84</v>
      </c>
      <c r="E50" s="2" t="s">
        <v>54</v>
      </c>
      <c r="F50" s="2" t="s">
        <v>55</v>
      </c>
      <c r="G50" s="2" t="s">
        <v>25</v>
      </c>
      <c r="H50" s="2" t="s">
        <v>103</v>
      </c>
      <c r="I50" s="2" t="s">
        <v>24</v>
      </c>
      <c r="J50" s="3">
        <v>46166</v>
      </c>
      <c r="K50" s="2">
        <f t="shared" ca="1" si="3"/>
        <v>74</v>
      </c>
      <c r="L50" s="2" t="s">
        <v>20</v>
      </c>
      <c r="M50" s="2" t="str">
        <f t="shared" ca="1" si="4"/>
        <v>31+ Days</v>
      </c>
      <c r="N50" s="4" t="s">
        <v>178</v>
      </c>
      <c r="O50" s="2" t="s">
        <v>58</v>
      </c>
    </row>
    <row r="51" spans="1:15" ht="31.2" x14ac:dyDescent="0.3">
      <c r="A51" s="2" t="s">
        <v>179</v>
      </c>
      <c r="B51" s="2" t="s">
        <v>60</v>
      </c>
      <c r="C51" s="3">
        <v>46180</v>
      </c>
      <c r="D51" s="2" t="s">
        <v>74</v>
      </c>
      <c r="E51" s="2" t="s">
        <v>70</v>
      </c>
      <c r="F51" s="2" t="s">
        <v>63</v>
      </c>
      <c r="G51" s="2" t="s">
        <v>22</v>
      </c>
      <c r="H51" s="2" t="s">
        <v>71</v>
      </c>
      <c r="I51" s="2" t="s">
        <v>21</v>
      </c>
      <c r="J51" s="3">
        <v>46194</v>
      </c>
      <c r="K51" s="2">
        <f t="shared" ca="1" si="3"/>
        <v>50</v>
      </c>
      <c r="L51" s="2" t="s">
        <v>20</v>
      </c>
      <c r="M51" s="2" t="str">
        <f t="shared" ca="1" si="4"/>
        <v>31+ Days</v>
      </c>
      <c r="N51" s="4" t="s">
        <v>180</v>
      </c>
      <c r="O51" s="2" t="s">
        <v>58</v>
      </c>
    </row>
    <row r="52" spans="1:15" ht="31.2" x14ac:dyDescent="0.3">
      <c r="A52" s="2" t="s">
        <v>181</v>
      </c>
      <c r="B52" s="2" t="s">
        <v>52</v>
      </c>
      <c r="C52" s="3">
        <v>46176</v>
      </c>
      <c r="D52" s="2" t="s">
        <v>79</v>
      </c>
      <c r="E52" s="2" t="s">
        <v>127</v>
      </c>
      <c r="F52" s="2" t="s">
        <v>55</v>
      </c>
      <c r="G52" s="2" t="s">
        <v>25</v>
      </c>
      <c r="H52" s="2" t="s">
        <v>103</v>
      </c>
      <c r="I52" s="2" t="s">
        <v>21</v>
      </c>
      <c r="J52" s="3">
        <v>46186</v>
      </c>
      <c r="K52" s="2">
        <f t="shared" ca="1" si="3"/>
        <v>0</v>
      </c>
      <c r="L52" s="2" t="s">
        <v>23</v>
      </c>
      <c r="M52" s="2" t="str">
        <f t="shared" si="4"/>
        <v>Closed</v>
      </c>
      <c r="N52" s="4" t="s">
        <v>182</v>
      </c>
      <c r="O52" s="2" t="s">
        <v>58</v>
      </c>
    </row>
    <row r="53" spans="1:15" ht="31.2" x14ac:dyDescent="0.3">
      <c r="A53" s="2" t="s">
        <v>183</v>
      </c>
      <c r="B53" s="2" t="s">
        <v>60</v>
      </c>
      <c r="C53" s="3">
        <v>46163</v>
      </c>
      <c r="D53" s="2" t="s">
        <v>79</v>
      </c>
      <c r="E53" s="2" t="s">
        <v>67</v>
      </c>
      <c r="F53" s="2" t="s">
        <v>63</v>
      </c>
      <c r="G53" s="2" t="s">
        <v>16</v>
      </c>
      <c r="H53" s="2" t="s">
        <v>64</v>
      </c>
      <c r="I53" s="2" t="s">
        <v>21</v>
      </c>
      <c r="J53" s="3">
        <v>46173</v>
      </c>
      <c r="K53" s="2">
        <f t="shared" ca="1" si="3"/>
        <v>67</v>
      </c>
      <c r="L53" s="2" t="s">
        <v>20</v>
      </c>
      <c r="M53" s="2" t="str">
        <f t="shared" ca="1" si="4"/>
        <v>31+ Days</v>
      </c>
      <c r="N53" s="4" t="s">
        <v>184</v>
      </c>
      <c r="O53" s="2" t="s">
        <v>58</v>
      </c>
    </row>
    <row r="54" spans="1:15" ht="31.2" x14ac:dyDescent="0.3">
      <c r="A54" s="2" t="s">
        <v>185</v>
      </c>
      <c r="B54" s="2" t="s">
        <v>52</v>
      </c>
      <c r="C54" s="3">
        <v>46160</v>
      </c>
      <c r="D54" s="2" t="s">
        <v>53</v>
      </c>
      <c r="E54" s="2" t="s">
        <v>67</v>
      </c>
      <c r="F54" s="2" t="s">
        <v>55</v>
      </c>
      <c r="G54" s="2" t="s">
        <v>27</v>
      </c>
      <c r="H54" s="2" t="s">
        <v>76</v>
      </c>
      <c r="I54" s="2" t="s">
        <v>24</v>
      </c>
      <c r="J54" s="3">
        <v>46167</v>
      </c>
      <c r="K54" s="2">
        <f t="shared" ca="1" si="3"/>
        <v>70</v>
      </c>
      <c r="L54" s="2" t="s">
        <v>17</v>
      </c>
      <c r="M54" s="2" t="str">
        <f t="shared" ca="1" si="4"/>
        <v>31+ Days</v>
      </c>
      <c r="N54" s="4" t="s">
        <v>186</v>
      </c>
      <c r="O54" s="2" t="s">
        <v>58</v>
      </c>
    </row>
    <row r="55" spans="1:15" ht="31.2" x14ac:dyDescent="0.3">
      <c r="A55" s="2" t="s">
        <v>187</v>
      </c>
      <c r="B55" s="2" t="s">
        <v>60</v>
      </c>
      <c r="C55" s="3">
        <v>46201</v>
      </c>
      <c r="D55" s="2" t="s">
        <v>79</v>
      </c>
      <c r="E55" s="2" t="s">
        <v>97</v>
      </c>
      <c r="F55" s="2" t="s">
        <v>63</v>
      </c>
      <c r="G55" s="2" t="s">
        <v>22</v>
      </c>
      <c r="H55" s="2" t="s">
        <v>71</v>
      </c>
      <c r="I55" s="2" t="s">
        <v>24</v>
      </c>
      <c r="J55" s="3">
        <v>46211</v>
      </c>
      <c r="K55" s="2">
        <f t="shared" ca="1" si="3"/>
        <v>29</v>
      </c>
      <c r="L55" s="2" t="s">
        <v>17</v>
      </c>
      <c r="M55" s="2" t="str">
        <f t="shared" ca="1" si="4"/>
        <v>15-30 Days</v>
      </c>
      <c r="N55" s="4" t="s">
        <v>188</v>
      </c>
      <c r="O55" s="2" t="s">
        <v>58</v>
      </c>
    </row>
    <row r="56" spans="1:15" ht="31.2" x14ac:dyDescent="0.3">
      <c r="A56" s="2" t="s">
        <v>189</v>
      </c>
      <c r="B56" s="2" t="s">
        <v>52</v>
      </c>
      <c r="C56" s="3">
        <v>46160</v>
      </c>
      <c r="D56" s="2" t="s">
        <v>61</v>
      </c>
      <c r="E56" s="2" t="s">
        <v>54</v>
      </c>
      <c r="F56" s="2" t="s">
        <v>55</v>
      </c>
      <c r="G56" s="2" t="s">
        <v>19</v>
      </c>
      <c r="H56" s="2" t="s">
        <v>110</v>
      </c>
      <c r="I56" s="2" t="s">
        <v>18</v>
      </c>
      <c r="J56" s="3">
        <v>46181</v>
      </c>
      <c r="K56" s="2">
        <f t="shared" ca="1" si="3"/>
        <v>70</v>
      </c>
      <c r="L56" s="2" t="s">
        <v>20</v>
      </c>
      <c r="M56" s="2" t="str">
        <f t="shared" ca="1" si="4"/>
        <v>31+ Days</v>
      </c>
      <c r="N56" s="4" t="s">
        <v>190</v>
      </c>
      <c r="O56" s="2" t="s">
        <v>58</v>
      </c>
    </row>
    <row r="57" spans="1:15" ht="31.2" x14ac:dyDescent="0.3">
      <c r="A57" s="2" t="s">
        <v>191</v>
      </c>
      <c r="B57" s="2" t="s">
        <v>60</v>
      </c>
      <c r="C57" s="3">
        <v>46201</v>
      </c>
      <c r="D57" s="2" t="s">
        <v>84</v>
      </c>
      <c r="E57" s="2" t="s">
        <v>97</v>
      </c>
      <c r="F57" s="2" t="s">
        <v>63</v>
      </c>
      <c r="G57" s="2" t="s">
        <v>27</v>
      </c>
      <c r="H57" s="2" t="s">
        <v>76</v>
      </c>
      <c r="I57" s="2" t="s">
        <v>21</v>
      </c>
      <c r="J57" s="3">
        <v>46215</v>
      </c>
      <c r="K57" s="2">
        <f t="shared" ca="1" si="3"/>
        <v>29</v>
      </c>
      <c r="L57" s="2" t="s">
        <v>14</v>
      </c>
      <c r="M57" s="2" t="str">
        <f t="shared" ca="1" si="4"/>
        <v>15-30 Days</v>
      </c>
      <c r="N57" s="4" t="s">
        <v>192</v>
      </c>
      <c r="O57" s="2" t="s">
        <v>58</v>
      </c>
    </row>
    <row r="58" spans="1:15" ht="31.2" x14ac:dyDescent="0.3">
      <c r="A58" s="2" t="s">
        <v>193</v>
      </c>
      <c r="B58" s="2" t="s">
        <v>52</v>
      </c>
      <c r="C58" s="3">
        <v>46229</v>
      </c>
      <c r="D58" s="2" t="s">
        <v>79</v>
      </c>
      <c r="E58" s="2" t="s">
        <v>70</v>
      </c>
      <c r="F58" s="2" t="s">
        <v>55</v>
      </c>
      <c r="G58" s="2" t="s">
        <v>27</v>
      </c>
      <c r="H58" s="2" t="s">
        <v>76</v>
      </c>
      <c r="I58" s="2" t="s">
        <v>18</v>
      </c>
      <c r="J58" s="3">
        <v>46236</v>
      </c>
      <c r="K58" s="2">
        <f t="shared" ca="1" si="3"/>
        <v>1</v>
      </c>
      <c r="L58" s="2" t="s">
        <v>17</v>
      </c>
      <c r="M58" s="2" t="str">
        <f t="shared" ca="1" si="4"/>
        <v>0-7 Days</v>
      </c>
      <c r="N58" s="4" t="s">
        <v>194</v>
      </c>
      <c r="O58" s="2" t="s">
        <v>58</v>
      </c>
    </row>
    <row r="59" spans="1:15" ht="31.2" x14ac:dyDescent="0.3">
      <c r="A59" s="2" t="s">
        <v>195</v>
      </c>
      <c r="B59" s="2" t="s">
        <v>60</v>
      </c>
      <c r="C59" s="3">
        <v>46210</v>
      </c>
      <c r="D59" s="2" t="s">
        <v>79</v>
      </c>
      <c r="E59" s="2" t="s">
        <v>54</v>
      </c>
      <c r="F59" s="2" t="s">
        <v>63</v>
      </c>
      <c r="G59" s="2" t="s">
        <v>19</v>
      </c>
      <c r="H59" s="2" t="s">
        <v>110</v>
      </c>
      <c r="I59" s="2" t="s">
        <v>21</v>
      </c>
      <c r="J59" s="3">
        <v>46215</v>
      </c>
      <c r="K59" s="2">
        <f t="shared" ca="1" si="3"/>
        <v>20</v>
      </c>
      <c r="L59" s="2" t="s">
        <v>17</v>
      </c>
      <c r="M59" s="2" t="str">
        <f t="shared" ca="1" si="4"/>
        <v>15-30 Days</v>
      </c>
      <c r="N59" s="4" t="s">
        <v>196</v>
      </c>
      <c r="O59" s="2" t="s">
        <v>58</v>
      </c>
    </row>
    <row r="60" spans="1:15" ht="31.2" x14ac:dyDescent="0.3">
      <c r="A60" s="2" t="s">
        <v>197</v>
      </c>
      <c r="B60" s="2" t="s">
        <v>52</v>
      </c>
      <c r="C60" s="3">
        <v>46220</v>
      </c>
      <c r="D60" s="2" t="s">
        <v>84</v>
      </c>
      <c r="E60" s="2" t="s">
        <v>54</v>
      </c>
      <c r="F60" s="2" t="s">
        <v>55</v>
      </c>
      <c r="G60" s="2" t="s">
        <v>29</v>
      </c>
      <c r="H60" s="2" t="s">
        <v>56</v>
      </c>
      <c r="I60" s="2" t="s">
        <v>21</v>
      </c>
      <c r="J60" s="3">
        <v>46241</v>
      </c>
      <c r="K60" s="2">
        <f t="shared" ca="1" si="3"/>
        <v>10</v>
      </c>
      <c r="L60" s="2" t="s">
        <v>20</v>
      </c>
      <c r="M60" s="2" t="str">
        <f t="shared" ca="1" si="4"/>
        <v>8-14 Days</v>
      </c>
      <c r="N60" s="4" t="s">
        <v>198</v>
      </c>
      <c r="O60" s="2" t="s">
        <v>58</v>
      </c>
    </row>
    <row r="61" spans="1:15" ht="31.2" x14ac:dyDescent="0.3">
      <c r="A61" s="2" t="s">
        <v>199</v>
      </c>
      <c r="B61" s="2" t="s">
        <v>60</v>
      </c>
      <c r="C61" s="3">
        <v>46157</v>
      </c>
      <c r="D61" s="2" t="s">
        <v>53</v>
      </c>
      <c r="E61" s="2" t="s">
        <v>67</v>
      </c>
      <c r="F61" s="2" t="s">
        <v>63</v>
      </c>
      <c r="G61" s="2" t="s">
        <v>22</v>
      </c>
      <c r="H61" s="2" t="s">
        <v>71</v>
      </c>
      <c r="I61" s="2" t="s">
        <v>21</v>
      </c>
      <c r="J61" s="3">
        <v>46167</v>
      </c>
      <c r="K61" s="2">
        <f t="shared" ca="1" si="3"/>
        <v>73</v>
      </c>
      <c r="L61" s="2" t="s">
        <v>14</v>
      </c>
      <c r="M61" s="2" t="str">
        <f t="shared" ca="1" si="4"/>
        <v>31+ Days</v>
      </c>
      <c r="N61" s="4" t="s">
        <v>200</v>
      </c>
      <c r="O61" s="2" t="s">
        <v>58</v>
      </c>
    </row>
  </sheetData>
  <autoFilter ref="A1:O61" xr:uid="{00000000-0009-0000-0000-000001000000}"/>
  <conditionalFormatting sqref="L2:L3 L5:L8 L53:L61">
    <cfRule type="expression" dxfId="6" priority="5">
      <formula>L2="Closed"</formula>
    </cfRule>
  </conditionalFormatting>
  <conditionalFormatting sqref="K2:K61">
    <cfRule type="expression" dxfId="5" priority="3">
      <formula>K2&gt;14</formula>
    </cfRule>
  </conditionalFormatting>
  <conditionalFormatting sqref="L4">
    <cfRule type="expression" dxfId="1" priority="2">
      <formula>L4="Closed"</formula>
    </cfRule>
  </conditionalFormatting>
  <conditionalFormatting sqref="L9:L52">
    <cfRule type="expression" dxfId="0" priority="1">
      <formula>L9="Closed"</formula>
    </cfRule>
  </conditionalFormatting>
  <hyperlinks>
    <hyperlink ref="N2" r:id="rId1" xr:uid="{00000000-0004-0000-0100-000000000000}"/>
    <hyperlink ref="N3" r:id="rId2" xr:uid="{00000000-0004-0000-0100-000001000000}"/>
    <hyperlink ref="N4" r:id="rId3" xr:uid="{00000000-0004-0000-0100-000002000000}"/>
    <hyperlink ref="N5" r:id="rId4" xr:uid="{00000000-0004-0000-0100-000003000000}"/>
    <hyperlink ref="N6" r:id="rId5" xr:uid="{00000000-0004-0000-0100-000004000000}"/>
    <hyperlink ref="N7" r:id="rId6" xr:uid="{00000000-0004-0000-0100-000005000000}"/>
    <hyperlink ref="N8" r:id="rId7" xr:uid="{00000000-0004-0000-0100-000006000000}"/>
    <hyperlink ref="N9" r:id="rId8" xr:uid="{00000000-0004-0000-0100-000007000000}"/>
    <hyperlink ref="N10" r:id="rId9" xr:uid="{00000000-0004-0000-0100-000008000000}"/>
    <hyperlink ref="N11" r:id="rId10" xr:uid="{00000000-0004-0000-0100-000009000000}"/>
    <hyperlink ref="N12" r:id="rId11" xr:uid="{00000000-0004-0000-0100-00000A000000}"/>
    <hyperlink ref="N13" r:id="rId12" xr:uid="{00000000-0004-0000-0100-00000B000000}"/>
    <hyperlink ref="N14" r:id="rId13" xr:uid="{00000000-0004-0000-0100-00000C000000}"/>
    <hyperlink ref="N15" r:id="rId14" xr:uid="{00000000-0004-0000-0100-00000D000000}"/>
    <hyperlink ref="N16" r:id="rId15" xr:uid="{00000000-0004-0000-0100-00000E000000}"/>
    <hyperlink ref="N17" r:id="rId16" xr:uid="{00000000-0004-0000-0100-00000F000000}"/>
    <hyperlink ref="N18" r:id="rId17" xr:uid="{00000000-0004-0000-0100-000010000000}"/>
    <hyperlink ref="N19" r:id="rId18" xr:uid="{00000000-0004-0000-0100-000011000000}"/>
    <hyperlink ref="N20" r:id="rId19" xr:uid="{00000000-0004-0000-0100-000012000000}"/>
    <hyperlink ref="N21" r:id="rId20" xr:uid="{00000000-0004-0000-0100-000013000000}"/>
    <hyperlink ref="N22" r:id="rId21" xr:uid="{00000000-0004-0000-0100-000014000000}"/>
    <hyperlink ref="N23" r:id="rId22" xr:uid="{00000000-0004-0000-0100-000015000000}"/>
    <hyperlink ref="N24" r:id="rId23" xr:uid="{00000000-0004-0000-0100-000016000000}"/>
    <hyperlink ref="N25" r:id="rId24" xr:uid="{00000000-0004-0000-0100-000017000000}"/>
    <hyperlink ref="N26" r:id="rId25" xr:uid="{00000000-0004-0000-0100-000018000000}"/>
    <hyperlink ref="N27" r:id="rId26" xr:uid="{00000000-0004-0000-0100-000019000000}"/>
    <hyperlink ref="N28" r:id="rId27" xr:uid="{00000000-0004-0000-0100-00001A000000}"/>
    <hyperlink ref="N29" r:id="rId28" xr:uid="{00000000-0004-0000-0100-00001B000000}"/>
    <hyperlink ref="N30" r:id="rId29" xr:uid="{00000000-0004-0000-0100-00001C000000}"/>
    <hyperlink ref="N31" r:id="rId30" xr:uid="{00000000-0004-0000-0100-00001D000000}"/>
    <hyperlink ref="N32" r:id="rId31" xr:uid="{00000000-0004-0000-0100-00001E000000}"/>
    <hyperlink ref="N33" r:id="rId32" xr:uid="{00000000-0004-0000-0100-00001F000000}"/>
    <hyperlink ref="N34" r:id="rId33" xr:uid="{00000000-0004-0000-0100-000020000000}"/>
    <hyperlink ref="N35" r:id="rId34" xr:uid="{00000000-0004-0000-0100-000021000000}"/>
    <hyperlink ref="N36" r:id="rId35" xr:uid="{00000000-0004-0000-0100-000022000000}"/>
    <hyperlink ref="N37" r:id="rId36" xr:uid="{00000000-0004-0000-0100-000023000000}"/>
    <hyperlink ref="N38" r:id="rId37" xr:uid="{00000000-0004-0000-0100-000024000000}"/>
    <hyperlink ref="N39" r:id="rId38" xr:uid="{00000000-0004-0000-0100-000025000000}"/>
    <hyperlink ref="N40" r:id="rId39" xr:uid="{00000000-0004-0000-0100-000026000000}"/>
    <hyperlink ref="N41" r:id="rId40" xr:uid="{00000000-0004-0000-0100-000027000000}"/>
    <hyperlink ref="N42" r:id="rId41" xr:uid="{00000000-0004-0000-0100-000028000000}"/>
    <hyperlink ref="N43" r:id="rId42" xr:uid="{00000000-0004-0000-0100-000029000000}"/>
    <hyperlink ref="N44" r:id="rId43" xr:uid="{00000000-0004-0000-0100-00002A000000}"/>
    <hyperlink ref="N45" r:id="rId44" xr:uid="{00000000-0004-0000-0100-00002B000000}"/>
    <hyperlink ref="N46" r:id="rId45" xr:uid="{00000000-0004-0000-0100-00002C000000}"/>
    <hyperlink ref="N47" r:id="rId46" xr:uid="{00000000-0004-0000-0100-00002D000000}"/>
    <hyperlink ref="N48" r:id="rId47" xr:uid="{00000000-0004-0000-0100-00002E000000}"/>
    <hyperlink ref="N49" r:id="rId48" xr:uid="{00000000-0004-0000-0100-00002F000000}"/>
    <hyperlink ref="N50" r:id="rId49" xr:uid="{00000000-0004-0000-0100-000030000000}"/>
    <hyperlink ref="N51" r:id="rId50" xr:uid="{00000000-0004-0000-0100-000031000000}"/>
    <hyperlink ref="N52" r:id="rId51" xr:uid="{00000000-0004-0000-0100-000032000000}"/>
    <hyperlink ref="N53" r:id="rId52" xr:uid="{00000000-0004-0000-0100-000033000000}"/>
    <hyperlink ref="N54" r:id="rId53" xr:uid="{00000000-0004-0000-0100-000034000000}"/>
    <hyperlink ref="N55" r:id="rId54" xr:uid="{00000000-0004-0000-0100-000035000000}"/>
    <hyperlink ref="N56" r:id="rId55" xr:uid="{00000000-0004-0000-0100-000036000000}"/>
    <hyperlink ref="N57" r:id="rId56" xr:uid="{00000000-0004-0000-0100-000037000000}"/>
    <hyperlink ref="N58" r:id="rId57" xr:uid="{00000000-0004-0000-0100-000038000000}"/>
    <hyperlink ref="N59" r:id="rId58" xr:uid="{00000000-0004-0000-0100-000039000000}"/>
    <hyperlink ref="N60" r:id="rId59" xr:uid="{00000000-0004-0000-0100-00003A000000}"/>
    <hyperlink ref="N61" r:id="rId60" xr:uid="{00000000-0004-0000-0100-00003B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40" customWidth="1"/>
    <col min="3" max="3" width="15" customWidth="1"/>
    <col min="4" max="4" width="10" customWidth="1"/>
    <col min="5" max="5" width="20" customWidth="1"/>
    <col min="6" max="6" width="15" customWidth="1"/>
    <col min="7" max="7" width="20" customWidth="1"/>
    <col min="8" max="8" width="22" customWidth="1"/>
    <col min="9" max="9" width="15" customWidth="1"/>
    <col min="10" max="10" width="12" customWidth="1"/>
    <col min="11" max="11" width="28" customWidth="1"/>
  </cols>
  <sheetData>
    <row r="1" spans="1:11" x14ac:dyDescent="0.3">
      <c r="A1" s="5" t="s">
        <v>201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206</v>
      </c>
      <c r="G1" s="5" t="s">
        <v>207</v>
      </c>
      <c r="H1" s="5" t="s">
        <v>43</v>
      </c>
      <c r="I1" s="5" t="s">
        <v>208</v>
      </c>
      <c r="J1" s="5" t="s">
        <v>209</v>
      </c>
      <c r="K1" s="5" t="s">
        <v>210</v>
      </c>
    </row>
    <row r="2" spans="1:11" ht="15.6" x14ac:dyDescent="0.3">
      <c r="A2" t="s">
        <v>211</v>
      </c>
      <c r="B2" t="s">
        <v>113</v>
      </c>
      <c r="C2" t="s">
        <v>212</v>
      </c>
      <c r="D2" t="s">
        <v>213</v>
      </c>
      <c r="E2" t="s">
        <v>214</v>
      </c>
      <c r="F2" s="6">
        <v>46223</v>
      </c>
      <c r="G2" t="s">
        <v>215</v>
      </c>
      <c r="H2" t="s">
        <v>76</v>
      </c>
      <c r="I2" s="6">
        <v>46237</v>
      </c>
      <c r="J2">
        <f t="shared" ref="J2:J41" ca="1" si="0">I2-TODAY()</f>
        <v>7</v>
      </c>
      <c r="K2" s="7" t="s">
        <v>216</v>
      </c>
    </row>
    <row r="3" spans="1:11" ht="15.6" x14ac:dyDescent="0.3">
      <c r="A3" t="s">
        <v>217</v>
      </c>
      <c r="B3" t="s">
        <v>54</v>
      </c>
      <c r="C3" t="s">
        <v>212</v>
      </c>
      <c r="D3" t="s">
        <v>218</v>
      </c>
      <c r="E3" t="s">
        <v>219</v>
      </c>
      <c r="F3" s="6">
        <v>46170</v>
      </c>
      <c r="G3" t="s">
        <v>220</v>
      </c>
      <c r="H3" t="s">
        <v>64</v>
      </c>
      <c r="I3" s="6">
        <v>46191</v>
      </c>
      <c r="J3">
        <f t="shared" ca="1" si="0"/>
        <v>-39</v>
      </c>
      <c r="K3" s="7" t="s">
        <v>221</v>
      </c>
    </row>
    <row r="4" spans="1:11" ht="15.6" x14ac:dyDescent="0.3">
      <c r="A4" t="s">
        <v>222</v>
      </c>
      <c r="B4" t="s">
        <v>67</v>
      </c>
      <c r="C4" t="s">
        <v>223</v>
      </c>
      <c r="D4" t="s">
        <v>224</v>
      </c>
      <c r="E4" t="s">
        <v>225</v>
      </c>
      <c r="F4" s="6">
        <v>46194</v>
      </c>
      <c r="G4" t="s">
        <v>220</v>
      </c>
      <c r="H4" t="s">
        <v>87</v>
      </c>
      <c r="I4" s="6">
        <v>46208</v>
      </c>
      <c r="J4">
        <f t="shared" ca="1" si="0"/>
        <v>-22</v>
      </c>
      <c r="K4" s="7" t="s">
        <v>226</v>
      </c>
    </row>
    <row r="5" spans="1:11" ht="15.6" x14ac:dyDescent="0.3">
      <c r="A5" t="s">
        <v>227</v>
      </c>
      <c r="B5" t="s">
        <v>97</v>
      </c>
      <c r="C5" t="s">
        <v>29</v>
      </c>
      <c r="D5" t="s">
        <v>224</v>
      </c>
      <c r="E5" t="s">
        <v>214</v>
      </c>
      <c r="F5" s="6">
        <v>46198</v>
      </c>
      <c r="G5" t="s">
        <v>228</v>
      </c>
      <c r="H5" t="s">
        <v>71</v>
      </c>
      <c r="I5" s="6">
        <v>46205</v>
      </c>
      <c r="J5">
        <f t="shared" ca="1" si="0"/>
        <v>-25</v>
      </c>
      <c r="K5" s="7" t="s">
        <v>229</v>
      </c>
    </row>
    <row r="6" spans="1:11" ht="15.6" x14ac:dyDescent="0.3">
      <c r="A6" t="s">
        <v>230</v>
      </c>
      <c r="B6" t="s">
        <v>100</v>
      </c>
      <c r="C6" t="s">
        <v>29</v>
      </c>
      <c r="D6" t="s">
        <v>231</v>
      </c>
      <c r="E6" t="s">
        <v>219</v>
      </c>
      <c r="F6" s="6">
        <v>46202</v>
      </c>
      <c r="G6" t="s">
        <v>228</v>
      </c>
      <c r="H6" t="s">
        <v>76</v>
      </c>
      <c r="I6" s="6">
        <v>46209</v>
      </c>
      <c r="J6">
        <f t="shared" ca="1" si="0"/>
        <v>-21</v>
      </c>
      <c r="K6" s="7" t="s">
        <v>232</v>
      </c>
    </row>
    <row r="7" spans="1:11" ht="15.6" x14ac:dyDescent="0.3">
      <c r="A7" t="s">
        <v>233</v>
      </c>
      <c r="B7" t="s">
        <v>100</v>
      </c>
      <c r="C7" t="s">
        <v>234</v>
      </c>
      <c r="D7" t="s">
        <v>218</v>
      </c>
      <c r="E7" t="s">
        <v>235</v>
      </c>
      <c r="F7" s="6">
        <v>46191</v>
      </c>
      <c r="G7" t="s">
        <v>228</v>
      </c>
      <c r="H7" t="s">
        <v>71</v>
      </c>
      <c r="I7" s="6">
        <v>46198</v>
      </c>
      <c r="J7">
        <f t="shared" ca="1" si="0"/>
        <v>-32</v>
      </c>
      <c r="K7" s="7" t="s">
        <v>236</v>
      </c>
    </row>
    <row r="8" spans="1:11" ht="15.6" x14ac:dyDescent="0.3">
      <c r="A8" t="s">
        <v>237</v>
      </c>
      <c r="B8" t="s">
        <v>127</v>
      </c>
      <c r="C8" t="s">
        <v>212</v>
      </c>
      <c r="D8" t="s">
        <v>238</v>
      </c>
      <c r="E8" t="s">
        <v>219</v>
      </c>
      <c r="F8" s="6">
        <v>46171</v>
      </c>
      <c r="G8" t="s">
        <v>239</v>
      </c>
      <c r="H8" t="s">
        <v>76</v>
      </c>
      <c r="I8" s="6">
        <v>46185</v>
      </c>
      <c r="J8">
        <f t="shared" ca="1" si="0"/>
        <v>-45</v>
      </c>
      <c r="K8" s="7" t="s">
        <v>240</v>
      </c>
    </row>
    <row r="9" spans="1:11" ht="15.6" x14ac:dyDescent="0.3">
      <c r="A9" t="s">
        <v>241</v>
      </c>
      <c r="B9" t="s">
        <v>100</v>
      </c>
      <c r="C9" t="s">
        <v>242</v>
      </c>
      <c r="D9" t="s">
        <v>218</v>
      </c>
      <c r="E9" t="s">
        <v>243</v>
      </c>
      <c r="F9" s="6">
        <v>46205</v>
      </c>
      <c r="G9" t="s">
        <v>228</v>
      </c>
      <c r="H9" t="s">
        <v>110</v>
      </c>
      <c r="I9" s="6">
        <v>46215</v>
      </c>
      <c r="J9">
        <f t="shared" ca="1" si="0"/>
        <v>-15</v>
      </c>
      <c r="K9" s="7" t="s">
        <v>244</v>
      </c>
    </row>
    <row r="10" spans="1:11" ht="15.6" x14ac:dyDescent="0.3">
      <c r="A10" t="s">
        <v>245</v>
      </c>
      <c r="B10" t="s">
        <v>80</v>
      </c>
      <c r="C10" t="s">
        <v>29</v>
      </c>
      <c r="D10" t="s">
        <v>231</v>
      </c>
      <c r="E10" t="s">
        <v>235</v>
      </c>
      <c r="F10" s="6">
        <v>46218</v>
      </c>
      <c r="G10" t="s">
        <v>220</v>
      </c>
      <c r="H10" t="s">
        <v>76</v>
      </c>
      <c r="I10" s="6">
        <v>46232</v>
      </c>
      <c r="J10">
        <f t="shared" ca="1" si="0"/>
        <v>2</v>
      </c>
      <c r="K10" s="7" t="s">
        <v>246</v>
      </c>
    </row>
    <row r="11" spans="1:11" ht="15.6" x14ac:dyDescent="0.3">
      <c r="A11" t="s">
        <v>247</v>
      </c>
      <c r="B11" t="s">
        <v>92</v>
      </c>
      <c r="C11" t="s">
        <v>248</v>
      </c>
      <c r="D11" t="s">
        <v>238</v>
      </c>
      <c r="E11" t="s">
        <v>214</v>
      </c>
      <c r="F11" s="6">
        <v>46184</v>
      </c>
      <c r="G11" t="s">
        <v>215</v>
      </c>
      <c r="H11" t="s">
        <v>103</v>
      </c>
      <c r="I11" s="6">
        <v>46198</v>
      </c>
      <c r="J11">
        <f t="shared" ca="1" si="0"/>
        <v>-32</v>
      </c>
      <c r="K11" s="7" t="s">
        <v>249</v>
      </c>
    </row>
    <row r="12" spans="1:11" ht="15.6" x14ac:dyDescent="0.3">
      <c r="A12" t="s">
        <v>250</v>
      </c>
      <c r="B12" t="s">
        <v>80</v>
      </c>
      <c r="C12" t="s">
        <v>234</v>
      </c>
      <c r="D12" t="s">
        <v>218</v>
      </c>
      <c r="E12" t="s">
        <v>243</v>
      </c>
      <c r="F12" s="6">
        <v>46221</v>
      </c>
      <c r="G12" t="s">
        <v>220</v>
      </c>
      <c r="H12" t="s">
        <v>76</v>
      </c>
      <c r="I12" s="6">
        <v>46231</v>
      </c>
      <c r="J12">
        <f t="shared" ca="1" si="0"/>
        <v>1</v>
      </c>
      <c r="K12" s="7" t="s">
        <v>251</v>
      </c>
    </row>
    <row r="13" spans="1:11" ht="15.6" x14ac:dyDescent="0.3">
      <c r="A13" t="s">
        <v>252</v>
      </c>
      <c r="B13" t="s">
        <v>100</v>
      </c>
      <c r="C13" t="s">
        <v>223</v>
      </c>
      <c r="D13" t="s">
        <v>213</v>
      </c>
      <c r="E13" t="s">
        <v>214</v>
      </c>
      <c r="F13" s="6">
        <v>46183</v>
      </c>
      <c r="G13" t="s">
        <v>215</v>
      </c>
      <c r="H13" t="s">
        <v>103</v>
      </c>
      <c r="I13" s="6">
        <v>46190</v>
      </c>
      <c r="J13">
        <f t="shared" ca="1" si="0"/>
        <v>-40</v>
      </c>
      <c r="K13" s="7" t="s">
        <v>253</v>
      </c>
    </row>
    <row r="14" spans="1:11" ht="15.6" x14ac:dyDescent="0.3">
      <c r="A14" t="s">
        <v>254</v>
      </c>
      <c r="B14" t="s">
        <v>62</v>
      </c>
      <c r="C14" t="s">
        <v>29</v>
      </c>
      <c r="D14" t="s">
        <v>224</v>
      </c>
      <c r="E14" t="s">
        <v>243</v>
      </c>
      <c r="F14" s="6">
        <v>46229</v>
      </c>
      <c r="G14" t="s">
        <v>228</v>
      </c>
      <c r="H14" t="s">
        <v>56</v>
      </c>
      <c r="I14" s="6">
        <v>46239</v>
      </c>
      <c r="J14">
        <f t="shared" ca="1" si="0"/>
        <v>9</v>
      </c>
      <c r="K14" s="7" t="s">
        <v>255</v>
      </c>
    </row>
    <row r="15" spans="1:11" ht="15.6" x14ac:dyDescent="0.3">
      <c r="A15" t="s">
        <v>256</v>
      </c>
      <c r="B15" t="s">
        <v>116</v>
      </c>
      <c r="C15" t="s">
        <v>212</v>
      </c>
      <c r="D15" t="s">
        <v>218</v>
      </c>
      <c r="E15" t="s">
        <v>235</v>
      </c>
      <c r="F15" s="6">
        <v>46223</v>
      </c>
      <c r="G15" t="s">
        <v>215</v>
      </c>
      <c r="H15" t="s">
        <v>71</v>
      </c>
      <c r="I15" s="6">
        <v>46237</v>
      </c>
      <c r="J15">
        <f t="shared" ca="1" si="0"/>
        <v>7</v>
      </c>
      <c r="K15" s="7" t="s">
        <v>257</v>
      </c>
    </row>
    <row r="16" spans="1:11" ht="15.6" x14ac:dyDescent="0.3">
      <c r="A16" t="s">
        <v>258</v>
      </c>
      <c r="B16" t="s">
        <v>127</v>
      </c>
      <c r="C16" t="s">
        <v>242</v>
      </c>
      <c r="D16" t="s">
        <v>213</v>
      </c>
      <c r="E16" t="s">
        <v>219</v>
      </c>
      <c r="F16" s="6">
        <v>46221</v>
      </c>
      <c r="G16" t="s">
        <v>215</v>
      </c>
      <c r="H16" t="s">
        <v>110</v>
      </c>
      <c r="I16" s="6">
        <v>46235</v>
      </c>
      <c r="J16">
        <f t="shared" ca="1" si="0"/>
        <v>5</v>
      </c>
      <c r="K16" s="7" t="s">
        <v>259</v>
      </c>
    </row>
    <row r="17" spans="1:11" ht="15.6" x14ac:dyDescent="0.3">
      <c r="A17" t="s">
        <v>260</v>
      </c>
      <c r="B17" t="s">
        <v>62</v>
      </c>
      <c r="C17" t="s">
        <v>248</v>
      </c>
      <c r="D17" t="s">
        <v>218</v>
      </c>
      <c r="E17" t="s">
        <v>243</v>
      </c>
      <c r="F17" s="6">
        <v>46181</v>
      </c>
      <c r="G17" t="s">
        <v>220</v>
      </c>
      <c r="H17" t="s">
        <v>103</v>
      </c>
      <c r="I17" s="6">
        <v>46195</v>
      </c>
      <c r="J17">
        <f t="shared" ca="1" si="0"/>
        <v>-35</v>
      </c>
      <c r="K17" s="7" t="s">
        <v>261</v>
      </c>
    </row>
    <row r="18" spans="1:11" ht="15.6" x14ac:dyDescent="0.3">
      <c r="A18" t="s">
        <v>262</v>
      </c>
      <c r="B18" t="s">
        <v>92</v>
      </c>
      <c r="C18" t="s">
        <v>29</v>
      </c>
      <c r="D18" t="s">
        <v>224</v>
      </c>
      <c r="E18" t="s">
        <v>214</v>
      </c>
      <c r="F18" s="6">
        <v>46172</v>
      </c>
      <c r="G18" t="s">
        <v>228</v>
      </c>
      <c r="H18" t="s">
        <v>81</v>
      </c>
      <c r="I18" s="6">
        <v>46186</v>
      </c>
      <c r="J18">
        <f t="shared" ca="1" si="0"/>
        <v>-44</v>
      </c>
      <c r="K18" s="7" t="s">
        <v>263</v>
      </c>
    </row>
    <row r="19" spans="1:11" ht="15.6" x14ac:dyDescent="0.3">
      <c r="A19" t="s">
        <v>264</v>
      </c>
      <c r="B19" t="s">
        <v>70</v>
      </c>
      <c r="C19" t="s">
        <v>242</v>
      </c>
      <c r="D19" t="s">
        <v>218</v>
      </c>
      <c r="E19" t="s">
        <v>225</v>
      </c>
      <c r="F19" s="6">
        <v>46187</v>
      </c>
      <c r="G19" t="s">
        <v>239</v>
      </c>
      <c r="H19" t="s">
        <v>71</v>
      </c>
      <c r="I19" s="6">
        <v>46208</v>
      </c>
      <c r="J19">
        <f t="shared" ca="1" si="0"/>
        <v>-22</v>
      </c>
      <c r="K19" s="7" t="s">
        <v>265</v>
      </c>
    </row>
    <row r="20" spans="1:11" ht="15.6" x14ac:dyDescent="0.3">
      <c r="A20" t="s">
        <v>266</v>
      </c>
      <c r="B20" t="s">
        <v>62</v>
      </c>
      <c r="C20" t="s">
        <v>212</v>
      </c>
      <c r="D20" t="s">
        <v>218</v>
      </c>
      <c r="E20" t="s">
        <v>243</v>
      </c>
      <c r="F20" s="6">
        <v>46210</v>
      </c>
      <c r="G20" t="s">
        <v>215</v>
      </c>
      <c r="H20" t="s">
        <v>81</v>
      </c>
      <c r="I20" s="6">
        <v>46224</v>
      </c>
      <c r="J20">
        <f t="shared" ca="1" si="0"/>
        <v>-6</v>
      </c>
      <c r="K20" s="7" t="s">
        <v>267</v>
      </c>
    </row>
    <row r="21" spans="1:11" ht="15.6" x14ac:dyDescent="0.3">
      <c r="A21" t="s">
        <v>268</v>
      </c>
      <c r="B21" t="s">
        <v>80</v>
      </c>
      <c r="C21" t="s">
        <v>212</v>
      </c>
      <c r="D21" t="s">
        <v>238</v>
      </c>
      <c r="E21" t="s">
        <v>243</v>
      </c>
      <c r="F21" s="6">
        <v>46223</v>
      </c>
      <c r="G21" t="s">
        <v>215</v>
      </c>
      <c r="H21" t="s">
        <v>56</v>
      </c>
      <c r="I21" s="6">
        <v>46230</v>
      </c>
      <c r="J21">
        <f t="shared" ca="1" si="0"/>
        <v>0</v>
      </c>
      <c r="K21" s="7" t="s">
        <v>269</v>
      </c>
    </row>
    <row r="22" spans="1:11" ht="15.6" x14ac:dyDescent="0.3">
      <c r="A22" t="s">
        <v>270</v>
      </c>
      <c r="B22" t="s">
        <v>70</v>
      </c>
      <c r="C22" t="s">
        <v>242</v>
      </c>
      <c r="D22" t="s">
        <v>218</v>
      </c>
      <c r="E22" t="s">
        <v>235</v>
      </c>
      <c r="F22" s="6">
        <v>46204</v>
      </c>
      <c r="G22" t="s">
        <v>220</v>
      </c>
      <c r="H22" t="s">
        <v>64</v>
      </c>
      <c r="I22" s="6">
        <v>46214</v>
      </c>
      <c r="J22">
        <f t="shared" ca="1" si="0"/>
        <v>-16</v>
      </c>
      <c r="K22" s="7" t="s">
        <v>271</v>
      </c>
    </row>
    <row r="23" spans="1:11" ht="15.6" x14ac:dyDescent="0.3">
      <c r="A23" t="s">
        <v>272</v>
      </c>
      <c r="B23" t="s">
        <v>113</v>
      </c>
      <c r="C23" t="s">
        <v>212</v>
      </c>
      <c r="D23" t="s">
        <v>213</v>
      </c>
      <c r="E23" t="s">
        <v>219</v>
      </c>
      <c r="F23" s="6">
        <v>46210</v>
      </c>
      <c r="G23" t="s">
        <v>239</v>
      </c>
      <c r="H23" t="s">
        <v>76</v>
      </c>
      <c r="I23" s="6">
        <v>46220</v>
      </c>
      <c r="J23">
        <f t="shared" ca="1" si="0"/>
        <v>-10</v>
      </c>
      <c r="K23" s="7" t="s">
        <v>273</v>
      </c>
    </row>
    <row r="24" spans="1:11" ht="15.6" x14ac:dyDescent="0.3">
      <c r="A24" t="s">
        <v>274</v>
      </c>
      <c r="B24" t="s">
        <v>75</v>
      </c>
      <c r="C24" t="s">
        <v>223</v>
      </c>
      <c r="D24" t="s">
        <v>224</v>
      </c>
      <c r="E24" t="s">
        <v>243</v>
      </c>
      <c r="F24" s="6">
        <v>46216</v>
      </c>
      <c r="G24" t="s">
        <v>228</v>
      </c>
      <c r="H24" t="s">
        <v>64</v>
      </c>
      <c r="I24" s="6">
        <v>46226</v>
      </c>
      <c r="J24">
        <f t="shared" ca="1" si="0"/>
        <v>-4</v>
      </c>
      <c r="K24" s="7" t="s">
        <v>275</v>
      </c>
    </row>
    <row r="25" spans="1:11" ht="15.6" x14ac:dyDescent="0.3">
      <c r="A25" t="s">
        <v>276</v>
      </c>
      <c r="B25" t="s">
        <v>70</v>
      </c>
      <c r="C25" t="s">
        <v>234</v>
      </c>
      <c r="D25" t="s">
        <v>231</v>
      </c>
      <c r="E25" t="s">
        <v>243</v>
      </c>
      <c r="F25" s="6">
        <v>46229</v>
      </c>
      <c r="G25" t="s">
        <v>220</v>
      </c>
      <c r="H25" t="s">
        <v>87</v>
      </c>
      <c r="I25" s="6">
        <v>46243</v>
      </c>
      <c r="J25">
        <f t="shared" ca="1" si="0"/>
        <v>13</v>
      </c>
      <c r="K25" s="7" t="s">
        <v>277</v>
      </c>
    </row>
    <row r="26" spans="1:11" ht="15.6" x14ac:dyDescent="0.3">
      <c r="A26" t="s">
        <v>278</v>
      </c>
      <c r="B26" t="s">
        <v>92</v>
      </c>
      <c r="C26" t="s">
        <v>212</v>
      </c>
      <c r="D26" t="s">
        <v>231</v>
      </c>
      <c r="E26" t="s">
        <v>214</v>
      </c>
      <c r="F26" s="6">
        <v>46198</v>
      </c>
      <c r="G26" t="s">
        <v>220</v>
      </c>
      <c r="H26" t="s">
        <v>87</v>
      </c>
      <c r="I26" s="6">
        <v>46205</v>
      </c>
      <c r="J26">
        <f t="shared" ca="1" si="0"/>
        <v>-25</v>
      </c>
      <c r="K26" s="7" t="s">
        <v>279</v>
      </c>
    </row>
    <row r="27" spans="1:11" ht="15.6" x14ac:dyDescent="0.3">
      <c r="A27" t="s">
        <v>280</v>
      </c>
      <c r="B27" t="s">
        <v>67</v>
      </c>
      <c r="C27" t="s">
        <v>242</v>
      </c>
      <c r="D27" t="s">
        <v>238</v>
      </c>
      <c r="E27" t="s">
        <v>235</v>
      </c>
      <c r="F27" s="6">
        <v>46217</v>
      </c>
      <c r="G27" t="s">
        <v>228</v>
      </c>
      <c r="H27" t="s">
        <v>87</v>
      </c>
      <c r="I27" s="6">
        <v>46227</v>
      </c>
      <c r="J27">
        <f t="shared" ca="1" si="0"/>
        <v>-3</v>
      </c>
      <c r="K27" s="7" t="s">
        <v>281</v>
      </c>
    </row>
    <row r="28" spans="1:11" ht="15.6" x14ac:dyDescent="0.3">
      <c r="A28" t="s">
        <v>282</v>
      </c>
      <c r="B28" t="s">
        <v>92</v>
      </c>
      <c r="C28" t="s">
        <v>29</v>
      </c>
      <c r="D28" t="s">
        <v>238</v>
      </c>
      <c r="E28" t="s">
        <v>235</v>
      </c>
      <c r="F28" s="6">
        <v>46210</v>
      </c>
      <c r="G28" t="s">
        <v>220</v>
      </c>
      <c r="H28" t="s">
        <v>76</v>
      </c>
      <c r="I28" s="6">
        <v>46224</v>
      </c>
      <c r="J28">
        <f t="shared" ca="1" si="0"/>
        <v>-6</v>
      </c>
      <c r="K28" s="7" t="s">
        <v>283</v>
      </c>
    </row>
    <row r="29" spans="1:11" ht="15.6" x14ac:dyDescent="0.3">
      <c r="A29" t="s">
        <v>284</v>
      </c>
      <c r="B29" t="s">
        <v>75</v>
      </c>
      <c r="C29" t="s">
        <v>29</v>
      </c>
      <c r="D29" t="s">
        <v>224</v>
      </c>
      <c r="E29" t="s">
        <v>235</v>
      </c>
      <c r="F29" s="6">
        <v>46213</v>
      </c>
      <c r="G29" t="s">
        <v>220</v>
      </c>
      <c r="H29" t="s">
        <v>87</v>
      </c>
      <c r="I29" s="6">
        <v>46220</v>
      </c>
      <c r="J29">
        <f t="shared" ca="1" si="0"/>
        <v>-10</v>
      </c>
      <c r="K29" s="7" t="s">
        <v>285</v>
      </c>
    </row>
    <row r="30" spans="1:11" ht="15.6" x14ac:dyDescent="0.3">
      <c r="A30" t="s">
        <v>286</v>
      </c>
      <c r="B30" t="s">
        <v>54</v>
      </c>
      <c r="C30" t="s">
        <v>212</v>
      </c>
      <c r="D30" t="s">
        <v>231</v>
      </c>
      <c r="E30" t="s">
        <v>225</v>
      </c>
      <c r="F30" s="6">
        <v>46195</v>
      </c>
      <c r="G30" t="s">
        <v>239</v>
      </c>
      <c r="H30" t="s">
        <v>71</v>
      </c>
      <c r="I30" s="6">
        <v>46205</v>
      </c>
      <c r="J30">
        <f t="shared" ca="1" si="0"/>
        <v>-25</v>
      </c>
      <c r="K30" s="7" t="s">
        <v>287</v>
      </c>
    </row>
    <row r="31" spans="1:11" ht="15.6" x14ac:dyDescent="0.3">
      <c r="A31" t="s">
        <v>288</v>
      </c>
      <c r="B31" t="s">
        <v>127</v>
      </c>
      <c r="C31" t="s">
        <v>212</v>
      </c>
      <c r="D31" t="s">
        <v>224</v>
      </c>
      <c r="E31" t="s">
        <v>219</v>
      </c>
      <c r="F31" s="6">
        <v>46215</v>
      </c>
      <c r="G31" t="s">
        <v>215</v>
      </c>
      <c r="H31" t="s">
        <v>56</v>
      </c>
      <c r="I31" s="6">
        <v>46236</v>
      </c>
      <c r="J31">
        <f t="shared" ca="1" si="0"/>
        <v>6</v>
      </c>
      <c r="K31" s="7" t="s">
        <v>289</v>
      </c>
    </row>
    <row r="32" spans="1:11" ht="15.6" x14ac:dyDescent="0.3">
      <c r="A32" t="s">
        <v>290</v>
      </c>
      <c r="B32" t="s">
        <v>113</v>
      </c>
      <c r="C32" t="s">
        <v>248</v>
      </c>
      <c r="D32" t="s">
        <v>231</v>
      </c>
      <c r="E32" t="s">
        <v>243</v>
      </c>
      <c r="F32" s="6">
        <v>46197</v>
      </c>
      <c r="G32" t="s">
        <v>215</v>
      </c>
      <c r="H32" t="s">
        <v>81</v>
      </c>
      <c r="I32" s="6">
        <v>46218</v>
      </c>
      <c r="J32">
        <f t="shared" ca="1" si="0"/>
        <v>-12</v>
      </c>
      <c r="K32" s="7" t="s">
        <v>291</v>
      </c>
    </row>
    <row r="33" spans="1:11" ht="15.6" x14ac:dyDescent="0.3">
      <c r="A33" t="s">
        <v>292</v>
      </c>
      <c r="B33" t="s">
        <v>62</v>
      </c>
      <c r="C33" t="s">
        <v>223</v>
      </c>
      <c r="D33" t="s">
        <v>213</v>
      </c>
      <c r="E33" t="s">
        <v>219</v>
      </c>
      <c r="F33" s="6">
        <v>46187</v>
      </c>
      <c r="G33" t="s">
        <v>220</v>
      </c>
      <c r="H33" t="s">
        <v>56</v>
      </c>
      <c r="I33" s="6">
        <v>46201</v>
      </c>
      <c r="J33">
        <f t="shared" ca="1" si="0"/>
        <v>-29</v>
      </c>
      <c r="K33" s="7" t="s">
        <v>293</v>
      </c>
    </row>
    <row r="34" spans="1:11" ht="15.6" x14ac:dyDescent="0.3">
      <c r="A34" t="s">
        <v>294</v>
      </c>
      <c r="B34" t="s">
        <v>80</v>
      </c>
      <c r="C34" t="s">
        <v>234</v>
      </c>
      <c r="D34" t="s">
        <v>218</v>
      </c>
      <c r="E34" t="s">
        <v>219</v>
      </c>
      <c r="F34" s="6">
        <v>46192</v>
      </c>
      <c r="G34" t="s">
        <v>220</v>
      </c>
      <c r="H34" t="s">
        <v>56</v>
      </c>
      <c r="I34" s="6">
        <v>46213</v>
      </c>
      <c r="J34">
        <f t="shared" ca="1" si="0"/>
        <v>-17</v>
      </c>
      <c r="K34" s="7" t="s">
        <v>295</v>
      </c>
    </row>
    <row r="35" spans="1:11" ht="15.6" x14ac:dyDescent="0.3">
      <c r="A35" t="s">
        <v>296</v>
      </c>
      <c r="B35" t="s">
        <v>54</v>
      </c>
      <c r="C35" t="s">
        <v>234</v>
      </c>
      <c r="D35" t="s">
        <v>224</v>
      </c>
      <c r="E35" t="s">
        <v>214</v>
      </c>
      <c r="F35" s="6">
        <v>46173</v>
      </c>
      <c r="G35" t="s">
        <v>228</v>
      </c>
      <c r="H35" t="s">
        <v>76</v>
      </c>
      <c r="I35" s="6">
        <v>46180</v>
      </c>
      <c r="J35">
        <f t="shared" ca="1" si="0"/>
        <v>-50</v>
      </c>
      <c r="K35" s="7" t="s">
        <v>297</v>
      </c>
    </row>
    <row r="36" spans="1:11" ht="15.6" x14ac:dyDescent="0.3">
      <c r="A36" t="s">
        <v>298</v>
      </c>
      <c r="B36" t="s">
        <v>54</v>
      </c>
      <c r="C36" t="s">
        <v>212</v>
      </c>
      <c r="D36" t="s">
        <v>231</v>
      </c>
      <c r="E36" t="s">
        <v>235</v>
      </c>
      <c r="F36" s="6">
        <v>46229</v>
      </c>
      <c r="G36" t="s">
        <v>215</v>
      </c>
      <c r="H36" t="s">
        <v>64</v>
      </c>
      <c r="I36" s="6">
        <v>46243</v>
      </c>
      <c r="J36">
        <f t="shared" ca="1" si="0"/>
        <v>13</v>
      </c>
      <c r="K36" s="7" t="s">
        <v>299</v>
      </c>
    </row>
    <row r="37" spans="1:11" ht="15.6" x14ac:dyDescent="0.3">
      <c r="A37" t="s">
        <v>300</v>
      </c>
      <c r="B37" t="s">
        <v>80</v>
      </c>
      <c r="C37" t="s">
        <v>248</v>
      </c>
      <c r="D37" t="s">
        <v>231</v>
      </c>
      <c r="E37" t="s">
        <v>225</v>
      </c>
      <c r="F37" s="6">
        <v>46175</v>
      </c>
      <c r="G37" t="s">
        <v>228</v>
      </c>
      <c r="H37" t="s">
        <v>87</v>
      </c>
      <c r="I37" s="6">
        <v>46185</v>
      </c>
      <c r="J37">
        <f t="shared" ca="1" si="0"/>
        <v>-45</v>
      </c>
      <c r="K37" s="7" t="s">
        <v>301</v>
      </c>
    </row>
    <row r="38" spans="1:11" ht="15.6" x14ac:dyDescent="0.3">
      <c r="A38" t="s">
        <v>302</v>
      </c>
      <c r="B38" t="s">
        <v>92</v>
      </c>
      <c r="C38" t="s">
        <v>242</v>
      </c>
      <c r="D38" t="s">
        <v>238</v>
      </c>
      <c r="E38" t="s">
        <v>214</v>
      </c>
      <c r="F38" s="6">
        <v>46219</v>
      </c>
      <c r="G38" t="s">
        <v>220</v>
      </c>
      <c r="H38" t="s">
        <v>64</v>
      </c>
      <c r="I38" s="6">
        <v>46229</v>
      </c>
      <c r="J38">
        <f t="shared" ca="1" si="0"/>
        <v>-1</v>
      </c>
      <c r="K38" s="7" t="s">
        <v>303</v>
      </c>
    </row>
    <row r="39" spans="1:11" ht="15.6" x14ac:dyDescent="0.3">
      <c r="A39" t="s">
        <v>304</v>
      </c>
      <c r="B39" t="s">
        <v>97</v>
      </c>
      <c r="C39" t="s">
        <v>212</v>
      </c>
      <c r="D39" t="s">
        <v>231</v>
      </c>
      <c r="E39" t="s">
        <v>214</v>
      </c>
      <c r="F39" s="6">
        <v>46207</v>
      </c>
      <c r="G39" t="s">
        <v>239</v>
      </c>
      <c r="H39" t="s">
        <v>71</v>
      </c>
      <c r="I39" s="6">
        <v>46214</v>
      </c>
      <c r="J39">
        <f t="shared" ca="1" si="0"/>
        <v>-16</v>
      </c>
      <c r="K39" s="7" t="s">
        <v>305</v>
      </c>
    </row>
    <row r="40" spans="1:11" ht="15.6" x14ac:dyDescent="0.3">
      <c r="A40" t="s">
        <v>306</v>
      </c>
      <c r="B40" t="s">
        <v>67</v>
      </c>
      <c r="C40" t="s">
        <v>223</v>
      </c>
      <c r="D40" t="s">
        <v>238</v>
      </c>
      <c r="E40" t="s">
        <v>214</v>
      </c>
      <c r="F40" s="6">
        <v>46198</v>
      </c>
      <c r="G40" t="s">
        <v>220</v>
      </c>
      <c r="H40" t="s">
        <v>64</v>
      </c>
      <c r="I40" s="6">
        <v>46205</v>
      </c>
      <c r="J40">
        <f t="shared" ca="1" si="0"/>
        <v>-25</v>
      </c>
      <c r="K40" s="7" t="s">
        <v>307</v>
      </c>
    </row>
    <row r="41" spans="1:11" ht="15.6" x14ac:dyDescent="0.3">
      <c r="A41" t="s">
        <v>308</v>
      </c>
      <c r="B41" t="s">
        <v>92</v>
      </c>
      <c r="C41" t="s">
        <v>242</v>
      </c>
      <c r="D41" t="s">
        <v>238</v>
      </c>
      <c r="E41" t="s">
        <v>243</v>
      </c>
      <c r="F41" s="6">
        <v>46175</v>
      </c>
      <c r="G41" t="s">
        <v>228</v>
      </c>
      <c r="H41" t="s">
        <v>103</v>
      </c>
      <c r="I41" s="6">
        <v>46196</v>
      </c>
      <c r="J41">
        <f t="shared" ca="1" si="0"/>
        <v>-34</v>
      </c>
      <c r="K41" s="7" t="s">
        <v>309</v>
      </c>
    </row>
  </sheetData>
  <hyperlinks>
    <hyperlink ref="K2" r:id="rId1" xr:uid="{00000000-0004-0000-0200-000000000000}"/>
    <hyperlink ref="K3" r:id="rId2" xr:uid="{00000000-0004-0000-0200-000001000000}"/>
    <hyperlink ref="K4" r:id="rId3" xr:uid="{00000000-0004-0000-0200-000002000000}"/>
    <hyperlink ref="K5" r:id="rId4" xr:uid="{00000000-0004-0000-0200-000003000000}"/>
    <hyperlink ref="K6" r:id="rId5" xr:uid="{00000000-0004-0000-0200-000004000000}"/>
    <hyperlink ref="K7" r:id="rId6" xr:uid="{00000000-0004-0000-0200-000005000000}"/>
    <hyperlink ref="K8" r:id="rId7" xr:uid="{00000000-0004-0000-0200-000006000000}"/>
    <hyperlink ref="K9" r:id="rId8" xr:uid="{00000000-0004-0000-0200-000007000000}"/>
    <hyperlink ref="K10" r:id="rId9" xr:uid="{00000000-0004-0000-0200-000008000000}"/>
    <hyperlink ref="K11" r:id="rId10" xr:uid="{00000000-0004-0000-0200-000009000000}"/>
    <hyperlink ref="K12" r:id="rId11" xr:uid="{00000000-0004-0000-0200-00000A000000}"/>
    <hyperlink ref="K13" r:id="rId12" xr:uid="{00000000-0004-0000-0200-00000B000000}"/>
    <hyperlink ref="K14" r:id="rId13" xr:uid="{00000000-0004-0000-0200-00000C000000}"/>
    <hyperlink ref="K15" r:id="rId14" xr:uid="{00000000-0004-0000-0200-00000D000000}"/>
    <hyperlink ref="K16" r:id="rId15" xr:uid="{00000000-0004-0000-0200-00000E000000}"/>
    <hyperlink ref="K17" r:id="rId16" xr:uid="{00000000-0004-0000-0200-00000F000000}"/>
    <hyperlink ref="K18" r:id="rId17" xr:uid="{00000000-0004-0000-0200-000010000000}"/>
    <hyperlink ref="K19" r:id="rId18" xr:uid="{00000000-0004-0000-0200-000011000000}"/>
    <hyperlink ref="K20" r:id="rId19" xr:uid="{00000000-0004-0000-0200-000012000000}"/>
    <hyperlink ref="K21" r:id="rId20" xr:uid="{00000000-0004-0000-0200-000013000000}"/>
    <hyperlink ref="K22" r:id="rId21" xr:uid="{00000000-0004-0000-0200-000014000000}"/>
    <hyperlink ref="K23" r:id="rId22" xr:uid="{00000000-0004-0000-0200-000015000000}"/>
    <hyperlink ref="K24" r:id="rId23" xr:uid="{00000000-0004-0000-0200-000016000000}"/>
    <hyperlink ref="K25" r:id="rId24" xr:uid="{00000000-0004-0000-0200-000017000000}"/>
    <hyperlink ref="K26" r:id="rId25" xr:uid="{00000000-0004-0000-0200-000018000000}"/>
    <hyperlink ref="K27" r:id="rId26" xr:uid="{00000000-0004-0000-0200-000019000000}"/>
    <hyperlink ref="K28" r:id="rId27" xr:uid="{00000000-0004-0000-0200-00001A000000}"/>
    <hyperlink ref="K29" r:id="rId28" xr:uid="{00000000-0004-0000-0200-00001B000000}"/>
    <hyperlink ref="K30" r:id="rId29" xr:uid="{00000000-0004-0000-0200-00001C000000}"/>
    <hyperlink ref="K31" r:id="rId30" xr:uid="{00000000-0004-0000-0200-00001D000000}"/>
    <hyperlink ref="K32" r:id="rId31" xr:uid="{00000000-0004-0000-0200-00001E000000}"/>
    <hyperlink ref="K33" r:id="rId32" xr:uid="{00000000-0004-0000-0200-00001F000000}"/>
    <hyperlink ref="K34" r:id="rId33" xr:uid="{00000000-0004-0000-0200-000020000000}"/>
    <hyperlink ref="K35" r:id="rId34" xr:uid="{00000000-0004-0000-0200-000021000000}"/>
    <hyperlink ref="K36" r:id="rId35" xr:uid="{00000000-0004-0000-0200-000022000000}"/>
    <hyperlink ref="K37" r:id="rId36" xr:uid="{00000000-0004-0000-0200-000023000000}"/>
    <hyperlink ref="K38" r:id="rId37" xr:uid="{00000000-0004-0000-0200-000024000000}"/>
    <hyperlink ref="K39" r:id="rId38" xr:uid="{00000000-0004-0000-0200-000025000000}"/>
    <hyperlink ref="K40" r:id="rId39" xr:uid="{00000000-0004-0000-0200-000026000000}"/>
    <hyperlink ref="K41" r:id="rId40" xr:uid="{00000000-0004-0000-0200-000027000000}"/>
  </hyperlinks>
  <pageMargins left="0.75" right="0.75" top="1" bottom="1" header="0.5" footer="0.5"/>
  <tableParts count="1">
    <tablePart r:id="rId4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4" x14ac:dyDescent="0.3"/>
  <sheetData>
    <row r="1" spans="1:5" x14ac:dyDescent="0.3">
      <c r="A1" t="s">
        <v>37</v>
      </c>
      <c r="B1" t="s">
        <v>39</v>
      </c>
      <c r="C1" t="s">
        <v>47</v>
      </c>
      <c r="D1" t="s">
        <v>44</v>
      </c>
      <c r="E1" t="s">
        <v>42</v>
      </c>
    </row>
    <row r="2" spans="1:5" x14ac:dyDescent="0.3">
      <c r="A2" t="s">
        <v>52</v>
      </c>
      <c r="B2" t="s">
        <v>53</v>
      </c>
      <c r="C2" t="s">
        <v>14</v>
      </c>
      <c r="D2" t="s">
        <v>15</v>
      </c>
      <c r="E2" t="s">
        <v>16</v>
      </c>
    </row>
    <row r="3" spans="1:5" x14ac:dyDescent="0.3">
      <c r="A3" t="s">
        <v>60</v>
      </c>
      <c r="B3" t="s">
        <v>79</v>
      </c>
      <c r="C3" t="s">
        <v>17</v>
      </c>
      <c r="D3" t="s">
        <v>18</v>
      </c>
      <c r="E3" t="s">
        <v>19</v>
      </c>
    </row>
    <row r="4" spans="1:5" x14ac:dyDescent="0.3">
      <c r="B4" t="s">
        <v>84</v>
      </c>
      <c r="C4" t="s">
        <v>20</v>
      </c>
      <c r="D4" t="s">
        <v>21</v>
      </c>
      <c r="E4" t="s">
        <v>22</v>
      </c>
    </row>
    <row r="5" spans="1:5" x14ac:dyDescent="0.3">
      <c r="B5" t="s">
        <v>74</v>
      </c>
      <c r="C5" t="s">
        <v>23</v>
      </c>
      <c r="D5" t="s">
        <v>24</v>
      </c>
      <c r="E5" t="s">
        <v>25</v>
      </c>
    </row>
    <row r="6" spans="1:5" x14ac:dyDescent="0.3">
      <c r="B6" t="s">
        <v>61</v>
      </c>
      <c r="E6" t="s">
        <v>26</v>
      </c>
    </row>
    <row r="7" spans="1:5" x14ac:dyDescent="0.3">
      <c r="E7" t="s">
        <v>27</v>
      </c>
    </row>
    <row r="8" spans="1:5" x14ac:dyDescent="0.3">
      <c r="E8" t="s">
        <v>28</v>
      </c>
    </row>
    <row r="9" spans="1:5" x14ac:dyDescent="0.3">
      <c r="E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Executive Dashboard</vt:lpstr>
      <vt:lpstr>Correspondence Register</vt:lpstr>
      <vt:lpstr>Document Register</vt:lpstr>
      <vt:lpstr>Lists</vt:lpstr>
      <vt:lpstr>'Executive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Sudheer Ahmed</cp:lastModifiedBy>
  <dcterms:created xsi:type="dcterms:W3CDTF">2026-07-27T10:53:27Z</dcterms:created>
  <dcterms:modified xsi:type="dcterms:W3CDTF">2026-07-27T11:27:09Z</dcterms:modified>
</cp:coreProperties>
</file>