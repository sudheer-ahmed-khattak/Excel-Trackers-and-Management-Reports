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udeer Data\Power BI Github\New folder\"/>
    </mc:Choice>
  </mc:AlternateContent>
  <xr:revisionPtr revIDLastSave="0" documentId="13_ncr:1_{8E4790B4-170D-450B-8C12-1E3623E30E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ecutive Dashboard" sheetId="1" r:id="rId1"/>
    <sheet name="Action Tracker" sheetId="2" r:id="rId2"/>
  </sheets>
  <definedNames>
    <definedName name="_xlnm._FilterDatabase" localSheetId="1" hidden="1">'Action Tracker'!$A$1:$M$13</definedName>
    <definedName name="_xlnm.Print_Area" localSheetId="0">'Executive Dashboard'!$B$2:$K$42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J2" i="2"/>
  <c r="I2" i="2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C22" i="1"/>
  <c r="C21" i="1"/>
  <c r="C20" i="1"/>
  <c r="C16" i="1"/>
  <c r="C15" i="1"/>
  <c r="C14" i="1"/>
  <c r="C13" i="1"/>
  <c r="J7" i="1"/>
  <c r="H7" i="1"/>
  <c r="F7" i="1"/>
  <c r="D7" i="1"/>
  <c r="B7" i="1"/>
</calcChain>
</file>

<file path=xl/sharedStrings.xml><?xml version="1.0" encoding="utf-8"?>
<sst xmlns="http://schemas.openxmlformats.org/spreadsheetml/2006/main" count="169" uniqueCount="110">
  <si>
    <t>MANAGEMENT ACTION TRACKER — EXECUTIVE KPI DASHBOARD</t>
  </si>
  <si>
    <t>Executive Action Control  |  Priority • Aging • Department Follow-up  |  Portfolio Demonstration</t>
  </si>
  <si>
    <t>TOTAL ACTIONS</t>
  </si>
  <si>
    <t>OPEN ACTIONS</t>
  </si>
  <si>
    <t>OVERDUE ACTIONS</t>
  </si>
  <si>
    <t>HIGH PRIORITY</t>
  </si>
  <si>
    <t>AVG COMPLETION</t>
  </si>
  <si>
    <t>1.  ACTION STATUS OVERVIEW</t>
  </si>
  <si>
    <t>Status</t>
  </si>
  <si>
    <t>Actions</t>
  </si>
  <si>
    <t>Pending</t>
  </si>
  <si>
    <t>In Progress</t>
  </si>
  <si>
    <t>Completed</t>
  </si>
  <si>
    <t>Overdue</t>
  </si>
  <si>
    <t>Priority</t>
  </si>
  <si>
    <t>High</t>
  </si>
  <si>
    <t>Medium</t>
  </si>
  <si>
    <t>Low</t>
  </si>
  <si>
    <t>2.  DEPARTMENT FOLLOW-UP &amp; OPEN ACTION EXPOSURE</t>
  </si>
  <si>
    <t>Department</t>
  </si>
  <si>
    <t>Total</t>
  </si>
  <si>
    <t>Open</t>
  </si>
  <si>
    <t>Finance</t>
  </si>
  <si>
    <t>HR / Admin</t>
  </si>
  <si>
    <t>Logistics</t>
  </si>
  <si>
    <t>Procurement</t>
  </si>
  <si>
    <t>Executive Office</t>
  </si>
  <si>
    <t>Facilities</t>
  </si>
  <si>
    <t>Operations</t>
  </si>
  <si>
    <t>3.  MANAGEMENT CONTROL NOTES</t>
  </si>
  <si>
    <t>• High-priority and overdue actions should be reviewed first during management follow-up.</t>
  </si>
  <si>
    <t>• The Action Tracker sheet is the operational source; dashboard KPIs update from the tracker formulas.</t>
  </si>
  <si>
    <t>• Days Remaining and Aging are dynamic and recalculate using TODAY().</t>
  </si>
  <si>
    <t>• Sample data is fictional/anonymized for portfolio demonstration and contains no confidential project information.</t>
  </si>
  <si>
    <t>Action ID</t>
  </si>
  <si>
    <t>Action / Deliverable</t>
  </si>
  <si>
    <t>Responsible Person</t>
  </si>
  <si>
    <t>Date Raised</t>
  </si>
  <si>
    <t>Due Date</t>
  </si>
  <si>
    <t>Days Remaining</t>
  </si>
  <si>
    <t>Aging (Days)</t>
  </si>
  <si>
    <t>Completion %</t>
  </si>
  <si>
    <t>Risk / Impact</t>
  </si>
  <si>
    <t>Management Remarks</t>
  </si>
  <si>
    <t>ACT-001</t>
  </si>
  <si>
    <t>Close pending subcontractor payment reconciliation</t>
  </si>
  <si>
    <t>A. Rahman</t>
  </si>
  <si>
    <t>2026-07-01</t>
  </si>
  <si>
    <t>2026-07-28</t>
  </si>
  <si>
    <t>Final supporting documents under review</t>
  </si>
  <si>
    <t>ACT-002</t>
  </si>
  <si>
    <t>Finalize July manpower demobilization list</t>
  </si>
  <si>
    <t>S. Ahmed</t>
  </si>
  <si>
    <t>2026-07-05</t>
  </si>
  <si>
    <t>2026-07-30</t>
  </si>
  <si>
    <t>Management confirmation required</t>
  </si>
  <si>
    <t>ACT-003</t>
  </si>
  <si>
    <t>Submit equipment release schedule</t>
  </si>
  <si>
    <t>M. Khan</t>
  </si>
  <si>
    <t>2026-07-07</t>
  </si>
  <si>
    <t>2026-08-03</t>
  </si>
  <si>
    <t>Coordinate with site teams</t>
  </si>
  <si>
    <t>ACT-004</t>
  </si>
  <si>
    <t>Resolve received-not-invoiced items</t>
  </si>
  <si>
    <t>T. Hassan</t>
  </si>
  <si>
    <t>2026-06-18</t>
  </si>
  <si>
    <t>2026-07-20</t>
  </si>
  <si>
    <t>Supplier invoices pending</t>
  </si>
  <si>
    <t>ACT-005</t>
  </si>
  <si>
    <t>Update executive weekly KPI pack</t>
  </si>
  <si>
    <t>2026-07-15</t>
  </si>
  <si>
    <t>2026-07-22</t>
  </si>
  <si>
    <t>Issued for management review</t>
  </si>
  <si>
    <t>ACT-006</t>
  </si>
  <si>
    <t>Close outstanding PO receiving</t>
  </si>
  <si>
    <t>G. Ali</t>
  </si>
  <si>
    <t>2026-07-09</t>
  </si>
  <si>
    <t>2026-07-31</t>
  </si>
  <si>
    <t>Receiving verification ongoing</t>
  </si>
  <si>
    <t>ACT-007</t>
  </si>
  <si>
    <t>Confirm August release dates</t>
  </si>
  <si>
    <t>R. Celik</t>
  </si>
  <si>
    <t>2026-07-10</t>
  </si>
  <si>
    <t>2026-07-27</t>
  </si>
  <si>
    <t>Awaiting department heads</t>
  </si>
  <si>
    <t>ACT-008</t>
  </si>
  <si>
    <t>Prepare accommodation occupancy forecast</t>
  </si>
  <si>
    <t>M. Albalwi</t>
  </si>
  <si>
    <t>2026-07-12</t>
  </si>
  <si>
    <t>2026-07-24</t>
  </si>
  <si>
    <t>Forecast completed</t>
  </si>
  <si>
    <t>ACT-009</t>
  </si>
  <si>
    <t>Verify Friday workforce attendance</t>
  </si>
  <si>
    <t>D. Rathour</t>
  </si>
  <si>
    <t>2026-07-18</t>
  </si>
  <si>
    <t>2026-07-29</t>
  </si>
  <si>
    <t>Final exceptions under review</t>
  </si>
  <si>
    <t>ACT-010</t>
  </si>
  <si>
    <t>Close advance payment reconciliation</t>
  </si>
  <si>
    <t>A. Ramzi</t>
  </si>
  <si>
    <t>2026-06-25</t>
  </si>
  <si>
    <t>Escalated for closure</t>
  </si>
  <si>
    <t>ACT-011</t>
  </si>
  <si>
    <t>Issue monthly fleet maintenance summary</t>
  </si>
  <si>
    <t>2026-07-25</t>
  </si>
  <si>
    <t>Submitted</t>
  </si>
  <si>
    <t>ACT-012</t>
  </si>
  <si>
    <t>Finalize management action log</t>
  </si>
  <si>
    <t>2026-08-01</t>
  </si>
  <si>
    <t>Open actions being consolidated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</si>
</sst>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20"/>
      <color rgb="FFFFFFFF"/>
      <name val="Arial"/>
    </font>
    <font>
      <i/>
      <sz val="10"/>
      <color rgb="FFFFFFFF"/>
      <name val="Arial"/>
    </font>
    <font>
      <b/>
      <sz val="8"/>
      <color rgb="FF595959"/>
      <name val="Arial"/>
    </font>
    <font>
      <b/>
      <sz val="18"/>
      <color rgb="FFC9A24B"/>
      <name val="Arial"/>
    </font>
    <font>
      <b/>
      <sz val="18"/>
      <color rgb="FFE08A00"/>
      <name val="Arial"/>
    </font>
    <font>
      <b/>
      <sz val="18"/>
      <color rgb="FFC0392B"/>
      <name val="Arial"/>
    </font>
    <font>
      <b/>
      <sz val="18"/>
      <color rgb="FF2E7D32"/>
      <name val="Arial"/>
    </font>
    <font>
      <b/>
      <sz val="12"/>
      <color rgb="FFFFFFFF"/>
      <name val="Arial"/>
    </font>
    <font>
      <sz val="10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395"/>
      </patternFill>
    </fill>
    <fill>
      <patternFill patternType="solid">
        <fgColor rgb="FFFFFFFF"/>
      </patternFill>
    </fill>
    <fill>
      <patternFill patternType="solid">
        <fgColor rgb="FFF4F6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9" fontId="9" fillId="4" borderId="1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/>
    </xf>
    <xf numFmtId="0" fontId="11" fillId="5" borderId="0" xfId="0" applyFon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EAF5EA"/>
        </patternFill>
      </fill>
    </dxf>
    <dxf>
      <fill>
        <patternFill patternType="solid">
          <fgColor rgb="FFFDEC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Action Status Mix</a:t>
            </a:r>
          </a:p>
        </c:rich>
      </c:tx>
      <c:layout>
        <c:manualLayout>
          <c:xMode val="edge"/>
          <c:yMode val="edge"/>
          <c:x val="0.39732814526588844"/>
          <c:y val="0"/>
        </c:manualLayout>
      </c:layout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Dashboard'!$C$12</c:f>
              <c:strCache>
                <c:ptCount val="1"/>
                <c:pt idx="0">
                  <c:v>Actions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4.4118692361898346E-2"/>
                  <c:y val="-1.95985725308641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977679054709601"/>
                      <c:h val="0.193096836419753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831-4064-9612-39C01D6D15A6}"/>
                </c:ext>
              </c:extLst>
            </c:dLbl>
            <c:dLbl>
              <c:idx val="1"/>
              <c:layout>
                <c:manualLayout>
                  <c:x val="3.6316472114137487E-2"/>
                  <c:y val="6.3695987654320982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54-4BDE-B1BB-9E05BD66AD68}"/>
                </c:ext>
              </c:extLst>
            </c:dLbl>
            <c:dLbl>
              <c:idx val="2"/>
              <c:layout>
                <c:manualLayout>
                  <c:x val="-8.0415045395590162E-2"/>
                  <c:y val="7.3495370370370364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54-4BDE-B1BB-9E05BD66AD68}"/>
                </c:ext>
              </c:extLst>
            </c:dLbl>
            <c:dLbl>
              <c:idx val="3"/>
              <c:layout>
                <c:manualLayout>
                  <c:x val="-0.10633526353952842"/>
                  <c:y val="-1.469888117283952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866004881685509"/>
                      <c:h val="0.207795910493827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831-4064-9612-39C01D6D15A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Dashboard'!$B$13:$B$16</c:f>
              <c:strCache>
                <c:ptCount val="4"/>
                <c:pt idx="0">
                  <c:v>Pending</c:v>
                </c:pt>
                <c:pt idx="1">
                  <c:v>In Progress</c:v>
                </c:pt>
                <c:pt idx="2">
                  <c:v>Completed</c:v>
                </c:pt>
                <c:pt idx="3">
                  <c:v>Overdue</c:v>
                </c:pt>
              </c:strCache>
            </c:strRef>
          </c:cat>
          <c:val>
            <c:numRef>
              <c:f>'Executive Dashboard'!$C$13:$C$16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1-4064-9612-39C01D6D15A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62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 Profile</a:t>
            </a:r>
          </a:p>
        </c:rich>
      </c:tx>
      <c:layout>
        <c:manualLayout>
          <c:xMode val="edge"/>
          <c:yMode val="edge"/>
          <c:x val="0.31873840445269019"/>
          <c:y val="5.03968253968253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2564199581274"/>
          <c:y val="5.5436507936507937E-2"/>
          <c:w val="0.85102245375625463"/>
          <c:h val="0.8276515873015872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'Executive Dashboard'!$C$19</c:f>
              <c:strCache>
                <c:ptCount val="1"/>
                <c:pt idx="0">
                  <c:v>Actions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3F-4861-8203-A3C92A0E075E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3F-4861-8203-A3C92A0E075E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3F-4861-8203-A3C92A0E07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Dashboard'!$B$20:$B$22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'Executive Dashboard'!$C$20:$C$22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7-4102-B564-1C630D3213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Actions</a:t>
                </a:r>
              </a:p>
            </c:rich>
          </c:tx>
          <c:layout>
            <c:manualLayout>
              <c:xMode val="edge"/>
              <c:yMode val="edge"/>
              <c:x val="8.4123636879542378E-3"/>
              <c:y val="0.3782960317460317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Actions by Department</a:t>
            </a:r>
          </a:p>
        </c:rich>
      </c:tx>
      <c:layout>
        <c:manualLayout>
          <c:xMode val="edge"/>
          <c:yMode val="edge"/>
          <c:x val="0.5436798087664666"/>
          <c:y val="3.822632270601429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'Executive Dashboard'!$D$28</c:f>
              <c:strCache>
                <c:ptCount val="1"/>
                <c:pt idx="0">
                  <c:v>Open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783-426D-A593-7482CAE1D935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83-426D-A593-7482CAE1D935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783-426D-A593-7482CAE1D935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783-426D-A593-7482CAE1D935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783-426D-A593-7482CAE1D935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783-426D-A593-7482CAE1D935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783-426D-A593-7482CAE1D9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Dashboard'!$B$29:$B$35</c:f>
              <c:strCache>
                <c:ptCount val="7"/>
                <c:pt idx="0">
                  <c:v>Finance</c:v>
                </c:pt>
                <c:pt idx="1">
                  <c:v>HR / Admin</c:v>
                </c:pt>
                <c:pt idx="2">
                  <c:v>Logistics</c:v>
                </c:pt>
                <c:pt idx="3">
                  <c:v>Procurement</c:v>
                </c:pt>
                <c:pt idx="4">
                  <c:v>Executive Office</c:v>
                </c:pt>
                <c:pt idx="5">
                  <c:v>Facilities</c:v>
                </c:pt>
                <c:pt idx="6">
                  <c:v>Operations</c:v>
                </c:pt>
              </c:strCache>
            </c:strRef>
          </c:cat>
          <c:val>
            <c:numRef>
              <c:f>'Executive Dashboard'!$D$29:$D$35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4-4D60-9823-F64B6B6195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11</xdr:row>
      <xdr:rowOff>53340</xdr:rowOff>
    </xdr:from>
    <xdr:ext cx="489585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819150</xdr:colOff>
      <xdr:row>11</xdr:row>
      <xdr:rowOff>59055</xdr:rowOff>
    </xdr:from>
    <xdr:ext cx="3876675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584834</xdr:colOff>
      <xdr:row>27</xdr:row>
      <xdr:rowOff>38101</xdr:rowOff>
    </xdr:from>
    <xdr:ext cx="6715126" cy="17373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O42"/>
  <sheetViews>
    <sheetView showGridLines="0" tabSelected="1" workbookViewId="0">
      <pane xSplit="1" ySplit="10" topLeftCell="B11" activePane="bottomRight" state="frozen"/>
      <selection pane="topRight"/>
      <selection pane="bottomLeft"/>
      <selection pane="bottomRight" activeCell="R17" sqref="R17"/>
    </sheetView>
  </sheetViews>
  <sheetFormatPr defaultRowHeight="14.4" x14ac:dyDescent="0.3"/>
  <cols>
    <col min="1" max="1" width="3" customWidth="1"/>
    <col min="2" max="2" width="15.109375" customWidth="1"/>
    <col min="3" max="11" width="13" customWidth="1"/>
    <col min="12" max="12" width="3" customWidth="1"/>
  </cols>
  <sheetData>
    <row r="2" spans="2:15" ht="14.4" customHeight="1" x14ac:dyDescent="0.3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2:15" x14ac:dyDescent="0.3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2:15" x14ac:dyDescent="0.3">
      <c r="B4" s="10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2:15" x14ac:dyDescent="0.3">
      <c r="B6" s="7" t="s">
        <v>2</v>
      </c>
      <c r="C6" s="8"/>
      <c r="D6" s="7" t="s">
        <v>3</v>
      </c>
      <c r="E6" s="8"/>
      <c r="F6" s="7" t="s">
        <v>4</v>
      </c>
      <c r="G6" s="8"/>
      <c r="H6" s="7" t="s">
        <v>5</v>
      </c>
      <c r="I6" s="8"/>
      <c r="J6" s="7" t="s">
        <v>6</v>
      </c>
      <c r="K6" s="8"/>
    </row>
    <row r="7" spans="2:15" x14ac:dyDescent="0.3">
      <c r="B7" s="13">
        <f>COUNTA('Action Tracker'!A2:A1000)</f>
        <v>12</v>
      </c>
      <c r="C7" s="8"/>
      <c r="D7" s="15">
        <f>COUNTIF('Action Tracker'!F2:F1000,"Pending")+COUNTIF('Action Tracker'!F2:F1000,"In Progress")+COUNTIF('Action Tracker'!F2:F1000,"Overdue")</f>
        <v>9</v>
      </c>
      <c r="E7" s="8"/>
      <c r="F7" s="14">
        <f>COUNTIF('Action Tracker'!F2:F1000,"Overdue")</f>
        <v>2</v>
      </c>
      <c r="G7" s="8"/>
      <c r="H7" s="14">
        <f>COUNTIF('Action Tracker'!E2:E1000,"High")</f>
        <v>5</v>
      </c>
      <c r="I7" s="8"/>
      <c r="J7" s="16">
        <f>AVERAGE('Action Tracker'!K2:K1000)</f>
        <v>0.68333333333333324</v>
      </c>
      <c r="K7" s="8"/>
    </row>
    <row r="8" spans="2:15" x14ac:dyDescent="0.3">
      <c r="B8" s="8"/>
      <c r="C8" s="8"/>
      <c r="D8" s="8"/>
      <c r="E8" s="8"/>
      <c r="F8" s="8"/>
      <c r="G8" s="8"/>
      <c r="H8" s="8"/>
      <c r="I8" s="8"/>
      <c r="J8" s="8"/>
      <c r="K8" s="8"/>
    </row>
    <row r="11" spans="2:15" ht="15.6" x14ac:dyDescent="0.3">
      <c r="B11" s="11" t="s">
        <v>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2:15" x14ac:dyDescent="0.3">
      <c r="B12" s="6" t="s">
        <v>8</v>
      </c>
      <c r="C12" s="6" t="s">
        <v>9</v>
      </c>
    </row>
    <row r="13" spans="2:15" x14ac:dyDescent="0.3">
      <c r="B13" s="1" t="s">
        <v>10</v>
      </c>
      <c r="C13" s="1">
        <f>COUNTIF('Action Tracker'!F2:F1000,"Pending")</f>
        <v>2</v>
      </c>
    </row>
    <row r="14" spans="2:15" x14ac:dyDescent="0.3">
      <c r="B14" s="1" t="s">
        <v>11</v>
      </c>
      <c r="C14" s="1">
        <f>COUNTIF('Action Tracker'!F2:F1000,"In Progress")</f>
        <v>5</v>
      </c>
    </row>
    <row r="15" spans="2:15" x14ac:dyDescent="0.3">
      <c r="B15" s="1" t="s">
        <v>12</v>
      </c>
      <c r="C15" s="1">
        <f>COUNTIF('Action Tracker'!F2:F1000,"Completed")</f>
        <v>3</v>
      </c>
    </row>
    <row r="16" spans="2:15" x14ac:dyDescent="0.3">
      <c r="B16" s="1" t="s">
        <v>13</v>
      </c>
      <c r="C16" s="1">
        <f>COUNTIF('Action Tracker'!F2:F1000,"Overdue")</f>
        <v>2</v>
      </c>
    </row>
    <row r="19" spans="2:15" x14ac:dyDescent="0.3">
      <c r="B19" s="6" t="s">
        <v>14</v>
      </c>
      <c r="C19" s="6" t="s">
        <v>9</v>
      </c>
    </row>
    <row r="20" spans="2:15" x14ac:dyDescent="0.3">
      <c r="B20" s="1" t="s">
        <v>15</v>
      </c>
      <c r="C20" s="1">
        <f>COUNTIF('Action Tracker'!E2:E1000,"High")</f>
        <v>5</v>
      </c>
    </row>
    <row r="21" spans="2:15" x14ac:dyDescent="0.3">
      <c r="B21" s="1" t="s">
        <v>16</v>
      </c>
      <c r="C21" s="1">
        <f>COUNTIF('Action Tracker'!E2:E1000,"Medium")</f>
        <v>5</v>
      </c>
    </row>
    <row r="22" spans="2:15" x14ac:dyDescent="0.3">
      <c r="B22" s="1" t="s">
        <v>17</v>
      </c>
      <c r="C22" s="1">
        <f>COUNTIF('Action Tracker'!E2:E1000,"Low")</f>
        <v>2</v>
      </c>
    </row>
    <row r="27" spans="2:15" ht="15.6" x14ac:dyDescent="0.3">
      <c r="B27" s="12" t="s">
        <v>18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2:15" x14ac:dyDescent="0.3">
      <c r="B28" s="6" t="s">
        <v>19</v>
      </c>
      <c r="C28" s="6" t="s">
        <v>20</v>
      </c>
      <c r="D28" s="6" t="s">
        <v>21</v>
      </c>
      <c r="E28" s="6" t="s">
        <v>13</v>
      </c>
    </row>
    <row r="29" spans="2:15" x14ac:dyDescent="0.3">
      <c r="B29" s="1" t="s">
        <v>22</v>
      </c>
      <c r="C29" s="1">
        <f>COUNTIF('Action Tracker'!C2:C1000,B29)</f>
        <v>2</v>
      </c>
      <c r="D29" s="1">
        <f>COUNTIFS('Action Tracker'!C2:C1000,B29,'Action Tracker'!F2:F1000,"&lt;&gt;Completed")</f>
        <v>2</v>
      </c>
      <c r="E29" s="1">
        <f>COUNTIFS('Action Tracker'!C2:C1000,B29,'Action Tracker'!F2:F1000,"Overdue")</f>
        <v>1</v>
      </c>
    </row>
    <row r="30" spans="2:15" x14ac:dyDescent="0.3">
      <c r="B30" s="1" t="s">
        <v>23</v>
      </c>
      <c r="C30" s="1">
        <f>COUNTIF('Action Tracker'!C2:C1000,B30)</f>
        <v>2</v>
      </c>
      <c r="D30" s="1">
        <f>COUNTIFS('Action Tracker'!C2:C1000,B30,'Action Tracker'!F2:F1000,"&lt;&gt;Completed")</f>
        <v>2</v>
      </c>
      <c r="E30" s="1">
        <f>COUNTIFS('Action Tracker'!C2:C1000,B30,'Action Tracker'!F2:F1000,"Overdue")</f>
        <v>0</v>
      </c>
    </row>
    <row r="31" spans="2:15" x14ac:dyDescent="0.3">
      <c r="B31" s="1" t="s">
        <v>24</v>
      </c>
      <c r="C31" s="1">
        <f>COUNTIF('Action Tracker'!C2:C1000,B31)</f>
        <v>2</v>
      </c>
      <c r="D31" s="1">
        <f>COUNTIFS('Action Tracker'!C2:C1000,B31,'Action Tracker'!F2:F1000,"&lt;&gt;Completed")</f>
        <v>1</v>
      </c>
      <c r="E31" s="1">
        <f>COUNTIFS('Action Tracker'!C2:C1000,B31,'Action Tracker'!F2:F1000,"Overdue")</f>
        <v>0</v>
      </c>
    </row>
    <row r="32" spans="2:15" x14ac:dyDescent="0.3">
      <c r="B32" s="1" t="s">
        <v>25</v>
      </c>
      <c r="C32" s="1">
        <f>COUNTIF('Action Tracker'!C2:C1000,B32)</f>
        <v>2</v>
      </c>
      <c r="D32" s="1">
        <f>COUNTIFS('Action Tracker'!C2:C1000,B32,'Action Tracker'!F2:F1000,"&lt;&gt;Completed")</f>
        <v>2</v>
      </c>
      <c r="E32" s="1">
        <f>COUNTIFS('Action Tracker'!C2:C1000,B32,'Action Tracker'!F2:F1000,"Overdue")</f>
        <v>1</v>
      </c>
    </row>
    <row r="33" spans="2:15" x14ac:dyDescent="0.3">
      <c r="B33" s="1" t="s">
        <v>26</v>
      </c>
      <c r="C33" s="1">
        <f>COUNTIF('Action Tracker'!C2:C1000,B33)</f>
        <v>2</v>
      </c>
      <c r="D33" s="1">
        <f>COUNTIFS('Action Tracker'!C2:C1000,B33,'Action Tracker'!F2:F1000,"&lt;&gt;Completed")</f>
        <v>1</v>
      </c>
      <c r="E33" s="1">
        <f>COUNTIFS('Action Tracker'!C2:C1000,B33,'Action Tracker'!F2:F1000,"Overdue")</f>
        <v>0</v>
      </c>
    </row>
    <row r="34" spans="2:15" x14ac:dyDescent="0.3">
      <c r="B34" s="1" t="s">
        <v>27</v>
      </c>
      <c r="C34" s="1">
        <f>COUNTIF('Action Tracker'!C2:C1000,B34)</f>
        <v>1</v>
      </c>
      <c r="D34" s="1">
        <f>COUNTIFS('Action Tracker'!C2:C1000,B34,'Action Tracker'!F2:F1000,"&lt;&gt;Completed")</f>
        <v>0</v>
      </c>
      <c r="E34" s="1">
        <f>COUNTIFS('Action Tracker'!C2:C1000,B34,'Action Tracker'!F2:F1000,"Overdue")</f>
        <v>0</v>
      </c>
    </row>
    <row r="35" spans="2:15" x14ac:dyDescent="0.3">
      <c r="B35" s="1" t="s">
        <v>28</v>
      </c>
      <c r="C35" s="1">
        <f>COUNTIF('Action Tracker'!C2:C1000,B35)</f>
        <v>1</v>
      </c>
      <c r="D35" s="1">
        <f>COUNTIFS('Action Tracker'!C2:C1000,B35,'Action Tracker'!F2:F1000,"&lt;&gt;Completed")</f>
        <v>1</v>
      </c>
      <c r="E35" s="1">
        <f>COUNTIFS('Action Tracker'!C2:C1000,B35,'Action Tracker'!F2:F1000,"Overdue")</f>
        <v>0</v>
      </c>
    </row>
    <row r="38" spans="2:15" ht="15.6" x14ac:dyDescent="0.3">
      <c r="B38" s="11" t="s">
        <v>29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2:15" x14ac:dyDescent="0.3">
      <c r="B39" s="17" t="s">
        <v>30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2:15" x14ac:dyDescent="0.3">
      <c r="B40" s="17" t="s">
        <v>31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2:15" x14ac:dyDescent="0.3">
      <c r="B41" s="17" t="s">
        <v>32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2:15" x14ac:dyDescent="0.3">
      <c r="B42" s="17" t="s">
        <v>33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</sheetData>
  <mergeCells count="19">
    <mergeCell ref="B38:O38"/>
    <mergeCell ref="B39:O39"/>
    <mergeCell ref="B40:O40"/>
    <mergeCell ref="B41:O41"/>
    <mergeCell ref="B42:O42"/>
    <mergeCell ref="B6:C6"/>
    <mergeCell ref="B2:O3"/>
    <mergeCell ref="B4:O4"/>
    <mergeCell ref="B11:O11"/>
    <mergeCell ref="B27:O27"/>
    <mergeCell ref="D6:E6"/>
    <mergeCell ref="H6:I6"/>
    <mergeCell ref="J6:K6"/>
    <mergeCell ref="B7:C8"/>
    <mergeCell ref="F7:G8"/>
    <mergeCell ref="D7:E8"/>
    <mergeCell ref="H7:I8"/>
    <mergeCell ref="J7:K8"/>
    <mergeCell ref="F6:G6"/>
  </mergeCells>
  <pageMargins left="0.75" right="0.75" top="1" bottom="1" header="0.5" footer="0.5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395"/>
  </sheetPr>
  <dimension ref="A1:M13"/>
  <sheetViews>
    <sheetView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3" customWidth="1"/>
    <col min="2" max="2" width="38" customWidth="1"/>
    <col min="3" max="3" width="18" customWidth="1"/>
    <col min="4" max="4" width="20" customWidth="1"/>
    <col min="5" max="5" width="12" customWidth="1"/>
    <col min="6" max="8" width="14" customWidth="1"/>
    <col min="9" max="9" width="15" customWidth="1"/>
    <col min="10" max="10" width="13" customWidth="1"/>
    <col min="11" max="12" width="15" customWidth="1"/>
    <col min="13" max="13" width="38" customWidth="1"/>
  </cols>
  <sheetData>
    <row r="1" spans="1:13" ht="27.6" x14ac:dyDescent="0.3">
      <c r="A1" s="2" t="s">
        <v>34</v>
      </c>
      <c r="B1" s="2" t="s">
        <v>35</v>
      </c>
      <c r="C1" s="2" t="s">
        <v>19</v>
      </c>
      <c r="D1" s="2" t="s">
        <v>36</v>
      </c>
      <c r="E1" s="2" t="s">
        <v>14</v>
      </c>
      <c r="F1" s="2" t="s">
        <v>8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</row>
    <row r="2" spans="1:13" ht="26.4" x14ac:dyDescent="0.3">
      <c r="A2" s="3" t="s">
        <v>44</v>
      </c>
      <c r="B2" s="3" t="s">
        <v>45</v>
      </c>
      <c r="C2" s="3" t="s">
        <v>22</v>
      </c>
      <c r="D2" s="3" t="s">
        <v>46</v>
      </c>
      <c r="E2" s="3" t="s">
        <v>15</v>
      </c>
      <c r="F2" s="3" t="s">
        <v>11</v>
      </c>
      <c r="G2" s="4" t="s">
        <v>47</v>
      </c>
      <c r="H2" s="4" t="s">
        <v>48</v>
      </c>
      <c r="I2" s="3">
        <f t="shared" ref="I2:I13" ca="1" si="0">H2-TODAY()</f>
        <v>1</v>
      </c>
      <c r="J2" s="3">
        <f t="shared" ref="J2:J13" ca="1" si="1">TODAY()-G2</f>
        <v>26</v>
      </c>
      <c r="K2" s="5">
        <v>0.75</v>
      </c>
      <c r="L2" s="3" t="s">
        <v>15</v>
      </c>
      <c r="M2" s="3" t="s">
        <v>49</v>
      </c>
    </row>
    <row r="3" spans="1:13" x14ac:dyDescent="0.3">
      <c r="A3" s="3" t="s">
        <v>50</v>
      </c>
      <c r="B3" s="3" t="s">
        <v>51</v>
      </c>
      <c r="C3" s="3" t="s">
        <v>23</v>
      </c>
      <c r="D3" s="3" t="s">
        <v>52</v>
      </c>
      <c r="E3" s="3" t="s">
        <v>15</v>
      </c>
      <c r="F3" s="3" t="s">
        <v>10</v>
      </c>
      <c r="G3" s="4" t="s">
        <v>53</v>
      </c>
      <c r="H3" s="4" t="s">
        <v>54</v>
      </c>
      <c r="I3" s="3">
        <f t="shared" ca="1" si="0"/>
        <v>3</v>
      </c>
      <c r="J3" s="3">
        <f t="shared" ca="1" si="1"/>
        <v>22</v>
      </c>
      <c r="K3" s="5">
        <v>0.4</v>
      </c>
      <c r="L3" s="3" t="s">
        <v>15</v>
      </c>
      <c r="M3" s="3" t="s">
        <v>55</v>
      </c>
    </row>
    <row r="4" spans="1:13" x14ac:dyDescent="0.3">
      <c r="A4" s="3" t="s">
        <v>56</v>
      </c>
      <c r="B4" s="3" t="s">
        <v>57</v>
      </c>
      <c r="C4" s="3" t="s">
        <v>24</v>
      </c>
      <c r="D4" s="3" t="s">
        <v>58</v>
      </c>
      <c r="E4" s="3" t="s">
        <v>16</v>
      </c>
      <c r="F4" s="3" t="s">
        <v>11</v>
      </c>
      <c r="G4" s="4" t="s">
        <v>59</v>
      </c>
      <c r="H4" s="4" t="s">
        <v>60</v>
      </c>
      <c r="I4" s="3">
        <f t="shared" ca="1" si="0"/>
        <v>7</v>
      </c>
      <c r="J4" s="3">
        <f t="shared" ca="1" si="1"/>
        <v>20</v>
      </c>
      <c r="K4" s="5">
        <v>0.6</v>
      </c>
      <c r="L4" s="3" t="s">
        <v>16</v>
      </c>
      <c r="M4" s="3" t="s">
        <v>61</v>
      </c>
    </row>
    <row r="5" spans="1:13" x14ac:dyDescent="0.3">
      <c r="A5" s="3" t="s">
        <v>62</v>
      </c>
      <c r="B5" s="3" t="s">
        <v>63</v>
      </c>
      <c r="C5" s="3" t="s">
        <v>25</v>
      </c>
      <c r="D5" s="3" t="s">
        <v>64</v>
      </c>
      <c r="E5" s="3" t="s">
        <v>15</v>
      </c>
      <c r="F5" s="3" t="s">
        <v>13</v>
      </c>
      <c r="G5" s="4" t="s">
        <v>65</v>
      </c>
      <c r="H5" s="4" t="s">
        <v>66</v>
      </c>
      <c r="I5" s="3">
        <f t="shared" ca="1" si="0"/>
        <v>-7</v>
      </c>
      <c r="J5" s="3">
        <f t="shared" ca="1" si="1"/>
        <v>39</v>
      </c>
      <c r="K5" s="5">
        <v>0.55000000000000004</v>
      </c>
      <c r="L5" s="3" t="s">
        <v>15</v>
      </c>
      <c r="M5" s="3" t="s">
        <v>67</v>
      </c>
    </row>
    <row r="6" spans="1:13" x14ac:dyDescent="0.3">
      <c r="A6" s="3" t="s">
        <v>68</v>
      </c>
      <c r="B6" s="3" t="s">
        <v>69</v>
      </c>
      <c r="C6" s="3" t="s">
        <v>26</v>
      </c>
      <c r="D6" s="3" t="s">
        <v>52</v>
      </c>
      <c r="E6" s="3" t="s">
        <v>16</v>
      </c>
      <c r="F6" s="3" t="s">
        <v>12</v>
      </c>
      <c r="G6" s="4" t="s">
        <v>70</v>
      </c>
      <c r="H6" s="4" t="s">
        <v>71</v>
      </c>
      <c r="I6" s="3">
        <f t="shared" ca="1" si="0"/>
        <v>-5</v>
      </c>
      <c r="J6" s="3">
        <f t="shared" ca="1" si="1"/>
        <v>12</v>
      </c>
      <c r="K6" s="5">
        <v>1</v>
      </c>
      <c r="L6" s="3" t="s">
        <v>17</v>
      </c>
      <c r="M6" s="3" t="s">
        <v>72</v>
      </c>
    </row>
    <row r="7" spans="1:13" x14ac:dyDescent="0.3">
      <c r="A7" s="3" t="s">
        <v>73</v>
      </c>
      <c r="B7" s="3" t="s">
        <v>74</v>
      </c>
      <c r="C7" s="3" t="s">
        <v>25</v>
      </c>
      <c r="D7" s="3" t="s">
        <v>75</v>
      </c>
      <c r="E7" s="3" t="s">
        <v>16</v>
      </c>
      <c r="F7" s="3" t="s">
        <v>11</v>
      </c>
      <c r="G7" s="4" t="s">
        <v>76</v>
      </c>
      <c r="H7" s="4" t="s">
        <v>77</v>
      </c>
      <c r="I7" s="3">
        <f t="shared" ca="1" si="0"/>
        <v>4</v>
      </c>
      <c r="J7" s="3">
        <f t="shared" ca="1" si="1"/>
        <v>18</v>
      </c>
      <c r="K7" s="5">
        <v>0.7</v>
      </c>
      <c r="L7" s="3" t="s">
        <v>16</v>
      </c>
      <c r="M7" s="3" t="s">
        <v>78</v>
      </c>
    </row>
    <row r="8" spans="1:13" x14ac:dyDescent="0.3">
      <c r="A8" s="3" t="s">
        <v>79</v>
      </c>
      <c r="B8" s="3" t="s">
        <v>80</v>
      </c>
      <c r="C8" s="3" t="s">
        <v>23</v>
      </c>
      <c r="D8" s="3" t="s">
        <v>81</v>
      </c>
      <c r="E8" s="3" t="s">
        <v>15</v>
      </c>
      <c r="F8" s="3" t="s">
        <v>10</v>
      </c>
      <c r="G8" s="4" t="s">
        <v>82</v>
      </c>
      <c r="H8" s="4" t="s">
        <v>83</v>
      </c>
      <c r="I8" s="3">
        <f t="shared" ca="1" si="0"/>
        <v>0</v>
      </c>
      <c r="J8" s="3">
        <f t="shared" ca="1" si="1"/>
        <v>17</v>
      </c>
      <c r="K8" s="5">
        <v>0.25</v>
      </c>
      <c r="L8" s="3" t="s">
        <v>15</v>
      </c>
      <c r="M8" s="3" t="s">
        <v>84</v>
      </c>
    </row>
    <row r="9" spans="1:13" ht="26.4" x14ac:dyDescent="0.3">
      <c r="A9" s="3" t="s">
        <v>85</v>
      </c>
      <c r="B9" s="3" t="s">
        <v>86</v>
      </c>
      <c r="C9" s="3" t="s">
        <v>27</v>
      </c>
      <c r="D9" s="3" t="s">
        <v>87</v>
      </c>
      <c r="E9" s="3" t="s">
        <v>17</v>
      </c>
      <c r="F9" s="3" t="s">
        <v>12</v>
      </c>
      <c r="G9" s="4" t="s">
        <v>88</v>
      </c>
      <c r="H9" s="4" t="s">
        <v>89</v>
      </c>
      <c r="I9" s="3">
        <f t="shared" ca="1" si="0"/>
        <v>-3</v>
      </c>
      <c r="J9" s="3">
        <f t="shared" ca="1" si="1"/>
        <v>15</v>
      </c>
      <c r="K9" s="5">
        <v>1</v>
      </c>
      <c r="L9" s="3" t="s">
        <v>17</v>
      </c>
      <c r="M9" s="3" t="s">
        <v>90</v>
      </c>
    </row>
    <row r="10" spans="1:13" x14ac:dyDescent="0.3">
      <c r="A10" s="3" t="s">
        <v>91</v>
      </c>
      <c r="B10" s="3" t="s">
        <v>92</v>
      </c>
      <c r="C10" s="3" t="s">
        <v>28</v>
      </c>
      <c r="D10" s="3" t="s">
        <v>93</v>
      </c>
      <c r="E10" s="3" t="s">
        <v>16</v>
      </c>
      <c r="F10" s="3" t="s">
        <v>11</v>
      </c>
      <c r="G10" s="4" t="s">
        <v>94</v>
      </c>
      <c r="H10" s="4" t="s">
        <v>95</v>
      </c>
      <c r="I10" s="3">
        <f t="shared" ca="1" si="0"/>
        <v>2</v>
      </c>
      <c r="J10" s="3">
        <f t="shared" ca="1" si="1"/>
        <v>9</v>
      </c>
      <c r="K10" s="5">
        <v>0.8</v>
      </c>
      <c r="L10" s="3" t="s">
        <v>16</v>
      </c>
      <c r="M10" s="3" t="s">
        <v>96</v>
      </c>
    </row>
    <row r="11" spans="1:13" x14ac:dyDescent="0.3">
      <c r="A11" s="3" t="s">
        <v>97</v>
      </c>
      <c r="B11" s="3" t="s">
        <v>98</v>
      </c>
      <c r="C11" s="3" t="s">
        <v>22</v>
      </c>
      <c r="D11" s="3" t="s">
        <v>99</v>
      </c>
      <c r="E11" s="3" t="s">
        <v>15</v>
      </c>
      <c r="F11" s="3" t="s">
        <v>13</v>
      </c>
      <c r="G11" s="4" t="s">
        <v>100</v>
      </c>
      <c r="H11" s="4" t="s">
        <v>94</v>
      </c>
      <c r="I11" s="3">
        <f t="shared" ca="1" si="0"/>
        <v>-9</v>
      </c>
      <c r="J11" s="3">
        <f t="shared" ca="1" si="1"/>
        <v>32</v>
      </c>
      <c r="K11" s="5">
        <v>0.5</v>
      </c>
      <c r="L11" s="3" t="s">
        <v>15</v>
      </c>
      <c r="M11" s="3" t="s">
        <v>101</v>
      </c>
    </row>
    <row r="12" spans="1:13" x14ac:dyDescent="0.3">
      <c r="A12" s="3" t="s">
        <v>102</v>
      </c>
      <c r="B12" s="3" t="s">
        <v>103</v>
      </c>
      <c r="C12" s="3" t="s">
        <v>24</v>
      </c>
      <c r="D12" s="3" t="s">
        <v>58</v>
      </c>
      <c r="E12" s="3" t="s">
        <v>17</v>
      </c>
      <c r="F12" s="3" t="s">
        <v>12</v>
      </c>
      <c r="G12" s="4" t="s">
        <v>82</v>
      </c>
      <c r="H12" s="4" t="s">
        <v>104</v>
      </c>
      <c r="I12" s="3">
        <f t="shared" ca="1" si="0"/>
        <v>-2</v>
      </c>
      <c r="J12" s="3">
        <f t="shared" ca="1" si="1"/>
        <v>17</v>
      </c>
      <c r="K12" s="5">
        <v>1</v>
      </c>
      <c r="L12" s="3" t="s">
        <v>17</v>
      </c>
      <c r="M12" s="3" t="s">
        <v>105</v>
      </c>
    </row>
    <row r="13" spans="1:13" x14ac:dyDescent="0.3">
      <c r="A13" s="3" t="s">
        <v>106</v>
      </c>
      <c r="B13" s="3" t="s">
        <v>107</v>
      </c>
      <c r="C13" s="3" t="s">
        <v>26</v>
      </c>
      <c r="D13" s="3" t="s">
        <v>52</v>
      </c>
      <c r="E13" s="3" t="s">
        <v>16</v>
      </c>
      <c r="F13" s="3" t="s">
        <v>11</v>
      </c>
      <c r="G13" s="4" t="s">
        <v>66</v>
      </c>
      <c r="H13" s="4" t="s">
        <v>108</v>
      </c>
      <c r="I13" s="3">
        <f t="shared" ca="1" si="0"/>
        <v>5</v>
      </c>
      <c r="J13" s="3">
        <f t="shared" ca="1" si="1"/>
        <v>7</v>
      </c>
      <c r="K13" s="5">
        <v>0.65</v>
      </c>
      <c r="L13" s="3" t="s">
        <v>16</v>
      </c>
      <c r="M13" s="3" t="s">
        <v>109</v>
      </c>
    </row>
  </sheetData>
  <autoFilter ref="A1:M13" xr:uid="{00000000-0009-0000-0000-000001000000}"/>
  <conditionalFormatting sqref="I2:I13">
    <cfRule type="cellIs" dxfId="1" priority="1" operator="lessThan">
      <formula>0</formula>
    </cfRule>
  </conditionalFormatting>
  <conditionalFormatting sqref="K2:K13">
    <cfRule type="cellIs" dxfId="0" priority="2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Executive Dashboard</vt:lpstr>
      <vt:lpstr>Action Tracker</vt:lpstr>
      <vt:lpstr>'Executive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Sudheer Ahmed</cp:lastModifiedBy>
  <cp:lastPrinted>2026-07-27T10:42:57Z</cp:lastPrinted>
  <dcterms:created xsi:type="dcterms:W3CDTF">2026-07-27T10:13:38Z</dcterms:created>
  <dcterms:modified xsi:type="dcterms:W3CDTF">2026-07-27T10:43:13Z</dcterms:modified>
</cp:coreProperties>
</file>