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Board Members" sheetId="2" state="visible" r:id="rId2"/>
    <sheet xmlns:r="http://schemas.openxmlformats.org/officeDocument/2006/relationships" name="Meeting Calendar" sheetId="3" state="visible" r:id="rId3"/>
    <sheet xmlns:r="http://schemas.openxmlformats.org/officeDocument/2006/relationships" name="Resolutions Register" sheetId="4" state="visible" r:id="rId4"/>
    <sheet xmlns:r="http://schemas.openxmlformats.org/officeDocument/2006/relationships" name="Action Log" sheetId="5" state="visible" r:id="rId5"/>
    <sheet xmlns:r="http://schemas.openxmlformats.org/officeDocument/2006/relationships" name="Attendance" sheetId="6" state="visible" r:id="rId6"/>
  </sheets>
  <definedNames>
    <definedName name="_xlnm.Print_Area" localSheetId="0">'Dashboard'!$A$1:$N$44</definedName>
    <definedName name="_xlnm._FilterDatabase" localSheetId="3" hidden="1">'Resolutions Register'!$A$4:$M$39</definedName>
    <definedName name="_xlnm._FilterDatabase" localSheetId="4" hidden="1">'Action Log'!$A$4:$H$46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"/>
    <numFmt numFmtId="166" formatCode="dddd, dd mmm yyyy"/>
  </numFmts>
  <fonts count="24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5B6B82"/>
      <sz val="10"/>
    </font>
    <font>
      <name val="Calibri"/>
      <b val="1"/>
      <color rgb="00FFFFFF"/>
      <sz val="11"/>
    </font>
    <font>
      <name val="Calibri"/>
      <color rgb="001B2433"/>
      <sz val="10.5"/>
    </font>
    <font>
      <name val="Calibri"/>
      <color rgb="00B8A99C"/>
      <sz val="10.5"/>
    </font>
    <font>
      <name val="Calibri"/>
      <b val="1"/>
      <color rgb="001B2433"/>
      <sz val="10.5"/>
    </font>
    <font>
      <name val="Calibri"/>
      <b val="1"/>
      <color rgb="002B2420"/>
      <sz val="22"/>
    </font>
    <font>
      <name val="Calibri"/>
      <color rgb="00857468"/>
      <sz val="10"/>
    </font>
    <font>
      <name val="Calibri"/>
      <b val="1"/>
      <color rgb="00857468"/>
      <sz val="9"/>
    </font>
    <font>
      <name val="Calibri"/>
      <b val="1"/>
      <color rgb="002B2420"/>
      <sz val="26"/>
    </font>
    <font>
      <name val="Calibri"/>
      <color rgb="00857468"/>
      <sz val="9"/>
    </font>
    <font>
      <name val="Calibri"/>
      <b val="1"/>
      <color rgb="003E7C6B"/>
      <sz val="26"/>
    </font>
    <font>
      <name val="Calibri"/>
      <b val="1"/>
      <color rgb="00D9A441"/>
      <sz val="26"/>
    </font>
    <font>
      <name val="Calibri"/>
      <b val="1"/>
      <color rgb="00C98B3C"/>
      <sz val="26"/>
    </font>
    <font>
      <name val="Calibri"/>
      <b val="1"/>
      <color rgb="00A8472F"/>
      <sz val="26"/>
    </font>
    <font>
      <name val="Calibri"/>
      <b val="1"/>
      <color rgb="00A8472F"/>
      <sz val="10"/>
    </font>
    <font>
      <name val="Calibri"/>
      <b val="1"/>
      <color rgb="002B2420"/>
      <sz val="10"/>
    </font>
    <font>
      <name val="Calibri"/>
      <color rgb="002B2420"/>
      <sz val="10"/>
    </font>
    <font>
      <name val="Calibri"/>
      <color rgb="003E7C6B"/>
      <sz val="10"/>
    </font>
    <font>
      <name val="Calibri"/>
      <color rgb="00C98B3C"/>
      <sz val="10"/>
    </font>
    <font>
      <name val="Calibri"/>
      <color rgb="00A8472F"/>
      <sz val="10"/>
    </font>
    <font>
      <name val="Calibri"/>
      <color rgb="00D9A441"/>
      <sz val="10"/>
    </font>
    <font>
      <name val="Calibri"/>
      <b val="1"/>
      <color rgb="00D9A441"/>
      <sz val="10"/>
    </font>
  </fonts>
  <fills count="8">
    <fill>
      <patternFill/>
    </fill>
    <fill>
      <patternFill patternType="gray125"/>
    </fill>
    <fill>
      <patternFill patternType="solid">
        <fgColor rgb="005A2A1E"/>
      </patternFill>
    </fill>
    <fill>
      <patternFill patternType="solid">
        <fgColor rgb="00D9A441"/>
      </patternFill>
    </fill>
    <fill>
      <patternFill patternType="solid">
        <fgColor rgb="00FBF6F0"/>
      </patternFill>
    </fill>
    <fill>
      <patternFill patternType="solid">
        <fgColor rgb="00FAF5EF"/>
      </patternFill>
    </fill>
    <fill>
      <patternFill patternType="solid">
        <fgColor rgb="00FFFFFF"/>
      </patternFill>
    </fill>
    <fill>
      <patternFill patternType="solid">
        <fgColor rgb="00EADFD3"/>
      </patternFill>
    </fill>
  </fills>
  <borders count="13">
    <border>
      <left/>
      <right/>
      <top/>
      <bottom/>
      <diagonal/>
    </border>
    <border>
      <left style="thin">
        <color rgb="00D9DEE8"/>
      </left>
      <right style="thin">
        <color rgb="00D9DEE8"/>
      </right>
      <top style="thin">
        <color rgb="00D9DEE8"/>
      </top>
      <bottom style="thin">
        <color rgb="00D9DEE8"/>
      </bottom>
    </border>
    <border>
      <bottom style="medium">
        <color rgb="00A8472F"/>
      </bottom>
    </border>
    <border>
      <left style="thick">
        <color rgb="002B2420"/>
      </left>
      <top style="thin">
        <color rgb="00FFFFFF"/>
      </top>
      <bottom style="thin">
        <color rgb="00FFFFFF"/>
      </bottom>
    </border>
    <border>
      <right style="thick">
        <color rgb="00FAF5EF"/>
      </right>
      <top style="thin">
        <color rgb="00FFFFFF"/>
      </top>
      <bottom style="thin">
        <color rgb="00FFFFFF"/>
      </bottom>
    </border>
    <border>
      <left style="thick">
        <color rgb="003E7C6B"/>
      </left>
      <top style="thin">
        <color rgb="00FFFFFF"/>
      </top>
      <bottom style="thin">
        <color rgb="00FFFFFF"/>
      </bottom>
    </border>
    <border>
      <top style="thin">
        <color rgb="00FFFFFF"/>
      </top>
      <bottom style="thin">
        <color rgb="00FFFFFF"/>
      </bottom>
    </border>
    <border>
      <left style="thick">
        <color rgb="00D9A441"/>
      </left>
      <top style="thin">
        <color rgb="00FFFFFF"/>
      </top>
      <bottom style="thin">
        <color rgb="00FFFFFF"/>
      </bottom>
    </border>
    <border>
      <left style="thick">
        <color rgb="00C98B3C"/>
      </left>
      <top style="thin">
        <color rgb="00FFFFFF"/>
      </top>
      <bottom style="thin">
        <color rgb="00FFFFFF"/>
      </bottom>
    </border>
    <border>
      <left style="thick">
        <color rgb="00A8472F"/>
      </left>
      <top style="thin">
        <color rgb="00FFFFFF"/>
      </top>
      <bottom style="thin">
        <color rgb="00FFFFFF"/>
      </bottom>
    </border>
    <border>
      <bottom style="thin">
        <color rgb="00A8472F"/>
      </bottom>
    </border>
    <border>
      <bottom style="thin">
        <color rgb="00EADFD3"/>
      </bottom>
    </border>
    <border>
      <left/>
      <right/>
      <top/>
      <bottom style="thin">
        <color rgb="00A8472F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0" fillId="5" borderId="0" pivotButton="0" quotePrefix="0" xfId="0"/>
    <xf numFmtId="0" fontId="7" fillId="5" borderId="0" applyAlignment="1" pivotButton="0" quotePrefix="0" xfId="0">
      <alignment vertical="center"/>
    </xf>
    <xf numFmtId="0" fontId="8" fillId="5" borderId="0" applyAlignment="1" pivotButton="0" quotePrefix="0" xfId="0">
      <alignment vertical="center"/>
    </xf>
    <xf numFmtId="0" fontId="0" fillId="5" borderId="2" pivotButton="0" quotePrefix="0" xfId="0"/>
    <xf numFmtId="0" fontId="9" fillId="6" borderId="3" applyAlignment="1" pivotButton="0" quotePrefix="0" xfId="0">
      <alignment horizontal="left" vertical="bottom" indent="1"/>
    </xf>
    <xf numFmtId="0" fontId="0" fillId="6" borderId="4" pivotButton="0" quotePrefix="0" xfId="0"/>
    <xf numFmtId="0" fontId="9" fillId="6" borderId="5" applyAlignment="1" pivotButton="0" quotePrefix="0" xfId="0">
      <alignment horizontal="left" vertical="bottom" indent="1"/>
    </xf>
    <xf numFmtId="0" fontId="0" fillId="6" borderId="6" pivotButton="0" quotePrefix="0" xfId="0"/>
    <xf numFmtId="0" fontId="9" fillId="6" borderId="7" applyAlignment="1" pivotButton="0" quotePrefix="0" xfId="0">
      <alignment horizontal="left" vertical="bottom" indent="1"/>
    </xf>
    <xf numFmtId="0" fontId="9" fillId="6" borderId="8" applyAlignment="1" pivotButton="0" quotePrefix="0" xfId="0">
      <alignment horizontal="left" vertical="bottom" indent="1"/>
    </xf>
    <xf numFmtId="0" fontId="9" fillId="6" borderId="9" applyAlignment="1" pivotButton="0" quotePrefix="0" xfId="0">
      <alignment horizontal="left" vertical="bottom" indent="1"/>
    </xf>
    <xf numFmtId="0" fontId="10" fillId="6" borderId="3" applyAlignment="1" pivotButton="0" quotePrefix="0" xfId="0">
      <alignment horizontal="left" vertical="center" indent="1"/>
    </xf>
    <xf numFmtId="0" fontId="12" fillId="6" borderId="5" applyAlignment="1" pivotButton="0" quotePrefix="0" xfId="0">
      <alignment horizontal="left" vertical="center" indent="1"/>
    </xf>
    <xf numFmtId="0" fontId="13" fillId="6" borderId="7" applyAlignment="1" pivotButton="0" quotePrefix="0" xfId="0">
      <alignment horizontal="left" vertical="center" indent="1"/>
    </xf>
    <xf numFmtId="0" fontId="14" fillId="6" borderId="8" applyAlignment="1" pivotButton="0" quotePrefix="0" xfId="0">
      <alignment horizontal="left" vertical="center" indent="1"/>
    </xf>
    <xf numFmtId="0" fontId="15" fillId="6" borderId="9" applyAlignment="1" pivotButton="0" quotePrefix="0" xfId="0">
      <alignment horizontal="left" vertical="center" indent="1"/>
    </xf>
    <xf numFmtId="0" fontId="11" fillId="6" borderId="3" applyAlignment="1" pivotButton="0" quotePrefix="0" xfId="0">
      <alignment horizontal="left" vertical="top" indent="1"/>
    </xf>
    <xf numFmtId="0" fontId="11" fillId="6" borderId="5" applyAlignment="1" pivotButton="0" quotePrefix="0" xfId="0">
      <alignment horizontal="left" vertical="top" indent="1"/>
    </xf>
    <xf numFmtId="0" fontId="11" fillId="6" borderId="7" applyAlignment="1" pivotButton="0" quotePrefix="0" xfId="0">
      <alignment horizontal="left" vertical="top" indent="1"/>
    </xf>
    <xf numFmtId="0" fontId="11" fillId="6" borderId="8" applyAlignment="1" pivotButton="0" quotePrefix="0" xfId="0">
      <alignment horizontal="left" vertical="top" indent="1"/>
    </xf>
    <xf numFmtId="0" fontId="11" fillId="6" borderId="9" applyAlignment="1" pivotButton="0" quotePrefix="0" xfId="0">
      <alignment horizontal="left" vertical="top" indent="1"/>
    </xf>
    <xf numFmtId="0" fontId="16" fillId="5" borderId="0" pivotButton="0" quotePrefix="0" xfId="0"/>
    <xf numFmtId="0" fontId="16" fillId="6" borderId="10" applyAlignment="1" pivotButton="0" quotePrefix="0" xfId="0">
      <alignment horizontal="left" vertical="center" wrapText="1"/>
    </xf>
    <xf numFmtId="0" fontId="16" fillId="6" borderId="10" applyAlignment="1" pivotButton="0" quotePrefix="0" xfId="0">
      <alignment horizontal="center" vertical="center" wrapText="1"/>
    </xf>
    <xf numFmtId="0" fontId="0" fillId="0" borderId="12" pivotButton="0" quotePrefix="0" xfId="0"/>
    <xf numFmtId="166" fontId="17" fillId="5" borderId="11" applyAlignment="1" pivotButton="0" quotePrefix="0" xfId="0">
      <alignment horizontal="left" vertical="center" indent="1"/>
    </xf>
    <xf numFmtId="0" fontId="17" fillId="5" borderId="11" applyAlignment="1" pivotButton="0" quotePrefix="0" xfId="0">
      <alignment horizontal="center" vertical="center"/>
    </xf>
    <xf numFmtId="165" fontId="17" fillId="5" borderId="11" applyAlignment="1" pivotButton="0" quotePrefix="0" xfId="0">
      <alignment horizontal="center" vertical="center"/>
    </xf>
    <xf numFmtId="0" fontId="16" fillId="5" borderId="11" applyAlignment="1" pivotButton="0" quotePrefix="0" xfId="0">
      <alignment horizontal="center" vertical="center"/>
    </xf>
    <xf numFmtId="0" fontId="18" fillId="5" borderId="11" applyAlignment="1" pivotButton="0" quotePrefix="0" xfId="0">
      <alignment horizontal="center" vertical="center"/>
    </xf>
    <xf numFmtId="0" fontId="16" fillId="6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8" fillId="5" borderId="11" applyAlignment="1" pivotButton="0" quotePrefix="0" xfId="0">
      <alignment horizontal="left" vertical="center" indent="1"/>
    </xf>
    <xf numFmtId="0" fontId="19" fillId="5" borderId="11" applyAlignment="1" pivotButton="0" quotePrefix="0" xfId="0">
      <alignment horizontal="center" vertical="center"/>
    </xf>
    <xf numFmtId="0" fontId="20" fillId="5" borderId="11" applyAlignment="1" pivotButton="0" quotePrefix="0" xfId="0">
      <alignment horizontal="center" vertical="center"/>
    </xf>
    <xf numFmtId="0" fontId="21" fillId="5" borderId="11" applyAlignment="1" pivotButton="0" quotePrefix="0" xfId="0">
      <alignment horizontal="center" vertical="center"/>
    </xf>
    <xf numFmtId="0" fontId="16" fillId="7" borderId="11" applyAlignment="1" pivotButton="0" quotePrefix="0" xfId="0">
      <alignment horizontal="left" vertical="center" indent="1"/>
    </xf>
    <xf numFmtId="0" fontId="16" fillId="7" borderId="11" applyAlignment="1" pivotButton="0" quotePrefix="0" xfId="0">
      <alignment horizontal="center" vertical="center"/>
    </xf>
    <xf numFmtId="0" fontId="22" fillId="5" borderId="11" applyAlignment="1" pivotButton="0" quotePrefix="0" xfId="0">
      <alignment horizontal="center" vertical="center"/>
    </xf>
    <xf numFmtId="165" fontId="18" fillId="5" borderId="11" applyAlignment="1" pivotButton="0" quotePrefix="0" xfId="0">
      <alignment horizontal="center" vertical="center"/>
    </xf>
    <xf numFmtId="0" fontId="23" fillId="5" borderId="1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applyAlignment="1" pivotButton="0" quotePrefix="0" xfId="0">
      <alignment vertical="center" indent="1"/>
    </xf>
    <xf numFmtId="0" fontId="0" fillId="3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9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9" fontId="4" fillId="0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9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7">
    <dxf>
      <font>
        <b val="1"/>
        <color rgb="003E7C6B"/>
      </font>
      <fill>
        <patternFill patternType="solid">
          <fgColor rgb="00E4EFE9"/>
        </patternFill>
      </fill>
    </dxf>
    <dxf>
      <font>
        <b val="1"/>
        <color rgb="009A6B12"/>
      </font>
      <fill>
        <patternFill patternType="solid">
          <fgColor rgb="00FBF1DC"/>
        </patternFill>
      </fill>
    </dxf>
    <dxf>
      <fill>
        <patternFill patternType="solid">
          <fgColor rgb="00F6E3DC"/>
        </patternFill>
      </fill>
    </dxf>
    <dxf>
      <font>
        <b val="1"/>
        <color rgb="00A8472F"/>
      </font>
      <fill>
        <patternFill patternType="solid">
          <fgColor rgb="00F6E3DC"/>
        </patternFill>
      </fill>
    </dxf>
    <dxf>
      <font>
        <b val="1"/>
        <color rgb="008A5A1C"/>
      </font>
      <fill>
        <patternFill patternType="solid">
          <fgColor rgb="00F3EADB"/>
        </patternFill>
      </fill>
    </dxf>
    <dxf>
      <font>
        <b val="1"/>
        <color rgb="00FFFFFF"/>
      </font>
      <fill>
        <patternFill patternType="solid">
          <fgColor rgb="00A8472F"/>
        </patternFill>
      </fill>
    </dxf>
    <dxf>
      <font>
        <b val="1"/>
        <color rgb="003E7C6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plotArea>
      <barChart>
        <barDir val="bar"/>
        <grouping val="stacked"/>
        <ser>
          <idx val="0"/>
          <order val="0"/>
          <tx>
            <strRef>
              <f>'Dashboard'!C15</f>
            </strRef>
          </tx>
          <spPr>
            <a:solidFill xmlns:a="http://schemas.openxmlformats.org/drawingml/2006/main">
              <a:srgbClr val="3E7C6B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'Dashboard'!$B$16:$B$21</f>
            </numRef>
          </cat>
          <val>
            <numRef>
              <f>'Dashboard'!$C$16:$C$21</f>
            </numRef>
          </val>
        </ser>
        <ser>
          <idx val="1"/>
          <order val="1"/>
          <tx>
            <strRef>
              <f>'Dashboard'!D15</f>
            </strRef>
          </tx>
          <spPr>
            <a:solidFill xmlns:a="http://schemas.openxmlformats.org/drawingml/2006/main">
              <a:srgbClr val="C98B3C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'Dashboard'!$B$16:$B$21</f>
            </numRef>
          </cat>
          <val>
            <numRef>
              <f>'Dashboard'!$D$16:$D$21</f>
            </numRef>
          </val>
        </ser>
        <gapWidth val="45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EADFD3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857468"/>
                </a:solidFill>
              </a:defRPr>
            </a:pPr>
            <a:r>
              <a:t/>
            </a:r>
            <a:endParaRPr sz="900" b="0">
              <a:solidFill>
                <a:srgbClr val="857468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ADFD3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857468"/>
                </a:solidFill>
              </a:defRPr>
            </a:pPr>
            <a:r>
              <a:t/>
            </a:r>
            <a:endParaRPr sz="900" b="0">
              <a:solidFill>
                <a:srgbClr val="857468"/>
              </a:solidFill>
            </a:endParaRPr>
          </a:p>
        </txPr>
        <crossAx val="10"/>
      </valAx>
      <spPr>
        <a:solidFill xmlns:a="http://schemas.openxmlformats.org/drawingml/2006/main">
          <a:srgbClr val="FFFFFF"/>
        </a:solidFill>
        <a:ln xmlns:a="http://schemas.openxmlformats.org/drawingml/2006/main">
          <a:noFill/>
          <a:prstDash val="solid"/>
        </a:ln>
      </spPr>
    </plotArea>
    <legend>
      <legendPos val="b"/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2B2420"/>
              </a:solidFill>
            </a:defRPr>
          </a:pPr>
          <a:r>
            <a:t/>
          </a:r>
          <a:endParaRPr sz="900" b="0">
            <a:solidFill>
              <a:srgbClr val="2B2420"/>
            </a:solidFill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solidFill>
        <a:srgbClr val="FFFFFF"/>
      </a:solidFill>
      <a:prstDash val="solid"/>
    </a:ln>
  </spPr>
</chartSpace>
</file>

<file path=xl/charts/chart2.xml><?xml version="1.0" encoding="utf-8"?>
<chartSpace xmlns="http://schemas.openxmlformats.org/drawingml/2006/chart">
  <chart>
    <plotArea>
      <barChart>
        <barDir val="col"/>
        <grouping val="stacked"/>
        <ser>
          <idx val="0"/>
          <order val="0"/>
          <tx>
            <strRef>
              <f>'Dashboard'!C26</f>
            </strRef>
          </tx>
          <spPr>
            <a:solidFill xmlns:a="http://schemas.openxmlformats.org/drawingml/2006/main">
              <a:srgbClr val="A8472F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'Dashboard'!$B$27:$B$32</f>
            </numRef>
          </cat>
          <val>
            <numRef>
              <f>'Dashboard'!$C$27:$C$32</f>
            </numRef>
          </val>
        </ser>
        <ser>
          <idx val="1"/>
          <order val="1"/>
          <tx>
            <strRef>
              <f>'Dashboard'!D26</f>
            </strRef>
          </tx>
          <spPr>
            <a:solidFill xmlns:a="http://schemas.openxmlformats.org/drawingml/2006/main">
              <a:srgbClr val="D9A441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'Dashboard'!$B$27:$B$32</f>
            </numRef>
          </cat>
          <val>
            <numRef>
              <f>'Dashboard'!$D$27:$D$32</f>
            </numRef>
          </val>
        </ser>
        <ser>
          <idx val="2"/>
          <order val="2"/>
          <tx>
            <strRef>
              <f>'Dashboard'!E26</f>
            </strRef>
          </tx>
          <spPr>
            <a:solidFill xmlns:a="http://schemas.openxmlformats.org/drawingml/2006/main">
              <a:srgbClr val="3E7C6B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'Dashboard'!$B$27:$B$32</f>
            </numRef>
          </cat>
          <val>
            <numRef>
              <f>'Dashboard'!$E$27:$E$32</f>
            </numRef>
          </val>
        </ser>
        <gapWidth val="55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EADFD3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857468"/>
                </a:solidFill>
              </a:defRPr>
            </a:pPr>
            <a:r>
              <a:t/>
            </a:r>
            <a:endParaRPr sz="900" b="0">
              <a:solidFill>
                <a:srgbClr val="857468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ADFD3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857468"/>
                </a:solidFill>
              </a:defRPr>
            </a:pPr>
            <a:r>
              <a:t/>
            </a:r>
            <a:endParaRPr sz="900" b="0">
              <a:solidFill>
                <a:srgbClr val="857468"/>
              </a:solidFill>
            </a:endParaRPr>
          </a:p>
        </txPr>
        <crossAx val="10"/>
      </valAx>
      <spPr>
        <a:solidFill xmlns:a="http://schemas.openxmlformats.org/drawingml/2006/main">
          <a:srgbClr val="FFFFFF"/>
        </a:solidFill>
        <a:ln xmlns:a="http://schemas.openxmlformats.org/drawingml/2006/main">
          <a:noFill/>
          <a:prstDash val="solid"/>
        </a:ln>
      </spPr>
    </plotArea>
    <legend>
      <legendPos val="b"/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2B2420"/>
              </a:solidFill>
            </a:defRPr>
          </a:pPr>
          <a:r>
            <a:t/>
          </a:r>
          <a:endParaRPr sz="900" b="0">
            <a:solidFill>
              <a:srgbClr val="2B2420"/>
            </a:solidFill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solidFill>
        <a:srgbClr val="FFFFFF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14</row>
      <rowOff>0</rowOff>
    </from>
    <ext cx="5112000" cy="18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25</row>
      <rowOff>0</rowOff>
    </from>
    <ext cx="5112000" cy="18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6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2" customWidth="1" min="14" max="1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34" customHeight="1">
      <c r="A2" s="1" t="n"/>
      <c r="B2" s="2" t="inlineStr">
        <is>
          <t>Board Secretariat Dashboard</t>
        </is>
      </c>
      <c r="N2" s="1" t="n"/>
    </row>
    <row r="3" ht="18" customHeight="1">
      <c r="A3" s="1" t="n"/>
      <c r="B3" s="3" t="inlineStr">
        <is>
          <t>Desert Horizon JV Board of Directors  •  Meetings, resolutions, DocuSign signatures and action follow-up  •  Demo data</t>
        </is>
      </c>
      <c r="N3" s="1" t="n"/>
    </row>
    <row r="4" ht="6" customHeight="1">
      <c r="A4" s="1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 ht="20" customHeight="1">
      <c r="A6" s="1" t="n"/>
      <c r="B6" s="5" t="inlineStr">
        <is>
          <t>MEETINGS HELD</t>
        </is>
      </c>
      <c r="C6" s="6" t="n"/>
      <c r="D6" s="7" t="inlineStr">
        <is>
          <t>RESOLUTIONS</t>
        </is>
      </c>
      <c r="E6" s="8" t="n"/>
      <c r="F6" s="6" t="n"/>
      <c r="G6" s="9" t="inlineStr">
        <is>
          <t>AWAITING SIGNATURE</t>
        </is>
      </c>
      <c r="H6" s="8" t="n"/>
      <c r="I6" s="6" t="n"/>
      <c r="J6" s="10" t="inlineStr">
        <is>
          <t>OPEN ACTIONS</t>
        </is>
      </c>
      <c r="K6" s="6" t="n"/>
      <c r="L6" s="11" t="inlineStr">
        <is>
          <t>OVERDUE</t>
        </is>
      </c>
      <c r="M6" s="6" t="n"/>
      <c r="N6" s="1" t="n"/>
    </row>
    <row r="7" ht="38" customHeight="1">
      <c r="A7" s="1" t="n"/>
      <c r="B7" s="12">
        <f>COUNTIF('Meeting Calendar'!$L$5:$L$50,"Held")</f>
        <v/>
      </c>
      <c r="C7" s="6" t="n"/>
      <c r="D7" s="13">
        <f>COUNTA('Resolutions Register'!$A$5:$A$500)</f>
        <v/>
      </c>
      <c r="E7" s="8" t="n"/>
      <c r="F7" s="6" t="n"/>
      <c r="G7" s="14">
        <f>COUNTIF('Resolutions Register'!$K$5:$K$500,"Awaiting Signatures")</f>
        <v/>
      </c>
      <c r="H7" s="8" t="n"/>
      <c r="I7" s="6" t="n"/>
      <c r="J7" s="15">
        <f>COUNTIF('Action Log'!$F$5:$F$500,"&lt;&gt;Closed")-COUNTBLANK('Action Log'!$F$5:$F$500)</f>
        <v/>
      </c>
      <c r="K7" s="6" t="n"/>
      <c r="L7" s="16">
        <f>COUNTIF('Action Log'!$H$5:$H$500,"&gt;0")</f>
        <v/>
      </c>
      <c r="M7" s="6" t="n"/>
      <c r="N7" s="1" t="n"/>
    </row>
    <row r="8" ht="18" customHeight="1">
      <c r="A8" s="1" t="n"/>
      <c r="B8" s="17" t="inlineStr">
        <is>
          <t>Board meetings in 2026</t>
        </is>
      </c>
      <c r="C8" s="6" t="n"/>
      <c r="D8" s="18" t="inlineStr">
        <is>
          <t>Meeting + circular</t>
        </is>
      </c>
      <c r="E8" s="8" t="n"/>
      <c r="F8" s="6" t="n"/>
      <c r="G8" s="19" t="inlineStr">
        <is>
          <t>Circular resolutions in DocuSign</t>
        </is>
      </c>
      <c r="H8" s="8" t="n"/>
      <c r="I8" s="6" t="n"/>
      <c r="J8" s="20" t="inlineStr">
        <is>
          <t>Open + in progress</t>
        </is>
      </c>
      <c r="K8" s="6" t="n"/>
      <c r="L8" s="21" t="inlineStr">
        <is>
          <t>Past due date</t>
        </is>
      </c>
      <c r="M8" s="6" t="n"/>
      <c r="N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</row>
    <row r="10">
      <c r="A10" s="1" t="n"/>
      <c r="B10" s="22" t="inlineStr">
        <is>
          <t>NEXT BOARD CYCLE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A11" s="1" t="n"/>
      <c r="B11" s="23" t="inlineStr">
        <is>
          <t>Next meeting</t>
        </is>
      </c>
      <c r="C11" s="24" t="inlineStr">
        <is>
          <t>Meeting No.</t>
        </is>
      </c>
      <c r="D11" s="25" t="n"/>
      <c r="E11" s="24" t="inlineStr">
        <is>
          <t>Type</t>
        </is>
      </c>
      <c r="F11" s="25" t="n"/>
      <c r="G11" s="24" t="inlineStr">
        <is>
          <t>Papers deadline</t>
        </is>
      </c>
      <c r="H11" s="25" t="n"/>
      <c r="I11" s="24" t="inlineStr">
        <is>
          <t>Days to papers</t>
        </is>
      </c>
      <c r="J11" s="25" t="n"/>
      <c r="K11" s="24" t="inlineStr">
        <is>
          <t>Days to meeting</t>
        </is>
      </c>
      <c r="L11" s="25" t="n"/>
      <c r="M11" s="24" t="n"/>
      <c r="N11" s="1" t="n"/>
    </row>
    <row r="12">
      <c r="A12" s="1" t="n"/>
      <c r="B12" s="26">
        <f>_xlfn.MINIFS('Meeting Calendar'!$B$5:$B$50,'Meeting Calendar'!$L$5:$L$50,"Scheduled")</f>
        <v/>
      </c>
      <c r="C12" s="27">
        <f>INDEX('Meeting Calendar'!$A$5:$A$50,MATCH(B12,'Meeting Calendar'!$B$5:$B$50,0))</f>
        <v/>
      </c>
      <c r="E12" s="27">
        <f>INDEX('Meeting Calendar'!$C$5:$C$50,MATCH(B12,'Meeting Calendar'!$B$5:$B$50,0))</f>
        <v/>
      </c>
      <c r="G12" s="28">
        <f>B12-7</f>
        <v/>
      </c>
      <c r="I12" s="29">
        <f>G12-TODAY()</f>
        <v/>
      </c>
      <c r="K12" s="27">
        <f>B12-TODAY()</f>
        <v/>
      </c>
      <c r="M12" s="30" t="n"/>
      <c r="N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>
      <c r="A14" s="1" t="n"/>
      <c r="B14" s="22" t="inlineStr">
        <is>
          <t>RESOLUTIONS BY CATEGORY</t>
        </is>
      </c>
      <c r="C14" s="1" t="n"/>
      <c r="D14" s="1" t="n"/>
      <c r="E14" s="1" t="n"/>
      <c r="F14" s="1" t="n"/>
      <c r="G14" s="31" t="inlineStr">
        <is>
          <t>RESOLUTIONS MIX</t>
        </is>
      </c>
      <c r="H14" s="32" t="n"/>
      <c r="I14" s="32" t="n"/>
      <c r="J14" s="32" t="n"/>
      <c r="K14" s="32" t="n"/>
      <c r="L14" s="32" t="n"/>
      <c r="M14" s="32" t="n"/>
      <c r="N14" s="1" t="n"/>
    </row>
    <row r="15">
      <c r="A15" s="1" t="n"/>
      <c r="B15" s="23" t="inlineStr">
        <is>
          <t>Category</t>
        </is>
      </c>
      <c r="C15" s="24" t="inlineStr">
        <is>
          <t>Meeting</t>
        </is>
      </c>
      <c r="D15" s="24" t="inlineStr">
        <is>
          <t>Circular</t>
        </is>
      </c>
      <c r="E15" s="24" t="inlineStr">
        <is>
          <t>Total</t>
        </is>
      </c>
      <c r="F15" s="24" t="inlineStr">
        <is>
          <t>Awaiting</t>
        </is>
      </c>
      <c r="G15" s="32" t="n"/>
      <c r="H15" s="32" t="n"/>
      <c r="I15" s="32" t="n"/>
      <c r="J15" s="32" t="n"/>
      <c r="K15" s="32" t="n"/>
      <c r="L15" s="32" t="n"/>
      <c r="M15" s="32" t="n"/>
      <c r="N15" s="1" t="n"/>
    </row>
    <row r="16">
      <c r="A16" s="1" t="n"/>
      <c r="B16" s="33" t="inlineStr">
        <is>
          <t>Contracts &amp; Subcontracts</t>
        </is>
      </c>
      <c r="C16" s="34">
        <f>COUNTIFS('Resolutions Register'!$E$5:$E$500,$B16,'Resolutions Register'!$D$5:$D$500,"Meeting")</f>
        <v/>
      </c>
      <c r="D16" s="35">
        <f>COUNTIFS('Resolutions Register'!$E$5:$E$500,$B16,'Resolutions Register'!$D$5:$D$500,"Circular")</f>
        <v/>
      </c>
      <c r="E16" s="27">
        <f>C16+D16</f>
        <v/>
      </c>
      <c r="F16" s="36">
        <f>COUNTIFS('Resolutions Register'!$E$5:$E$500,$B16,'Resolutions Register'!$K$5:$K$500,"Awaiting Signatures")</f>
        <v/>
      </c>
      <c r="G16" s="32" t="n"/>
      <c r="H16" s="32" t="n"/>
      <c r="I16" s="32" t="n"/>
      <c r="J16" s="32" t="n"/>
      <c r="K16" s="32" t="n"/>
      <c r="L16" s="32" t="n"/>
      <c r="M16" s="32" t="n"/>
      <c r="N16" s="1" t="n"/>
    </row>
    <row r="17">
      <c r="A17" s="1" t="n"/>
      <c r="B17" s="33" t="inlineStr">
        <is>
          <t>Finance &amp; Budget</t>
        </is>
      </c>
      <c r="C17" s="34">
        <f>COUNTIFS('Resolutions Register'!$E$5:$E$500,$B17,'Resolutions Register'!$D$5:$D$500,"Meeting")</f>
        <v/>
      </c>
      <c r="D17" s="35">
        <f>COUNTIFS('Resolutions Register'!$E$5:$E$500,$B17,'Resolutions Register'!$D$5:$D$500,"Circular")</f>
        <v/>
      </c>
      <c r="E17" s="27">
        <f>C17+D17</f>
        <v/>
      </c>
      <c r="F17" s="36">
        <f>COUNTIFS('Resolutions Register'!$E$5:$E$500,$B17,'Resolutions Register'!$K$5:$K$500,"Awaiting Signatures")</f>
        <v/>
      </c>
      <c r="G17" s="32" t="n"/>
      <c r="H17" s="32" t="n"/>
      <c r="I17" s="32" t="n"/>
      <c r="J17" s="32" t="n"/>
      <c r="K17" s="32" t="n"/>
      <c r="L17" s="32" t="n"/>
      <c r="M17" s="32" t="n"/>
      <c r="N17" s="1" t="n"/>
    </row>
    <row r="18">
      <c r="A18" s="1" t="n"/>
      <c r="B18" s="33" t="inlineStr">
        <is>
          <t>Banking &amp; LCs</t>
        </is>
      </c>
      <c r="C18" s="34">
        <f>COUNTIFS('Resolutions Register'!$E$5:$E$500,$B18,'Resolutions Register'!$D$5:$D$500,"Meeting")</f>
        <v/>
      </c>
      <c r="D18" s="35">
        <f>COUNTIFS('Resolutions Register'!$E$5:$E$500,$B18,'Resolutions Register'!$D$5:$D$500,"Circular")</f>
        <v/>
      </c>
      <c r="E18" s="27">
        <f>C18+D18</f>
        <v/>
      </c>
      <c r="F18" s="36">
        <f>COUNTIFS('Resolutions Register'!$E$5:$E$500,$B18,'Resolutions Register'!$K$5:$K$500,"Awaiting Signatures")</f>
        <v/>
      </c>
      <c r="G18" s="32" t="n"/>
      <c r="H18" s="32" t="n"/>
      <c r="I18" s="32" t="n"/>
      <c r="J18" s="32" t="n"/>
      <c r="K18" s="32" t="n"/>
      <c r="L18" s="32" t="n"/>
      <c r="M18" s="32" t="n"/>
      <c r="N18" s="1" t="n"/>
    </row>
    <row r="19">
      <c r="A19" s="1" t="n"/>
      <c r="B19" s="33" t="inlineStr">
        <is>
          <t>HR &amp; Appointments</t>
        </is>
      </c>
      <c r="C19" s="34">
        <f>COUNTIFS('Resolutions Register'!$E$5:$E$500,$B19,'Resolutions Register'!$D$5:$D$500,"Meeting")</f>
        <v/>
      </c>
      <c r="D19" s="35">
        <f>COUNTIFS('Resolutions Register'!$E$5:$E$500,$B19,'Resolutions Register'!$D$5:$D$500,"Circular")</f>
        <v/>
      </c>
      <c r="E19" s="27">
        <f>C19+D19</f>
        <v/>
      </c>
      <c r="F19" s="36">
        <f>COUNTIFS('Resolutions Register'!$E$5:$E$500,$B19,'Resolutions Register'!$K$5:$K$500,"Awaiting Signatures")</f>
        <v/>
      </c>
      <c r="G19" s="32" t="n"/>
      <c r="H19" s="32" t="n"/>
      <c r="I19" s="32" t="n"/>
      <c r="J19" s="32" t="n"/>
      <c r="K19" s="32" t="n"/>
      <c r="L19" s="32" t="n"/>
      <c r="M19" s="32" t="n"/>
      <c r="N19" s="1" t="n"/>
    </row>
    <row r="20">
      <c r="A20" s="1" t="n"/>
      <c r="B20" s="33" t="inlineStr">
        <is>
          <t>Governance</t>
        </is>
      </c>
      <c r="C20" s="34">
        <f>COUNTIFS('Resolutions Register'!$E$5:$E$500,$B20,'Resolutions Register'!$D$5:$D$500,"Meeting")</f>
        <v/>
      </c>
      <c r="D20" s="35">
        <f>COUNTIFS('Resolutions Register'!$E$5:$E$500,$B20,'Resolutions Register'!$D$5:$D$500,"Circular")</f>
        <v/>
      </c>
      <c r="E20" s="27">
        <f>C20+D20</f>
        <v/>
      </c>
      <c r="F20" s="36">
        <f>COUNTIFS('Resolutions Register'!$E$5:$E$500,$B20,'Resolutions Register'!$K$5:$K$500,"Awaiting Signatures")</f>
        <v/>
      </c>
      <c r="G20" s="32" t="n"/>
      <c r="H20" s="32" t="n"/>
      <c r="I20" s="32" t="n"/>
      <c r="J20" s="32" t="n"/>
      <c r="K20" s="32" t="n"/>
      <c r="L20" s="32" t="n"/>
      <c r="M20" s="32" t="n"/>
      <c r="N20" s="1" t="n"/>
    </row>
    <row r="21">
      <c r="A21" s="1" t="n"/>
      <c r="B21" s="33" t="inlineStr">
        <is>
          <t>HSE &amp; Quality</t>
        </is>
      </c>
      <c r="C21" s="34">
        <f>COUNTIFS('Resolutions Register'!$E$5:$E$500,$B21,'Resolutions Register'!$D$5:$D$500,"Meeting")</f>
        <v/>
      </c>
      <c r="D21" s="35">
        <f>COUNTIFS('Resolutions Register'!$E$5:$E$500,$B21,'Resolutions Register'!$D$5:$D$500,"Circular")</f>
        <v/>
      </c>
      <c r="E21" s="27">
        <f>C21+D21</f>
        <v/>
      </c>
      <c r="F21" s="36">
        <f>COUNTIFS('Resolutions Register'!$E$5:$E$500,$B21,'Resolutions Register'!$K$5:$K$500,"Awaiting Signatures")</f>
        <v/>
      </c>
      <c r="G21" s="32" t="n"/>
      <c r="H21" s="32" t="n"/>
      <c r="I21" s="32" t="n"/>
      <c r="J21" s="32" t="n"/>
      <c r="K21" s="32" t="n"/>
      <c r="L21" s="32" t="n"/>
      <c r="M21" s="32" t="n"/>
      <c r="N21" s="1" t="n"/>
    </row>
    <row r="22">
      <c r="A22" s="1" t="n"/>
      <c r="B22" s="37" t="inlineStr">
        <is>
          <t>Total</t>
        </is>
      </c>
      <c r="C22" s="38">
        <f>SUM(C16:C21)</f>
        <v/>
      </c>
      <c r="D22" s="38">
        <f>SUM(D16:D21)</f>
        <v/>
      </c>
      <c r="E22" s="38">
        <f>SUM(E16:E21)</f>
        <v/>
      </c>
      <c r="F22" s="38">
        <f>SUM(F16:F21)</f>
        <v/>
      </c>
      <c r="G22" s="32" t="n"/>
      <c r="H22" s="32" t="n"/>
      <c r="I22" s="32" t="n"/>
      <c r="J22" s="32" t="n"/>
      <c r="K22" s="32" t="n"/>
      <c r="L22" s="32" t="n"/>
      <c r="M22" s="32" t="n"/>
      <c r="N22" s="1" t="n"/>
    </row>
    <row r="23">
      <c r="A23" s="1" t="n"/>
      <c r="B23" s="1" t="n"/>
      <c r="C23" s="1" t="n"/>
      <c r="D23" s="1" t="n"/>
      <c r="E23" s="1" t="n"/>
      <c r="F23" s="1" t="n"/>
      <c r="G23" s="32" t="n"/>
      <c r="H23" s="32" t="n"/>
      <c r="I23" s="32" t="n"/>
      <c r="J23" s="32" t="n"/>
      <c r="K23" s="32" t="n"/>
      <c r="L23" s="32" t="n"/>
      <c r="M23" s="32" t="n"/>
      <c r="N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22" t="inlineStr">
        <is>
          <t>BOARD ACTIONS BY OWNER</t>
        </is>
      </c>
      <c r="C25" s="1" t="n"/>
      <c r="D25" s="1" t="n"/>
      <c r="E25" s="1" t="n"/>
      <c r="F25" s="1" t="n"/>
      <c r="G25" s="31" t="inlineStr">
        <is>
          <t>ACTION STATUS BY OWNER</t>
        </is>
      </c>
      <c r="H25" s="32" t="n"/>
      <c r="I25" s="32" t="n"/>
      <c r="J25" s="32" t="n"/>
      <c r="K25" s="32" t="n"/>
      <c r="L25" s="32" t="n"/>
      <c r="M25" s="32" t="n"/>
      <c r="N25" s="1" t="n"/>
    </row>
    <row r="26">
      <c r="A26" s="1" t="n"/>
      <c r="B26" s="23" t="inlineStr">
        <is>
          <t>Owner</t>
        </is>
      </c>
      <c r="C26" s="24" t="inlineStr">
        <is>
          <t>Open</t>
        </is>
      </c>
      <c r="D26" s="24" t="inlineStr">
        <is>
          <t>In Progress</t>
        </is>
      </c>
      <c r="E26" s="24" t="inlineStr">
        <is>
          <t>Closed</t>
        </is>
      </c>
      <c r="F26" s="24" t="inlineStr">
        <is>
          <t>Overdue</t>
        </is>
      </c>
      <c r="G26" s="32" t="n"/>
      <c r="H26" s="32" t="n"/>
      <c r="I26" s="32" t="n"/>
      <c r="J26" s="32" t="n"/>
      <c r="K26" s="32" t="n"/>
      <c r="L26" s="32" t="n"/>
      <c r="M26" s="32" t="n"/>
      <c r="N26" s="1" t="n"/>
    </row>
    <row r="27">
      <c r="A27" s="1" t="n"/>
      <c r="B27" s="33" t="inlineStr">
        <is>
          <t>Project Director</t>
        </is>
      </c>
      <c r="C27" s="36">
        <f>COUNTIFS('Action Log'!$D$5:$D$500,$B27,'Action Log'!$F$5:$F$500,"Open")</f>
        <v/>
      </c>
      <c r="D27" s="39">
        <f>COUNTIFS('Action Log'!$D$5:$D$500,$B27,'Action Log'!$F$5:$F$500,"In Progress")</f>
        <v/>
      </c>
      <c r="E27" s="34">
        <f>COUNTIFS('Action Log'!$D$5:$D$500,$B27,'Action Log'!$F$5:$F$500,"Closed")</f>
        <v/>
      </c>
      <c r="F27" s="29">
        <f>COUNTIFS('Action Log'!$D$5:$D$500,$B27,'Action Log'!$H$5:$H$500,"&gt;0")</f>
        <v/>
      </c>
      <c r="G27" s="32" t="n"/>
      <c r="H27" s="32" t="n"/>
      <c r="I27" s="32" t="n"/>
      <c r="J27" s="32" t="n"/>
      <c r="K27" s="32" t="n"/>
      <c r="L27" s="32" t="n"/>
      <c r="M27" s="32" t="n"/>
      <c r="N27" s="1" t="n"/>
    </row>
    <row r="28">
      <c r="A28" s="1" t="n"/>
      <c r="B28" s="33" t="inlineStr">
        <is>
          <t>Commercial Manager</t>
        </is>
      </c>
      <c r="C28" s="36">
        <f>COUNTIFS('Action Log'!$D$5:$D$500,$B28,'Action Log'!$F$5:$F$500,"Open")</f>
        <v/>
      </c>
      <c r="D28" s="39">
        <f>COUNTIFS('Action Log'!$D$5:$D$500,$B28,'Action Log'!$F$5:$F$500,"In Progress")</f>
        <v/>
      </c>
      <c r="E28" s="34">
        <f>COUNTIFS('Action Log'!$D$5:$D$500,$B28,'Action Log'!$F$5:$F$500,"Closed")</f>
        <v/>
      </c>
      <c r="F28" s="29">
        <f>COUNTIFS('Action Log'!$D$5:$D$500,$B28,'Action Log'!$H$5:$H$500,"&gt;0")</f>
        <v/>
      </c>
      <c r="G28" s="32" t="n"/>
      <c r="H28" s="32" t="n"/>
      <c r="I28" s="32" t="n"/>
      <c r="J28" s="32" t="n"/>
      <c r="K28" s="32" t="n"/>
      <c r="L28" s="32" t="n"/>
      <c r="M28" s="32" t="n"/>
      <c r="N28" s="1" t="n"/>
    </row>
    <row r="29">
      <c r="A29" s="1" t="n"/>
      <c r="B29" s="33" t="inlineStr">
        <is>
          <t>Finance Manager</t>
        </is>
      </c>
      <c r="C29" s="36">
        <f>COUNTIFS('Action Log'!$D$5:$D$500,$B29,'Action Log'!$F$5:$F$500,"Open")</f>
        <v/>
      </c>
      <c r="D29" s="39">
        <f>COUNTIFS('Action Log'!$D$5:$D$500,$B29,'Action Log'!$F$5:$F$500,"In Progress")</f>
        <v/>
      </c>
      <c r="E29" s="34">
        <f>COUNTIFS('Action Log'!$D$5:$D$500,$B29,'Action Log'!$F$5:$F$500,"Closed")</f>
        <v/>
      </c>
      <c r="F29" s="29">
        <f>COUNTIFS('Action Log'!$D$5:$D$500,$B29,'Action Log'!$H$5:$H$500,"&gt;0")</f>
        <v/>
      </c>
      <c r="G29" s="32" t="n"/>
      <c r="H29" s="32" t="n"/>
      <c r="I29" s="32" t="n"/>
      <c r="J29" s="32" t="n"/>
      <c r="K29" s="32" t="n"/>
      <c r="L29" s="32" t="n"/>
      <c r="M29" s="32" t="n"/>
      <c r="N29" s="1" t="n"/>
    </row>
    <row r="30">
      <c r="A30" s="1" t="n"/>
      <c r="B30" s="33" t="inlineStr">
        <is>
          <t>HR Manager</t>
        </is>
      </c>
      <c r="C30" s="36">
        <f>COUNTIFS('Action Log'!$D$5:$D$500,$B30,'Action Log'!$F$5:$F$500,"Open")</f>
        <v/>
      </c>
      <c r="D30" s="39">
        <f>COUNTIFS('Action Log'!$D$5:$D$500,$B30,'Action Log'!$F$5:$F$500,"In Progress")</f>
        <v/>
      </c>
      <c r="E30" s="34">
        <f>COUNTIFS('Action Log'!$D$5:$D$500,$B30,'Action Log'!$F$5:$F$500,"Closed")</f>
        <v/>
      </c>
      <c r="F30" s="29">
        <f>COUNTIFS('Action Log'!$D$5:$D$500,$B30,'Action Log'!$H$5:$H$500,"&gt;0")</f>
        <v/>
      </c>
      <c r="G30" s="32" t="n"/>
      <c r="H30" s="32" t="n"/>
      <c r="I30" s="32" t="n"/>
      <c r="J30" s="32" t="n"/>
      <c r="K30" s="32" t="n"/>
      <c r="L30" s="32" t="n"/>
      <c r="M30" s="32" t="n"/>
      <c r="N30" s="1" t="n"/>
    </row>
    <row r="31">
      <c r="A31" s="1" t="n"/>
      <c r="B31" s="33" t="inlineStr">
        <is>
          <t>HSE Director</t>
        </is>
      </c>
      <c r="C31" s="36">
        <f>COUNTIFS('Action Log'!$D$5:$D$500,$B31,'Action Log'!$F$5:$F$500,"Open")</f>
        <v/>
      </c>
      <c r="D31" s="39">
        <f>COUNTIFS('Action Log'!$D$5:$D$500,$B31,'Action Log'!$F$5:$F$500,"In Progress")</f>
        <v/>
      </c>
      <c r="E31" s="34">
        <f>COUNTIFS('Action Log'!$D$5:$D$500,$B31,'Action Log'!$F$5:$F$500,"Closed")</f>
        <v/>
      </c>
      <c r="F31" s="29">
        <f>COUNTIFS('Action Log'!$D$5:$D$500,$B31,'Action Log'!$H$5:$H$500,"&gt;0")</f>
        <v/>
      </c>
      <c r="G31" s="32" t="n"/>
      <c r="H31" s="32" t="n"/>
      <c r="I31" s="32" t="n"/>
      <c r="J31" s="32" t="n"/>
      <c r="K31" s="32" t="n"/>
      <c r="L31" s="32" t="n"/>
      <c r="M31" s="32" t="n"/>
      <c r="N31" s="1" t="n"/>
    </row>
    <row r="32">
      <c r="A32" s="1" t="n"/>
      <c r="B32" s="33" t="inlineStr">
        <is>
          <t>Board Secretary</t>
        </is>
      </c>
      <c r="C32" s="36">
        <f>COUNTIFS('Action Log'!$D$5:$D$500,$B32,'Action Log'!$F$5:$F$500,"Open")</f>
        <v/>
      </c>
      <c r="D32" s="39">
        <f>COUNTIFS('Action Log'!$D$5:$D$500,$B32,'Action Log'!$F$5:$F$500,"In Progress")</f>
        <v/>
      </c>
      <c r="E32" s="34">
        <f>COUNTIFS('Action Log'!$D$5:$D$500,$B32,'Action Log'!$F$5:$F$500,"Closed")</f>
        <v/>
      </c>
      <c r="F32" s="29">
        <f>COUNTIFS('Action Log'!$D$5:$D$500,$B32,'Action Log'!$H$5:$H$500,"&gt;0")</f>
        <v/>
      </c>
      <c r="G32" s="32" t="n"/>
      <c r="H32" s="32" t="n"/>
      <c r="I32" s="32" t="n"/>
      <c r="J32" s="32" t="n"/>
      <c r="K32" s="32" t="n"/>
      <c r="L32" s="32" t="n"/>
      <c r="M32" s="32" t="n"/>
      <c r="N32" s="1" t="n"/>
    </row>
    <row r="33">
      <c r="A33" s="1" t="n"/>
      <c r="B33" s="37" t="inlineStr">
        <is>
          <t>Total</t>
        </is>
      </c>
      <c r="C33" s="38">
        <f>SUM(C27:C32)</f>
        <v/>
      </c>
      <c r="D33" s="38">
        <f>SUM(D27:D32)</f>
        <v/>
      </c>
      <c r="E33" s="38">
        <f>SUM(E27:E32)</f>
        <v/>
      </c>
      <c r="F33" s="38">
        <f>SUM(F27:F32)</f>
        <v/>
      </c>
      <c r="G33" s="32" t="n"/>
      <c r="H33" s="32" t="n"/>
      <c r="I33" s="32" t="n"/>
      <c r="J33" s="32" t="n"/>
      <c r="K33" s="32" t="n"/>
      <c r="L33" s="32" t="n"/>
      <c r="M33" s="32" t="n"/>
      <c r="N33" s="1" t="n"/>
    </row>
    <row r="34">
      <c r="A34" s="1" t="n"/>
      <c r="B34" s="1" t="n"/>
      <c r="C34" s="1" t="n"/>
      <c r="D34" s="1" t="n"/>
      <c r="E34" s="1" t="n"/>
      <c r="F34" s="1" t="n"/>
      <c r="G34" s="32" t="n"/>
      <c r="H34" s="32" t="n"/>
      <c r="I34" s="32" t="n"/>
      <c r="J34" s="32" t="n"/>
      <c r="K34" s="32" t="n"/>
      <c r="L34" s="32" t="n"/>
      <c r="M34" s="32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22" t="inlineStr">
        <is>
          <t>CIRCULAR RESOLUTIONS AWAITING DOCUSIGN SIGNATURES</t>
        </is>
      </c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23" t="inlineStr">
        <is>
          <t>Subject</t>
        </is>
      </c>
      <c r="C37" s="25" t="n"/>
      <c r="D37" s="25" t="n"/>
      <c r="E37" s="25" t="n"/>
      <c r="F37" s="24" t="inlineStr">
        <is>
          <t>Resolution No.</t>
        </is>
      </c>
      <c r="G37" s="25" t="n"/>
      <c r="H37" s="24" t="inlineStr">
        <is>
          <t>Circulated</t>
        </is>
      </c>
      <c r="I37" s="25" t="n"/>
      <c r="J37" s="24" t="inlineStr">
        <is>
          <t>Signed</t>
        </is>
      </c>
      <c r="K37" s="25" t="n"/>
      <c r="L37" s="24" t="inlineStr">
        <is>
          <t>Days waiting</t>
        </is>
      </c>
      <c r="M37" s="25" t="n"/>
      <c r="N37" s="1" t="n"/>
    </row>
    <row r="38">
      <c r="A38" s="1" t="n"/>
      <c r="B38" s="33">
        <f>IFERROR(INDEX('Resolutions Register'!$F$5:$F$500,MATCH(1,'Resolutions Register'!$M$5:$M$500,0)),"")</f>
        <v/>
      </c>
      <c r="C38" s="30" t="n"/>
      <c r="D38" s="30" t="n"/>
      <c r="E38" s="30" t="n"/>
      <c r="F38" s="27">
        <f>IFERROR(INDEX('Resolutions Register'!$A$5:$A$500,MATCH(1,'Resolutions Register'!$M$5:$M$500,0)),"")</f>
        <v/>
      </c>
      <c r="G38" s="30" t="n"/>
      <c r="H38" s="40">
        <f>IFERROR(INDEX('Resolutions Register'!$B$5:$B$500,MATCH(1,'Resolutions Register'!$M$5:$M$500,0)),"")</f>
        <v/>
      </c>
      <c r="I38" s="30" t="n"/>
      <c r="J38" s="41">
        <f>IFERROR(INDEX('Resolutions Register'!$H$5:$H$500,MATCH(1,'Resolutions Register'!$M$5:$M$500,0))&amp;" of "&amp;INDEX('Resolutions Register'!$G$5:$G$500,MATCH(1,'Resolutions Register'!$M$5:$M$500,0)),"")</f>
        <v/>
      </c>
      <c r="K38" s="30" t="n"/>
      <c r="L38" s="29">
        <f>IFERROR(TODAY()-H38,"")</f>
        <v/>
      </c>
      <c r="M38" s="30" t="n"/>
      <c r="N38" s="1" t="n"/>
    </row>
    <row r="39">
      <c r="A39" s="1" t="n"/>
      <c r="B39" s="33">
        <f>IFERROR(INDEX('Resolutions Register'!$F$5:$F$500,MATCH(2,'Resolutions Register'!$M$5:$M$500,0)),"")</f>
        <v/>
      </c>
      <c r="C39" s="30" t="n"/>
      <c r="D39" s="30" t="n"/>
      <c r="E39" s="30" t="n"/>
      <c r="F39" s="27">
        <f>IFERROR(INDEX('Resolutions Register'!$A$5:$A$500,MATCH(2,'Resolutions Register'!$M$5:$M$500,0)),"")</f>
        <v/>
      </c>
      <c r="G39" s="30" t="n"/>
      <c r="H39" s="40">
        <f>IFERROR(INDEX('Resolutions Register'!$B$5:$B$500,MATCH(2,'Resolutions Register'!$M$5:$M$500,0)),"")</f>
        <v/>
      </c>
      <c r="I39" s="30" t="n"/>
      <c r="J39" s="41">
        <f>IFERROR(INDEX('Resolutions Register'!$H$5:$H$500,MATCH(2,'Resolutions Register'!$M$5:$M$500,0))&amp;" of "&amp;INDEX('Resolutions Register'!$G$5:$G$500,MATCH(2,'Resolutions Register'!$M$5:$M$500,0)),"")</f>
        <v/>
      </c>
      <c r="K39" s="30" t="n"/>
      <c r="L39" s="29">
        <f>IFERROR(TODAY()-H39,"")</f>
        <v/>
      </c>
      <c r="M39" s="30" t="n"/>
      <c r="N39" s="1" t="n"/>
    </row>
    <row r="40">
      <c r="A40" s="1" t="n"/>
      <c r="B40" s="33">
        <f>IFERROR(INDEX('Resolutions Register'!$F$5:$F$500,MATCH(3,'Resolutions Register'!$M$5:$M$500,0)),"")</f>
        <v/>
      </c>
      <c r="C40" s="30" t="n"/>
      <c r="D40" s="30" t="n"/>
      <c r="E40" s="30" t="n"/>
      <c r="F40" s="27">
        <f>IFERROR(INDEX('Resolutions Register'!$A$5:$A$500,MATCH(3,'Resolutions Register'!$M$5:$M$500,0)),"")</f>
        <v/>
      </c>
      <c r="G40" s="30" t="n"/>
      <c r="H40" s="40">
        <f>IFERROR(INDEX('Resolutions Register'!$B$5:$B$500,MATCH(3,'Resolutions Register'!$M$5:$M$500,0)),"")</f>
        <v/>
      </c>
      <c r="I40" s="30" t="n"/>
      <c r="J40" s="41">
        <f>IFERROR(INDEX('Resolutions Register'!$H$5:$H$500,MATCH(3,'Resolutions Register'!$M$5:$M$500,0))&amp;" of "&amp;INDEX('Resolutions Register'!$G$5:$G$500,MATCH(3,'Resolutions Register'!$M$5:$M$500,0)),"")</f>
        <v/>
      </c>
      <c r="K40" s="30" t="n"/>
      <c r="L40" s="29">
        <f>IFERROR(TODAY()-H40,"")</f>
        <v/>
      </c>
      <c r="M40" s="30" t="n"/>
      <c r="N40" s="1" t="n"/>
    </row>
    <row r="41">
      <c r="A41" s="1" t="n"/>
      <c r="B41" s="33">
        <f>IFERROR(INDEX('Resolutions Register'!$F$5:$F$500,MATCH(4,'Resolutions Register'!$M$5:$M$500,0)),"")</f>
        <v/>
      </c>
      <c r="C41" s="30" t="n"/>
      <c r="D41" s="30" t="n"/>
      <c r="E41" s="30" t="n"/>
      <c r="F41" s="27">
        <f>IFERROR(INDEX('Resolutions Register'!$A$5:$A$500,MATCH(4,'Resolutions Register'!$M$5:$M$500,0)),"")</f>
        <v/>
      </c>
      <c r="G41" s="30" t="n"/>
      <c r="H41" s="40">
        <f>IFERROR(INDEX('Resolutions Register'!$B$5:$B$500,MATCH(4,'Resolutions Register'!$M$5:$M$500,0)),"")</f>
        <v/>
      </c>
      <c r="I41" s="30" t="n"/>
      <c r="J41" s="41">
        <f>IFERROR(INDEX('Resolutions Register'!$H$5:$H$500,MATCH(4,'Resolutions Register'!$M$5:$M$500,0))&amp;" of "&amp;INDEX('Resolutions Register'!$G$5:$G$500,MATCH(4,'Resolutions Register'!$M$5:$M$500,0)),"")</f>
        <v/>
      </c>
      <c r="K41" s="30" t="n"/>
      <c r="L41" s="29">
        <f>IFERROR(TODAY()-H41,"")</f>
        <v/>
      </c>
      <c r="M41" s="30" t="n"/>
      <c r="N41" s="1" t="n"/>
    </row>
    <row r="42">
      <c r="A42" s="1" t="n"/>
      <c r="B42" s="33">
        <f>IFERROR(INDEX('Resolutions Register'!$F$5:$F$500,MATCH(5,'Resolutions Register'!$M$5:$M$500,0)),"")</f>
        <v/>
      </c>
      <c r="C42" s="30" t="n"/>
      <c r="D42" s="30" t="n"/>
      <c r="E42" s="30" t="n"/>
      <c r="F42" s="27">
        <f>IFERROR(INDEX('Resolutions Register'!$A$5:$A$500,MATCH(5,'Resolutions Register'!$M$5:$M$500,0)),"")</f>
        <v/>
      </c>
      <c r="G42" s="30" t="n"/>
      <c r="H42" s="40">
        <f>IFERROR(INDEX('Resolutions Register'!$B$5:$B$500,MATCH(5,'Resolutions Register'!$M$5:$M$500,0)),"")</f>
        <v/>
      </c>
      <c r="I42" s="30" t="n"/>
      <c r="J42" s="41">
        <f>IFERROR(INDEX('Resolutions Register'!$H$5:$H$500,MATCH(5,'Resolutions Register'!$M$5:$M$500,0))&amp;" of "&amp;INDEX('Resolutions Register'!$G$5:$G$500,MATCH(5,'Resolutions Register'!$M$5:$M$500,0)),"")</f>
        <v/>
      </c>
      <c r="K42" s="30" t="n"/>
      <c r="L42" s="29">
        <f>IFERROR(TODAY()-H42,"")</f>
        <v/>
      </c>
      <c r="M42" s="30" t="n"/>
      <c r="N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</row>
  </sheetData>
  <mergeCells count="57">
    <mergeCell ref="J39:K39"/>
    <mergeCell ref="E12:F12"/>
    <mergeCell ref="B2:M2"/>
    <mergeCell ref="B40:E40"/>
    <mergeCell ref="G12:H12"/>
    <mergeCell ref="L7:M7"/>
    <mergeCell ref="B7:C7"/>
    <mergeCell ref="G6:I6"/>
    <mergeCell ref="H38:I38"/>
    <mergeCell ref="J38:K38"/>
    <mergeCell ref="G11:H11"/>
    <mergeCell ref="I11:J11"/>
    <mergeCell ref="H41:I41"/>
    <mergeCell ref="J37:K37"/>
    <mergeCell ref="L37:M37"/>
    <mergeCell ref="D7:F7"/>
    <mergeCell ref="F40:G40"/>
    <mergeCell ref="H40:I40"/>
    <mergeCell ref="J40:K40"/>
    <mergeCell ref="H39:I39"/>
    <mergeCell ref="B41:E41"/>
    <mergeCell ref="K11:L11"/>
    <mergeCell ref="J6:K6"/>
    <mergeCell ref="L42:M42"/>
    <mergeCell ref="J8:K8"/>
    <mergeCell ref="F42:G42"/>
    <mergeCell ref="L39:M39"/>
    <mergeCell ref="L8:M8"/>
    <mergeCell ref="D8:F8"/>
    <mergeCell ref="B8:C8"/>
    <mergeCell ref="F41:G41"/>
    <mergeCell ref="C12:D12"/>
    <mergeCell ref="I12:J12"/>
    <mergeCell ref="K12:L12"/>
    <mergeCell ref="F38:G38"/>
    <mergeCell ref="L38:M38"/>
    <mergeCell ref="C11:D11"/>
    <mergeCell ref="J7:K7"/>
    <mergeCell ref="E11:F11"/>
    <mergeCell ref="J41:K41"/>
    <mergeCell ref="B39:E39"/>
    <mergeCell ref="H37:I37"/>
    <mergeCell ref="L41:M41"/>
    <mergeCell ref="B42:E42"/>
    <mergeCell ref="L40:M40"/>
    <mergeCell ref="B6:C6"/>
    <mergeCell ref="F37:G37"/>
    <mergeCell ref="F39:G39"/>
    <mergeCell ref="B3:M3"/>
    <mergeCell ref="L6:M6"/>
    <mergeCell ref="H42:I42"/>
    <mergeCell ref="G7:I7"/>
    <mergeCell ref="B38:E38"/>
    <mergeCell ref="J42:K42"/>
    <mergeCell ref="G8:I8"/>
    <mergeCell ref="B37:E37"/>
    <mergeCell ref="D6:F6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26" customWidth="1" min="4" max="4"/>
    <col width="16" customWidth="1" min="5" max="5"/>
  </cols>
  <sheetData>
    <row r="1" ht="36" customHeight="1">
      <c r="A1" s="42" t="inlineStr">
        <is>
          <t>Board Members</t>
        </is>
      </c>
      <c r="B1" s="43" t="n"/>
      <c r="C1" s="43" t="n"/>
      <c r="D1" s="43" t="n"/>
      <c r="E1" s="43" t="n"/>
    </row>
    <row r="2">
      <c r="A2" s="44" t="inlineStr">
        <is>
          <t>Desert Horizon JV  •  JV of Rimal Contracting Co. (KSA) &amp; Anatolia Yapı A.Ş. (Türkiye)  •  Demo data</t>
        </is>
      </c>
    </row>
    <row r="3" ht="4" customHeight="1">
      <c r="A3" s="45" t="n"/>
      <c r="B3" s="45" t="n"/>
      <c r="C3" s="45" t="n"/>
      <c r="D3" s="45" t="n"/>
      <c r="E3" s="45" t="n"/>
    </row>
    <row r="4">
      <c r="A4" s="46" t="inlineStr">
        <is>
          <t>Member ID</t>
        </is>
      </c>
      <c r="B4" s="46" t="inlineStr">
        <is>
          <t>Name</t>
        </is>
      </c>
      <c r="C4" s="46" t="inlineStr">
        <is>
          <t>Board Role</t>
        </is>
      </c>
      <c r="D4" s="46" t="inlineStr">
        <is>
          <t>Partner Company</t>
        </is>
      </c>
      <c r="E4" s="46" t="inlineStr">
        <is>
          <t>Attendance 2026</t>
        </is>
      </c>
    </row>
    <row r="5">
      <c r="A5" s="47" t="inlineStr">
        <is>
          <t>BM-01</t>
        </is>
      </c>
      <c r="B5" s="48" t="inlineStr">
        <is>
          <t>Eng. Khalid Al-Mansour</t>
        </is>
      </c>
      <c r="C5" s="49" t="inlineStr">
        <is>
          <t>Chairman</t>
        </is>
      </c>
      <c r="D5" s="49" t="inlineStr">
        <is>
          <t>Rimal Contracting Co.</t>
        </is>
      </c>
      <c r="E5" s="50">
        <f>Attendance!I5</f>
        <v/>
      </c>
    </row>
    <row r="6">
      <c r="A6" s="51" t="inlineStr">
        <is>
          <t>BM-02</t>
        </is>
      </c>
      <c r="B6" s="52" t="inlineStr">
        <is>
          <t>Mr. Emre Kaya</t>
        </is>
      </c>
      <c r="C6" s="53" t="inlineStr">
        <is>
          <t>Vice Chairman</t>
        </is>
      </c>
      <c r="D6" s="53" t="inlineStr">
        <is>
          <t>Anatolia Yapı A.Ş.</t>
        </is>
      </c>
      <c r="E6" s="54">
        <f>Attendance!I6</f>
        <v/>
      </c>
    </row>
    <row r="7">
      <c r="A7" s="47" t="inlineStr">
        <is>
          <t>BM-03</t>
        </is>
      </c>
      <c r="B7" s="48" t="inlineStr">
        <is>
          <t>Mr. Saud Al-Harbi</t>
        </is>
      </c>
      <c r="C7" s="49" t="inlineStr">
        <is>
          <t>Board Member</t>
        </is>
      </c>
      <c r="D7" s="49" t="inlineStr">
        <is>
          <t>Rimal Contracting Co.</t>
        </is>
      </c>
      <c r="E7" s="50">
        <f>Attendance!I7</f>
        <v/>
      </c>
    </row>
    <row r="8">
      <c r="A8" s="51" t="inlineStr">
        <is>
          <t>BM-04</t>
        </is>
      </c>
      <c r="B8" s="52" t="inlineStr">
        <is>
          <t>Mr. Burak Demir</t>
        </is>
      </c>
      <c r="C8" s="53" t="inlineStr">
        <is>
          <t>Board Member</t>
        </is>
      </c>
      <c r="D8" s="53" t="inlineStr">
        <is>
          <t>Anatolia Yapı A.Ş.</t>
        </is>
      </c>
      <c r="E8" s="54">
        <f>Attendance!I8</f>
        <v/>
      </c>
    </row>
    <row r="9">
      <c r="A9" s="47" t="inlineStr">
        <is>
          <t>BM-05</t>
        </is>
      </c>
      <c r="B9" s="48" t="inlineStr">
        <is>
          <t>Ms. Layla Al-Zahrani</t>
        </is>
      </c>
      <c r="C9" s="49" t="inlineStr">
        <is>
          <t>Board Member</t>
        </is>
      </c>
      <c r="D9" s="49" t="inlineStr">
        <is>
          <t>Rimal Contracting Co.</t>
        </is>
      </c>
      <c r="E9" s="50">
        <f>Attendance!I9</f>
        <v/>
      </c>
    </row>
    <row r="10">
      <c r="A10" s="51" t="inlineStr">
        <is>
          <t>BM-06</t>
        </is>
      </c>
      <c r="B10" s="52" t="inlineStr">
        <is>
          <t>Mr. Selim Aydın</t>
        </is>
      </c>
      <c r="C10" s="53" t="inlineStr">
        <is>
          <t>Board Member</t>
        </is>
      </c>
      <c r="D10" s="53" t="inlineStr">
        <is>
          <t>Anatolia Yapı A.Ş.</t>
        </is>
      </c>
      <c r="E10" s="54">
        <f>Attendance!I10</f>
        <v/>
      </c>
    </row>
    <row r="11">
      <c r="A11" s="51" t="inlineStr">
        <is>
          <t>SEC</t>
        </is>
      </c>
      <c r="B11" s="52" t="inlineStr">
        <is>
          <t>Board Secretariat</t>
        </is>
      </c>
      <c r="C11" s="53" t="inlineStr">
        <is>
          <t>Secretary (non-voting)</t>
        </is>
      </c>
      <c r="D11" s="53" t="inlineStr">
        <is>
          <t>Desert Horizon JV</t>
        </is>
      </c>
      <c r="E11" s="51" t="inlineStr">
        <is>
          <t>—</t>
        </is>
      </c>
    </row>
  </sheetData>
  <mergeCells count="2">
    <mergeCell ref="A2:E2"/>
    <mergeCell ref="A1:E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3" customWidth="1" min="2" max="2"/>
    <col width="14" customWidth="1" min="3" max="3"/>
    <col width="17" customWidth="1" min="4" max="4"/>
    <col width="11" customWidth="1" min="5" max="5"/>
    <col width="11" customWidth="1" min="6" max="6"/>
    <col width="11" customWidth="1" min="7" max="7"/>
    <col width="13" customWidth="1" min="8" max="8"/>
    <col width="13" customWidth="1" min="9" max="9"/>
    <col width="13" customWidth="1" min="10" max="10"/>
    <col width="13" customWidth="1" min="11" max="11"/>
    <col width="12" customWidth="1" min="12" max="12"/>
  </cols>
  <sheetData>
    <row r="1" ht="36" customHeight="1">
      <c r="A1" s="42" t="inlineStr">
        <is>
          <t>Board Meeting Calendar 2026</t>
        </is>
      </c>
      <c r="B1" s="43" t="n"/>
      <c r="C1" s="43" t="n"/>
      <c r="D1" s="43" t="n"/>
      <c r="E1" s="43" t="n"/>
      <c r="F1" s="43" t="n"/>
      <c r="G1" s="43" t="n"/>
      <c r="H1" s="43" t="n"/>
      <c r="I1" s="43" t="n"/>
      <c r="J1" s="43" t="n"/>
      <c r="K1" s="43" t="n"/>
      <c r="L1" s="43" t="n"/>
    </row>
    <row r="2">
      <c r="A2" s="44" t="inlineStr">
        <is>
          <t>Desert Horizon JV  •  JV of Rimal Contracting Co. (KSA) &amp; Anatolia Yapı A.Ş. (Türkiye)  •  Demo data  •  Papers deadline = 7 days before meeting</t>
        </is>
      </c>
    </row>
    <row r="3" ht="4" customHeight="1">
      <c r="A3" s="45" t="n"/>
      <c r="B3" s="45" t="n"/>
      <c r="C3" s="45" t="n"/>
      <c r="D3" s="45" t="n"/>
      <c r="E3" s="45" t="n"/>
      <c r="F3" s="45" t="n"/>
      <c r="G3" s="45" t="n"/>
      <c r="H3" s="45" t="n"/>
      <c r="I3" s="45" t="n"/>
      <c r="J3" s="45" t="n"/>
      <c r="K3" s="45" t="n"/>
      <c r="L3" s="45" t="n"/>
    </row>
    <row r="4">
      <c r="A4" s="46" t="inlineStr">
        <is>
          <t>Meeting No.</t>
        </is>
      </c>
      <c r="B4" s="46" t="inlineStr">
        <is>
          <t>Meeting Date</t>
        </is>
      </c>
      <c r="C4" s="46" t="inlineStr">
        <is>
          <t>Type</t>
        </is>
      </c>
      <c r="D4" s="46" t="inlineStr">
        <is>
          <t>Venue / Mode</t>
        </is>
      </c>
      <c r="E4" s="46" t="inlineStr">
        <is>
          <t>Agenda Items</t>
        </is>
      </c>
      <c r="F4" s="46" t="inlineStr">
        <is>
          <t>Members Present</t>
        </is>
      </c>
      <c r="G4" s="46" t="inlineStr">
        <is>
          <t>Quorum</t>
        </is>
      </c>
      <c r="H4" s="46" t="inlineStr">
        <is>
          <t>Papers Deadline</t>
        </is>
      </c>
      <c r="I4" s="46" t="inlineStr">
        <is>
          <t>Papers Circulated</t>
        </is>
      </c>
      <c r="J4" s="46" t="inlineStr">
        <is>
          <t>Minutes Issued</t>
        </is>
      </c>
      <c r="K4" s="46" t="inlineStr">
        <is>
          <t>Minutes Signed</t>
        </is>
      </c>
      <c r="L4" s="46" t="inlineStr">
        <is>
          <t>Status</t>
        </is>
      </c>
    </row>
    <row r="5">
      <c r="A5" s="47" t="inlineStr">
        <is>
          <t>BOD-2026-01</t>
        </is>
      </c>
      <c r="B5" s="55" t="n">
        <v>46044</v>
      </c>
      <c r="C5" s="47" t="inlineStr">
        <is>
          <t>Ordinary</t>
        </is>
      </c>
      <c r="D5" s="49" t="inlineStr">
        <is>
          <t>Riyadh HQ</t>
        </is>
      </c>
      <c r="E5" s="47" t="n">
        <v>9</v>
      </c>
      <c r="F5" s="47" t="n">
        <v>6</v>
      </c>
      <c r="G5" s="47">
        <f>IF(F5="","",IF(F5&gt;=4,"Quorate","No quorum"))</f>
        <v/>
      </c>
      <c r="H5" s="55">
        <f>B5-7</f>
        <v/>
      </c>
      <c r="I5" s="55" t="n">
        <v>46036</v>
      </c>
      <c r="J5" s="55" t="n">
        <v>46050</v>
      </c>
      <c r="K5" s="55" t="n">
        <v>46059</v>
      </c>
      <c r="L5" s="47" t="inlineStr">
        <is>
          <t>Held</t>
        </is>
      </c>
    </row>
    <row r="6">
      <c r="A6" s="51" t="inlineStr">
        <is>
          <t>BOD-2026-02</t>
        </is>
      </c>
      <c r="B6" s="56" t="n">
        <v>46100</v>
      </c>
      <c r="C6" s="51" t="inlineStr">
        <is>
          <t>Ordinary</t>
        </is>
      </c>
      <c r="D6" s="53" t="inlineStr">
        <is>
          <t>Site Office</t>
        </is>
      </c>
      <c r="E6" s="51" t="n">
        <v>9</v>
      </c>
      <c r="F6" s="51" t="n">
        <v>6</v>
      </c>
      <c r="G6" s="51">
        <f>IF(F6="","",IF(F6&gt;=4,"Quorate","No quorum"))</f>
        <v/>
      </c>
      <c r="H6" s="56">
        <f>B6-7</f>
        <v/>
      </c>
      <c r="I6" s="56" t="n">
        <v>46094</v>
      </c>
      <c r="J6" s="56" t="n">
        <v>46106</v>
      </c>
      <c r="K6" s="56" t="n">
        <v>46115</v>
      </c>
      <c r="L6" s="51" t="inlineStr">
        <is>
          <t>Held</t>
        </is>
      </c>
    </row>
    <row r="7">
      <c r="A7" s="47" t="inlineStr">
        <is>
          <t>BOD-2026-03</t>
        </is>
      </c>
      <c r="B7" s="55" t="n">
        <v>46120</v>
      </c>
      <c r="C7" s="47" t="inlineStr">
        <is>
          <t>Extraordinary</t>
        </is>
      </c>
      <c r="D7" s="49" t="inlineStr">
        <is>
          <t>Virtual (Teams)</t>
        </is>
      </c>
      <c r="E7" s="47" t="n">
        <v>10</v>
      </c>
      <c r="F7" s="47" t="n">
        <v>6</v>
      </c>
      <c r="G7" s="47">
        <f>IF(F7="","",IF(F7&gt;=4,"Quorate","No quorum"))</f>
        <v/>
      </c>
      <c r="H7" s="55">
        <f>B7-7</f>
        <v/>
      </c>
      <c r="I7" s="55" t="n">
        <v>46112</v>
      </c>
      <c r="J7" s="55" t="n">
        <v>46124</v>
      </c>
      <c r="K7" s="55" t="n">
        <v>46129</v>
      </c>
      <c r="L7" s="47" t="inlineStr">
        <is>
          <t>Held</t>
        </is>
      </c>
    </row>
    <row r="8">
      <c r="A8" s="51" t="inlineStr">
        <is>
          <t>BOD-2026-04</t>
        </is>
      </c>
      <c r="B8" s="56" t="n">
        <v>46163</v>
      </c>
      <c r="C8" s="51" t="inlineStr">
        <is>
          <t>Ordinary</t>
        </is>
      </c>
      <c r="D8" s="53" t="inlineStr">
        <is>
          <t>Istanbul Office</t>
        </is>
      </c>
      <c r="E8" s="51" t="n">
        <v>8</v>
      </c>
      <c r="F8" s="51" t="n">
        <v>5</v>
      </c>
      <c r="G8" s="51">
        <f>IF(F8="","",IF(F8&gt;=4,"Quorate","No quorum"))</f>
        <v/>
      </c>
      <c r="H8" s="56">
        <f>B8-7</f>
        <v/>
      </c>
      <c r="I8" s="56" t="n">
        <v>46155</v>
      </c>
      <c r="J8" s="56" t="n">
        <v>46169</v>
      </c>
      <c r="K8" s="56" t="n">
        <v>46174</v>
      </c>
      <c r="L8" s="51" t="inlineStr">
        <is>
          <t>Held</t>
        </is>
      </c>
    </row>
    <row r="9">
      <c r="A9" s="47" t="inlineStr">
        <is>
          <t>BOD-2026-05</t>
        </is>
      </c>
      <c r="B9" s="55" t="n">
        <v>46226</v>
      </c>
      <c r="C9" s="47" t="inlineStr">
        <is>
          <t>Ordinary</t>
        </is>
      </c>
      <c r="D9" s="49" t="inlineStr">
        <is>
          <t>Riyadh HQ</t>
        </is>
      </c>
      <c r="E9" s="47" t="n">
        <v>7</v>
      </c>
      <c r="F9" s="47" t="n">
        <v>6</v>
      </c>
      <c r="G9" s="47">
        <f>IF(F9="","",IF(F9&gt;=4,"Quorate","No quorum"))</f>
        <v/>
      </c>
      <c r="H9" s="55">
        <f>B9-7</f>
        <v/>
      </c>
      <c r="I9" s="55" t="n">
        <v>46220</v>
      </c>
      <c r="J9" s="55" t="n">
        <v>46229</v>
      </c>
      <c r="K9" s="55" t="n">
        <v>46236</v>
      </c>
      <c r="L9" s="47" t="inlineStr">
        <is>
          <t>Held</t>
        </is>
      </c>
    </row>
    <row r="10">
      <c r="A10" s="51" t="inlineStr">
        <is>
          <t>BOD-2026-06</t>
        </is>
      </c>
      <c r="B10" s="56" t="n">
        <v>46289</v>
      </c>
      <c r="C10" s="51" t="inlineStr">
        <is>
          <t>Ordinary</t>
        </is>
      </c>
      <c r="D10" s="53" t="inlineStr">
        <is>
          <t>Site Office</t>
        </is>
      </c>
      <c r="E10" s="51" t="n">
        <v>10</v>
      </c>
      <c r="F10" s="51" t="n">
        <v>6</v>
      </c>
      <c r="G10" s="51">
        <f>IF(F10="","",IF(F10&gt;=4,"Quorate","No quorum"))</f>
        <v/>
      </c>
      <c r="H10" s="56">
        <f>B10-7</f>
        <v/>
      </c>
      <c r="I10" s="56" t="n">
        <v>46282</v>
      </c>
      <c r="J10" s="56" t="n">
        <v>46292</v>
      </c>
      <c r="K10" s="56" t="n">
        <v>46299</v>
      </c>
      <c r="L10" s="51" t="inlineStr">
        <is>
          <t>Held</t>
        </is>
      </c>
    </row>
    <row r="11">
      <c r="A11" s="47" t="inlineStr">
        <is>
          <t>BOD-2026-07</t>
        </is>
      </c>
      <c r="B11" s="55" t="n">
        <v>46345</v>
      </c>
      <c r="C11" s="47" t="inlineStr">
        <is>
          <t>Ordinary</t>
        </is>
      </c>
      <c r="D11" s="49" t="inlineStr">
        <is>
          <t>Riyadh HQ</t>
        </is>
      </c>
      <c r="E11" s="47" t="n">
        <v>10</v>
      </c>
      <c r="F11" s="47" t="n"/>
      <c r="G11" s="47">
        <f>IF(F11="","",IF(F11&gt;=4,"Quorate","No quorum"))</f>
        <v/>
      </c>
      <c r="H11" s="55">
        <f>B11-7</f>
        <v/>
      </c>
      <c r="I11" s="55" t="n"/>
      <c r="J11" s="55" t="n"/>
      <c r="K11" s="55" t="n"/>
      <c r="L11" s="47" t="inlineStr">
        <is>
          <t>Scheduled</t>
        </is>
      </c>
    </row>
    <row r="12">
      <c r="A12" s="51" t="inlineStr">
        <is>
          <t>BOD-2026-08</t>
        </is>
      </c>
      <c r="B12" s="56" t="n">
        <v>46373</v>
      </c>
      <c r="C12" s="51" t="inlineStr">
        <is>
          <t>Extraordinary</t>
        </is>
      </c>
      <c r="D12" s="53" t="inlineStr">
        <is>
          <t>Virtual (Teams)</t>
        </is>
      </c>
      <c r="E12" s="51" t="n">
        <v>9</v>
      </c>
      <c r="F12" s="51" t="n"/>
      <c r="G12" s="51">
        <f>IF(F12="","",IF(F12&gt;=4,"Quorate","No quorum"))</f>
        <v/>
      </c>
      <c r="H12" s="56">
        <f>B12-7</f>
        <v/>
      </c>
      <c r="I12" s="56" t="n"/>
      <c r="J12" s="56" t="n"/>
      <c r="K12" s="56" t="n"/>
      <c r="L12" s="51" t="inlineStr">
        <is>
          <t>Scheduled</t>
        </is>
      </c>
    </row>
  </sheetData>
  <mergeCells count="2">
    <mergeCell ref="A2:L2"/>
    <mergeCell ref="A1:L1"/>
  </mergeCells>
  <conditionalFormatting sqref="L5:L50">
    <cfRule type="cellIs" priority="1" operator="equal" dxfId="0">
      <formula>"Held"</formula>
    </cfRule>
    <cfRule type="cellIs" priority="2" operator="equal" dxfId="1">
      <formula>"Scheduled"</formula>
    </cfRule>
  </conditionalFormatting>
  <conditionalFormatting sqref="K5:K50">
    <cfRule type="expression" priority="3" dxfId="2">
      <formula>AND($L5="Held",$K5="",$J5&lt;&gt;"")</formula>
    </cfRule>
  </conditionalFormatting>
  <dataValidations count="1">
    <dataValidation sqref="L5:L50" showDropDown="0" showInputMessage="0" showErrorMessage="0" allowBlank="1" type="list">
      <formula1>"Held,Scheduled,Postponed"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3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3" customWidth="1" min="3" max="3"/>
    <col width="10" customWidth="1" min="4" max="4"/>
    <col width="23" customWidth="1" min="5" max="5"/>
    <col width="40" customWidth="1" min="6" max="6"/>
    <col width="10" customWidth="1" min="7" max="7"/>
    <col width="8" customWidth="1" min="8" max="8"/>
    <col width="9" customWidth="1" min="9" max="9"/>
    <col width="15" customWidth="1" min="10" max="10"/>
    <col width="19" customWidth="1" min="11" max="11"/>
    <col width="12" customWidth="1" min="12" max="12"/>
    <col width="9" customWidth="1" min="13" max="13"/>
  </cols>
  <sheetData>
    <row r="1" ht="36" customHeight="1">
      <c r="A1" s="42" t="inlineStr">
        <is>
          <t>Board Resolutions Register</t>
        </is>
      </c>
      <c r="B1" s="43" t="n"/>
      <c r="C1" s="43" t="n"/>
      <c r="D1" s="43" t="n"/>
      <c r="E1" s="43" t="n"/>
      <c r="F1" s="43" t="n"/>
      <c r="G1" s="43" t="n"/>
      <c r="H1" s="43" t="n"/>
      <c r="I1" s="43" t="n"/>
      <c r="J1" s="43" t="n"/>
      <c r="K1" s="43" t="n"/>
      <c r="L1" s="43" t="n"/>
      <c r="M1" s="43" t="n"/>
    </row>
    <row r="2">
      <c r="A2" s="44" t="inlineStr">
        <is>
          <t>Desert Horizon JV  •  JV of Rimal Contracting Co. (KSA) &amp; Anatolia Yapı A.Ş. (Türkiye)  •  Demo data  •  Circular resolutions signed via DocuSign</t>
        </is>
      </c>
    </row>
    <row r="3" ht="4" customHeight="1">
      <c r="A3" s="45" t="n"/>
      <c r="B3" s="45" t="n"/>
      <c r="C3" s="45" t="n"/>
      <c r="D3" s="45" t="n"/>
      <c r="E3" s="45" t="n"/>
      <c r="F3" s="45" t="n"/>
      <c r="G3" s="45" t="n"/>
      <c r="H3" s="45" t="n"/>
      <c r="I3" s="45" t="n"/>
      <c r="J3" s="45" t="n"/>
      <c r="K3" s="45" t="n"/>
      <c r="L3" s="45" t="n"/>
      <c r="M3" s="45" t="n"/>
    </row>
    <row r="4">
      <c r="A4" s="46" t="inlineStr">
        <is>
          <t>Resolution No.</t>
        </is>
      </c>
      <c r="B4" s="46" t="inlineStr">
        <is>
          <t>Date</t>
        </is>
      </c>
      <c r="C4" s="46" t="inlineStr">
        <is>
          <t>Meeting Ref</t>
        </is>
      </c>
      <c r="D4" s="46" t="inlineStr">
        <is>
          <t>Type</t>
        </is>
      </c>
      <c r="E4" s="46" t="inlineStr">
        <is>
          <t>Category</t>
        </is>
      </c>
      <c r="F4" s="46" t="inlineStr">
        <is>
          <t>Subject</t>
        </is>
      </c>
      <c r="G4" s="46" t="inlineStr">
        <is>
          <t>Signatories Req.</t>
        </is>
      </c>
      <c r="H4" s="46" t="inlineStr">
        <is>
          <t>Signed</t>
        </is>
      </c>
      <c r="I4" s="46" t="inlineStr">
        <is>
          <t>Signed %</t>
        </is>
      </c>
      <c r="J4" s="46" t="inlineStr">
        <is>
          <t>DocuSign Envelope</t>
        </is>
      </c>
      <c r="K4" s="46" t="inlineStr">
        <is>
          <t>Status</t>
        </is>
      </c>
      <c r="L4" s="46" t="inlineStr">
        <is>
          <t>Effective Date</t>
        </is>
      </c>
      <c r="M4" s="46" t="inlineStr">
        <is>
          <t>Pending #</t>
        </is>
      </c>
    </row>
    <row r="5">
      <c r="A5" s="47" t="inlineStr">
        <is>
          <t>BR-2026-001</t>
        </is>
      </c>
      <c r="B5" s="55" t="n">
        <v>46044</v>
      </c>
      <c r="C5" s="47" t="inlineStr">
        <is>
          <t>BOD-2026-01</t>
        </is>
      </c>
      <c r="D5" s="47" t="inlineStr">
        <is>
          <t>Meeting</t>
        </is>
      </c>
      <c r="E5" s="49" t="inlineStr">
        <is>
          <t>HSE &amp; Quality</t>
        </is>
      </c>
      <c r="F5" s="49" t="inlineStr">
        <is>
          <t>Approval of emergency response plan</t>
        </is>
      </c>
      <c r="G5" s="47" t="n">
        <v>6</v>
      </c>
      <c r="H5" s="47" t="n">
        <v>6</v>
      </c>
      <c r="I5" s="50">
        <f>IFERROR(H5/G5,0)</f>
        <v/>
      </c>
      <c r="J5" s="47" t="inlineStr">
        <is>
          <t>DS-124352</t>
        </is>
      </c>
      <c r="K5" s="47" t="inlineStr">
        <is>
          <t>Completed</t>
        </is>
      </c>
      <c r="L5" s="55" t="n">
        <v>46059</v>
      </c>
      <c r="M5" s="57">
        <f>IF(K5="Awaiting Signatures",COUNTIF($K$5:K5,"Awaiting Signatures"),"")</f>
        <v/>
      </c>
    </row>
    <row r="6">
      <c r="A6" s="51" t="inlineStr">
        <is>
          <t>BR-2026-002</t>
        </is>
      </c>
      <c r="B6" s="56" t="n">
        <v>46044</v>
      </c>
      <c r="C6" s="51" t="inlineStr">
        <is>
          <t>BOD-2026-01</t>
        </is>
      </c>
      <c r="D6" s="51" t="inlineStr">
        <is>
          <t>Meeting</t>
        </is>
      </c>
      <c r="E6" s="53" t="inlineStr">
        <is>
          <t>Finance &amp; Budget</t>
        </is>
      </c>
      <c r="F6" s="53" t="inlineStr">
        <is>
          <t>Approval of revised project budget</t>
        </is>
      </c>
      <c r="G6" s="51" t="n">
        <v>6</v>
      </c>
      <c r="H6" s="51" t="n">
        <v>6</v>
      </c>
      <c r="I6" s="54">
        <f>IFERROR(H6/G6,0)</f>
        <v/>
      </c>
      <c r="J6" s="51" t="inlineStr">
        <is>
          <t>DS-230943</t>
        </is>
      </c>
      <c r="K6" s="51" t="inlineStr">
        <is>
          <t>Completed</t>
        </is>
      </c>
      <c r="L6" s="56" t="n">
        <v>46059</v>
      </c>
      <c r="M6" s="58">
        <f>IF(K6="Awaiting Signatures",COUNTIF($K$5:K6,"Awaiting Signatures"),"")</f>
        <v/>
      </c>
    </row>
    <row r="7">
      <c r="A7" s="47" t="inlineStr">
        <is>
          <t>BR-2026-003</t>
        </is>
      </c>
      <c r="B7" s="55" t="n">
        <v>46044</v>
      </c>
      <c r="C7" s="47" t="inlineStr">
        <is>
          <t>BOD-2026-01</t>
        </is>
      </c>
      <c r="D7" s="47" t="inlineStr">
        <is>
          <t>Meeting</t>
        </is>
      </c>
      <c r="E7" s="49" t="inlineStr">
        <is>
          <t>Contracts &amp; Subcontracts</t>
        </is>
      </c>
      <c r="F7" s="49" t="inlineStr">
        <is>
          <t>Extension of equipment rental agreement</t>
        </is>
      </c>
      <c r="G7" s="47" t="n">
        <v>6</v>
      </c>
      <c r="H7" s="47" t="n">
        <v>6</v>
      </c>
      <c r="I7" s="50">
        <f>IFERROR(H7/G7,0)</f>
        <v/>
      </c>
      <c r="J7" s="47" t="inlineStr">
        <is>
          <t>DS-268924</t>
        </is>
      </c>
      <c r="K7" s="47" t="inlineStr">
        <is>
          <t>Completed</t>
        </is>
      </c>
      <c r="L7" s="55" t="n">
        <v>46059</v>
      </c>
      <c r="M7" s="57">
        <f>IF(K7="Awaiting Signatures",COUNTIF($K$5:K7,"Awaiting Signatures"),"")</f>
        <v/>
      </c>
    </row>
    <row r="8">
      <c r="A8" s="51" t="inlineStr">
        <is>
          <t>BR-2026-004</t>
        </is>
      </c>
      <c r="B8" s="56" t="n">
        <v>46064</v>
      </c>
      <c r="C8" s="51" t="inlineStr">
        <is>
          <t>Circular</t>
        </is>
      </c>
      <c r="D8" s="51" t="inlineStr">
        <is>
          <t>Circular</t>
        </is>
      </c>
      <c r="E8" s="53" t="inlineStr">
        <is>
          <t>Banking &amp; LCs</t>
        </is>
      </c>
      <c r="F8" s="53" t="inlineStr">
        <is>
          <t>Opening of letter of credit for TBM spares</t>
        </is>
      </c>
      <c r="G8" s="51" t="n">
        <v>6</v>
      </c>
      <c r="H8" s="51" t="n">
        <v>6</v>
      </c>
      <c r="I8" s="54">
        <f>IFERROR(H8/G8,0)</f>
        <v/>
      </c>
      <c r="J8" s="51" t="inlineStr">
        <is>
          <t>DS-271008</t>
        </is>
      </c>
      <c r="K8" s="51" t="inlineStr">
        <is>
          <t>Completed</t>
        </is>
      </c>
      <c r="L8" s="56" t="n">
        <v>46072</v>
      </c>
      <c r="M8" s="58">
        <f>IF(K8="Awaiting Signatures",COUNTIF($K$5:K8,"Awaiting Signatures"),"")</f>
        <v/>
      </c>
    </row>
    <row r="9">
      <c r="A9" s="47" t="inlineStr">
        <is>
          <t>BR-2026-005</t>
        </is>
      </c>
      <c r="B9" s="55" t="n">
        <v>46079</v>
      </c>
      <c r="C9" s="47" t="inlineStr">
        <is>
          <t>Circular</t>
        </is>
      </c>
      <c r="D9" s="47" t="inlineStr">
        <is>
          <t>Circular</t>
        </is>
      </c>
      <c r="E9" s="49" t="inlineStr">
        <is>
          <t>Contracts &amp; Subcontracts</t>
        </is>
      </c>
      <c r="F9" s="49" t="inlineStr">
        <is>
          <t>Award of muck-removal subcontract</t>
        </is>
      </c>
      <c r="G9" s="47" t="n">
        <v>6</v>
      </c>
      <c r="H9" s="47" t="n">
        <v>6</v>
      </c>
      <c r="I9" s="50">
        <f>IFERROR(H9/G9,0)</f>
        <v/>
      </c>
      <c r="J9" s="47" t="inlineStr">
        <is>
          <t>DS-719203</t>
        </is>
      </c>
      <c r="K9" s="47" t="inlineStr">
        <is>
          <t>Completed</t>
        </is>
      </c>
      <c r="L9" s="55" t="n">
        <v>46082</v>
      </c>
      <c r="M9" s="57">
        <f>IF(K9="Awaiting Signatures",COUNTIF($K$5:K9,"Awaiting Signatures"),"")</f>
        <v/>
      </c>
    </row>
    <row r="10">
      <c r="A10" s="51" t="inlineStr">
        <is>
          <t>BR-2026-006</t>
        </is>
      </c>
      <c r="B10" s="56" t="n">
        <v>46100</v>
      </c>
      <c r="C10" s="51" t="inlineStr">
        <is>
          <t>BOD-2026-02</t>
        </is>
      </c>
      <c r="D10" s="51" t="inlineStr">
        <is>
          <t>Meeting</t>
        </is>
      </c>
      <c r="E10" s="53" t="inlineStr">
        <is>
          <t>HR &amp; Appointments</t>
        </is>
      </c>
      <c r="F10" s="53" t="inlineStr">
        <is>
          <t>Approval of staff incentive scheme</t>
        </is>
      </c>
      <c r="G10" s="51" t="n">
        <v>6</v>
      </c>
      <c r="H10" s="51" t="n">
        <v>6</v>
      </c>
      <c r="I10" s="54">
        <f>IFERROR(H10/G10,0)</f>
        <v/>
      </c>
      <c r="J10" s="51" t="inlineStr">
        <is>
          <t>DS-258437</t>
        </is>
      </c>
      <c r="K10" s="51" t="inlineStr">
        <is>
          <t>Completed</t>
        </is>
      </c>
      <c r="L10" s="56" t="n">
        <v>46115</v>
      </c>
      <c r="M10" s="58">
        <f>IF(K10="Awaiting Signatures",COUNTIF($K$5:K10,"Awaiting Signatures"),"")</f>
        <v/>
      </c>
    </row>
    <row r="11">
      <c r="A11" s="47" t="inlineStr">
        <is>
          <t>BR-2026-007</t>
        </is>
      </c>
      <c r="B11" s="55" t="n">
        <v>46100</v>
      </c>
      <c r="C11" s="47" t="inlineStr">
        <is>
          <t>BOD-2026-02</t>
        </is>
      </c>
      <c r="D11" s="47" t="inlineStr">
        <is>
          <t>Meeting</t>
        </is>
      </c>
      <c r="E11" s="49" t="inlineStr">
        <is>
          <t>Finance &amp; Budget</t>
        </is>
      </c>
      <c r="F11" s="49" t="inlineStr">
        <is>
          <t>Approval of revised project budget</t>
        </is>
      </c>
      <c r="G11" s="47" t="n">
        <v>6</v>
      </c>
      <c r="H11" s="47" t="n">
        <v>6</v>
      </c>
      <c r="I11" s="50">
        <f>IFERROR(H11/G11,0)</f>
        <v/>
      </c>
      <c r="J11" s="47" t="inlineStr">
        <is>
          <t>DS-592769</t>
        </is>
      </c>
      <c r="K11" s="47" t="inlineStr">
        <is>
          <t>Completed</t>
        </is>
      </c>
      <c r="L11" s="55" t="n">
        <v>46115</v>
      </c>
      <c r="M11" s="57">
        <f>IF(K11="Awaiting Signatures",COUNTIF($K$5:K11,"Awaiting Signatures"),"")</f>
        <v/>
      </c>
    </row>
    <row r="12">
      <c r="A12" s="51" t="inlineStr">
        <is>
          <t>BR-2026-008</t>
        </is>
      </c>
      <c r="B12" s="56" t="n">
        <v>46100</v>
      </c>
      <c r="C12" s="51" t="inlineStr">
        <is>
          <t>BOD-2026-02</t>
        </is>
      </c>
      <c r="D12" s="51" t="inlineStr">
        <is>
          <t>Meeting</t>
        </is>
      </c>
      <c r="E12" s="53" t="inlineStr">
        <is>
          <t>Finance &amp; Budget</t>
        </is>
      </c>
      <c r="F12" s="53" t="inlineStr">
        <is>
          <t>Approval of revised project budget</t>
        </is>
      </c>
      <c r="G12" s="51" t="n">
        <v>6</v>
      </c>
      <c r="H12" s="51" t="n">
        <v>6</v>
      </c>
      <c r="I12" s="54">
        <f>IFERROR(H12/G12,0)</f>
        <v/>
      </c>
      <c r="J12" s="51" t="inlineStr">
        <is>
          <t>DS-918161</t>
        </is>
      </c>
      <c r="K12" s="51" t="inlineStr">
        <is>
          <t>Completed</t>
        </is>
      </c>
      <c r="L12" s="56" t="n">
        <v>46115</v>
      </c>
      <c r="M12" s="58">
        <f>IF(K12="Awaiting Signatures",COUNTIF($K$5:K12,"Awaiting Signatures"),"")</f>
        <v/>
      </c>
    </row>
    <row r="13">
      <c r="A13" s="47" t="inlineStr">
        <is>
          <t>BR-2026-009</t>
        </is>
      </c>
      <c r="B13" s="55" t="n">
        <v>46100</v>
      </c>
      <c r="C13" s="47" t="inlineStr">
        <is>
          <t>BOD-2026-02</t>
        </is>
      </c>
      <c r="D13" s="47" t="inlineStr">
        <is>
          <t>Meeting</t>
        </is>
      </c>
      <c r="E13" s="49" t="inlineStr">
        <is>
          <t>Finance &amp; Budget</t>
        </is>
      </c>
      <c r="F13" s="49" t="inlineStr">
        <is>
          <t>Approval of quarterly financial statements</t>
        </is>
      </c>
      <c r="G13" s="47" t="n">
        <v>6</v>
      </c>
      <c r="H13" s="47" t="n">
        <v>6</v>
      </c>
      <c r="I13" s="50">
        <f>IFERROR(H13/G13,0)</f>
        <v/>
      </c>
      <c r="J13" s="47" t="inlineStr">
        <is>
          <t>DS-806524</t>
        </is>
      </c>
      <c r="K13" s="47" t="inlineStr">
        <is>
          <t>Completed</t>
        </is>
      </c>
      <c r="L13" s="55" t="n">
        <v>46115</v>
      </c>
      <c r="M13" s="57">
        <f>IF(K13="Awaiting Signatures",COUNTIF($K$5:K13,"Awaiting Signatures"),"")</f>
        <v/>
      </c>
    </row>
    <row r="14">
      <c r="A14" s="51" t="inlineStr">
        <is>
          <t>BR-2026-010</t>
        </is>
      </c>
      <c r="B14" s="56" t="n">
        <v>46100</v>
      </c>
      <c r="C14" s="51" t="inlineStr">
        <is>
          <t>BOD-2026-02</t>
        </is>
      </c>
      <c r="D14" s="51" t="inlineStr">
        <is>
          <t>Meeting</t>
        </is>
      </c>
      <c r="E14" s="53" t="inlineStr">
        <is>
          <t>HSE &amp; Quality</t>
        </is>
      </c>
      <c r="F14" s="53" t="inlineStr">
        <is>
          <t>Endorsement of quality audit findings</t>
        </is>
      </c>
      <c r="G14" s="51" t="n">
        <v>6</v>
      </c>
      <c r="H14" s="51" t="n">
        <v>6</v>
      </c>
      <c r="I14" s="54">
        <f>IFERROR(H14/G14,0)</f>
        <v/>
      </c>
      <c r="J14" s="51" t="inlineStr">
        <is>
          <t>DS-865206</t>
        </is>
      </c>
      <c r="K14" s="51" t="inlineStr">
        <is>
          <t>Completed</t>
        </is>
      </c>
      <c r="L14" s="56" t="n">
        <v>46115</v>
      </c>
      <c r="M14" s="58">
        <f>IF(K14="Awaiting Signatures",COUNTIF($K$5:K14,"Awaiting Signatures"),"")</f>
        <v/>
      </c>
    </row>
    <row r="15">
      <c r="A15" s="47" t="inlineStr">
        <is>
          <t>BR-2026-011</t>
        </is>
      </c>
      <c r="B15" s="55" t="n">
        <v>46120</v>
      </c>
      <c r="C15" s="47" t="inlineStr">
        <is>
          <t>BOD-2026-03</t>
        </is>
      </c>
      <c r="D15" s="47" t="inlineStr">
        <is>
          <t>Meeting</t>
        </is>
      </c>
      <c r="E15" s="49" t="inlineStr">
        <is>
          <t>Contracts &amp; Subcontracts</t>
        </is>
      </c>
      <c r="F15" s="49" t="inlineStr">
        <is>
          <t>Extension of equipment rental agreement</t>
        </is>
      </c>
      <c r="G15" s="47" t="n">
        <v>6</v>
      </c>
      <c r="H15" s="47" t="n">
        <v>6</v>
      </c>
      <c r="I15" s="50">
        <f>IFERROR(H15/G15,0)</f>
        <v/>
      </c>
      <c r="J15" s="47" t="inlineStr">
        <is>
          <t>DS-686093</t>
        </is>
      </c>
      <c r="K15" s="47" t="inlineStr">
        <is>
          <t>Completed</t>
        </is>
      </c>
      <c r="L15" s="55" t="n">
        <v>46129</v>
      </c>
      <c r="M15" s="57">
        <f>IF(K15="Awaiting Signatures",COUNTIF($K$5:K15,"Awaiting Signatures"),"")</f>
        <v/>
      </c>
    </row>
    <row r="16">
      <c r="A16" s="51" t="inlineStr">
        <is>
          <t>BR-2026-012</t>
        </is>
      </c>
      <c r="B16" s="56" t="n">
        <v>46120</v>
      </c>
      <c r="C16" s="51" t="inlineStr">
        <is>
          <t>BOD-2026-03</t>
        </is>
      </c>
      <c r="D16" s="51" t="inlineStr">
        <is>
          <t>Meeting</t>
        </is>
      </c>
      <c r="E16" s="53" t="inlineStr">
        <is>
          <t>HR &amp; Appointments</t>
        </is>
      </c>
      <c r="F16" s="53" t="inlineStr">
        <is>
          <t>Approval of manpower plan</t>
        </is>
      </c>
      <c r="G16" s="51" t="n">
        <v>6</v>
      </c>
      <c r="H16" s="51" t="n">
        <v>6</v>
      </c>
      <c r="I16" s="54">
        <f>IFERROR(H16/G16,0)</f>
        <v/>
      </c>
      <c r="J16" s="51" t="inlineStr">
        <is>
          <t>DS-457806</t>
        </is>
      </c>
      <c r="K16" s="51" t="inlineStr">
        <is>
          <t>Completed</t>
        </is>
      </c>
      <c r="L16" s="56" t="n">
        <v>46129</v>
      </c>
      <c r="M16" s="58">
        <f>IF(K16="Awaiting Signatures",COUNTIF($K$5:K16,"Awaiting Signatures"),"")</f>
        <v/>
      </c>
    </row>
    <row r="17">
      <c r="A17" s="47" t="inlineStr">
        <is>
          <t>BR-2026-013</t>
        </is>
      </c>
      <c r="B17" s="55" t="n">
        <v>46120</v>
      </c>
      <c r="C17" s="47" t="inlineStr">
        <is>
          <t>BOD-2026-03</t>
        </is>
      </c>
      <c r="D17" s="47" t="inlineStr">
        <is>
          <t>Meeting</t>
        </is>
      </c>
      <c r="E17" s="49" t="inlineStr">
        <is>
          <t>Finance &amp; Budget</t>
        </is>
      </c>
      <c r="F17" s="49" t="inlineStr">
        <is>
          <t>Approval of insurance renewal</t>
        </is>
      </c>
      <c r="G17" s="47" t="n">
        <v>6</v>
      </c>
      <c r="H17" s="47" t="n">
        <v>6</v>
      </c>
      <c r="I17" s="50">
        <f>IFERROR(H17/G17,0)</f>
        <v/>
      </c>
      <c r="J17" s="47" t="inlineStr">
        <is>
          <t>DS-406170</t>
        </is>
      </c>
      <c r="K17" s="47" t="inlineStr">
        <is>
          <t>Completed</t>
        </is>
      </c>
      <c r="L17" s="55" t="n">
        <v>46129</v>
      </c>
      <c r="M17" s="57">
        <f>IF(K17="Awaiting Signatures",COUNTIF($K$5:K17,"Awaiting Signatures"),"")</f>
        <v/>
      </c>
    </row>
    <row r="18">
      <c r="A18" s="51" t="inlineStr">
        <is>
          <t>BR-2026-014</t>
        </is>
      </c>
      <c r="B18" s="56" t="n">
        <v>46141</v>
      </c>
      <c r="C18" s="51" t="inlineStr">
        <is>
          <t>Circular</t>
        </is>
      </c>
      <c r="D18" s="51" t="inlineStr">
        <is>
          <t>Circular</t>
        </is>
      </c>
      <c r="E18" s="53" t="inlineStr">
        <is>
          <t>Finance &amp; Budget</t>
        </is>
      </c>
      <c r="F18" s="53" t="inlineStr">
        <is>
          <t>Approval of insurance renewal</t>
        </is>
      </c>
      <c r="G18" s="51" t="n">
        <v>6</v>
      </c>
      <c r="H18" s="51" t="n">
        <v>6</v>
      </c>
      <c r="I18" s="54">
        <f>IFERROR(H18/G18,0)</f>
        <v/>
      </c>
      <c r="J18" s="51" t="inlineStr">
        <is>
          <t>DS-463446</t>
        </is>
      </c>
      <c r="K18" s="51" t="inlineStr">
        <is>
          <t>Completed</t>
        </is>
      </c>
      <c r="L18" s="56" t="n">
        <v>46147</v>
      </c>
      <c r="M18" s="58">
        <f>IF(K18="Awaiting Signatures",COUNTIF($K$5:K18,"Awaiting Signatures"),"")</f>
        <v/>
      </c>
    </row>
    <row r="19">
      <c r="A19" s="47" t="inlineStr">
        <is>
          <t>BR-2026-015</t>
        </is>
      </c>
      <c r="B19" s="55" t="n">
        <v>46163</v>
      </c>
      <c r="C19" s="47" t="inlineStr">
        <is>
          <t>BOD-2026-04</t>
        </is>
      </c>
      <c r="D19" s="47" t="inlineStr">
        <is>
          <t>Meeting</t>
        </is>
      </c>
      <c r="E19" s="49" t="inlineStr">
        <is>
          <t>HR &amp; Appointments</t>
        </is>
      </c>
      <c r="F19" s="49" t="inlineStr">
        <is>
          <t>Approval of staff incentive scheme</t>
        </is>
      </c>
      <c r="G19" s="47" t="n">
        <v>6</v>
      </c>
      <c r="H19" s="47" t="n">
        <v>6</v>
      </c>
      <c r="I19" s="50">
        <f>IFERROR(H19/G19,0)</f>
        <v/>
      </c>
      <c r="J19" s="47" t="inlineStr">
        <is>
          <t>DS-433396</t>
        </is>
      </c>
      <c r="K19" s="47" t="inlineStr">
        <is>
          <t>Completed</t>
        </is>
      </c>
      <c r="L19" s="55" t="n">
        <v>46174</v>
      </c>
      <c r="M19" s="57">
        <f>IF(K19="Awaiting Signatures",COUNTIF($K$5:K19,"Awaiting Signatures"),"")</f>
        <v/>
      </c>
    </row>
    <row r="20">
      <c r="A20" s="51" t="inlineStr">
        <is>
          <t>BR-2026-016</t>
        </is>
      </c>
      <c r="B20" s="56" t="n">
        <v>46163</v>
      </c>
      <c r="C20" s="51" t="inlineStr">
        <is>
          <t>BOD-2026-04</t>
        </is>
      </c>
      <c r="D20" s="51" t="inlineStr">
        <is>
          <t>Meeting</t>
        </is>
      </c>
      <c r="E20" s="53" t="inlineStr">
        <is>
          <t>HR &amp; Appointments</t>
        </is>
      </c>
      <c r="F20" s="53" t="inlineStr">
        <is>
          <t>Approval of staff incentive scheme</t>
        </is>
      </c>
      <c r="G20" s="51" t="n">
        <v>6</v>
      </c>
      <c r="H20" s="51" t="n">
        <v>6</v>
      </c>
      <c r="I20" s="54">
        <f>IFERROR(H20/G20,0)</f>
        <v/>
      </c>
      <c r="J20" s="51" t="inlineStr">
        <is>
          <t>DS-378611</t>
        </is>
      </c>
      <c r="K20" s="51" t="inlineStr">
        <is>
          <t>Completed</t>
        </is>
      </c>
      <c r="L20" s="56" t="n">
        <v>46174</v>
      </c>
      <c r="M20" s="58">
        <f>IF(K20="Awaiting Signatures",COUNTIF($K$5:K20,"Awaiting Signatures"),"")</f>
        <v/>
      </c>
    </row>
    <row r="21">
      <c r="A21" s="47" t="inlineStr">
        <is>
          <t>BR-2026-017</t>
        </is>
      </c>
      <c r="B21" s="55" t="n">
        <v>46163</v>
      </c>
      <c r="C21" s="47" t="inlineStr">
        <is>
          <t>BOD-2026-04</t>
        </is>
      </c>
      <c r="D21" s="47" t="inlineStr">
        <is>
          <t>Meeting</t>
        </is>
      </c>
      <c r="E21" s="49" t="inlineStr">
        <is>
          <t>Contracts &amp; Subcontracts</t>
        </is>
      </c>
      <c r="F21" s="49" t="inlineStr">
        <is>
          <t>Award of tunnelling subcontract package</t>
        </is>
      </c>
      <c r="G21" s="47" t="n">
        <v>6</v>
      </c>
      <c r="H21" s="47" t="n">
        <v>6</v>
      </c>
      <c r="I21" s="50">
        <f>IFERROR(H21/G21,0)</f>
        <v/>
      </c>
      <c r="J21" s="47" t="inlineStr">
        <is>
          <t>DS-266664</t>
        </is>
      </c>
      <c r="K21" s="47" t="inlineStr">
        <is>
          <t>Completed</t>
        </is>
      </c>
      <c r="L21" s="55" t="n">
        <v>46174</v>
      </c>
      <c r="M21" s="57">
        <f>IF(K21="Awaiting Signatures",COUNTIF($K$5:K21,"Awaiting Signatures"),"")</f>
        <v/>
      </c>
    </row>
    <row r="22">
      <c r="A22" s="51" t="inlineStr">
        <is>
          <t>BR-2026-018</t>
        </is>
      </c>
      <c r="B22" s="56" t="n">
        <v>46163</v>
      </c>
      <c r="C22" s="51" t="inlineStr">
        <is>
          <t>BOD-2026-04</t>
        </is>
      </c>
      <c r="D22" s="51" t="inlineStr">
        <is>
          <t>Meeting</t>
        </is>
      </c>
      <c r="E22" s="53" t="inlineStr">
        <is>
          <t>HSE &amp; Quality</t>
        </is>
      </c>
      <c r="F22" s="53" t="inlineStr">
        <is>
          <t>Endorsement of quality audit findings</t>
        </is>
      </c>
      <c r="G22" s="51" t="n">
        <v>6</v>
      </c>
      <c r="H22" s="51" t="n">
        <v>6</v>
      </c>
      <c r="I22" s="54">
        <f>IFERROR(H22/G22,0)</f>
        <v/>
      </c>
      <c r="J22" s="51" t="inlineStr">
        <is>
          <t>DS-620104</t>
        </is>
      </c>
      <c r="K22" s="51" t="inlineStr">
        <is>
          <t>Completed</t>
        </is>
      </c>
      <c r="L22" s="56" t="n">
        <v>46174</v>
      </c>
      <c r="M22" s="58">
        <f>IF(K22="Awaiting Signatures",COUNTIF($K$5:K22,"Awaiting Signatures"),"")</f>
        <v/>
      </c>
    </row>
    <row r="23">
      <c r="A23" s="47" t="inlineStr">
        <is>
          <t>BR-2026-019</t>
        </is>
      </c>
      <c r="B23" s="55" t="n">
        <v>46163</v>
      </c>
      <c r="C23" s="47" t="inlineStr">
        <is>
          <t>BOD-2026-04</t>
        </is>
      </c>
      <c r="D23" s="47" t="inlineStr">
        <is>
          <t>Meeting</t>
        </is>
      </c>
      <c r="E23" s="49" t="inlineStr">
        <is>
          <t>Contracts &amp; Subcontracts</t>
        </is>
      </c>
      <c r="F23" s="49" t="inlineStr">
        <is>
          <t>Extension of equipment rental agreement</t>
        </is>
      </c>
      <c r="G23" s="47" t="n">
        <v>6</v>
      </c>
      <c r="H23" s="47" t="n">
        <v>6</v>
      </c>
      <c r="I23" s="50">
        <f>IFERROR(H23/G23,0)</f>
        <v/>
      </c>
      <c r="J23" s="47" t="inlineStr">
        <is>
          <t>DS-173522</t>
        </is>
      </c>
      <c r="K23" s="47" t="inlineStr">
        <is>
          <t>Completed</t>
        </is>
      </c>
      <c r="L23" s="55" t="n">
        <v>46174</v>
      </c>
      <c r="M23" s="57">
        <f>IF(K23="Awaiting Signatures",COUNTIF($K$5:K23,"Awaiting Signatures"),"")</f>
        <v/>
      </c>
    </row>
    <row r="24">
      <c r="A24" s="51" t="inlineStr">
        <is>
          <t>BR-2026-020</t>
        </is>
      </c>
      <c r="B24" s="56" t="n">
        <v>46188</v>
      </c>
      <c r="C24" s="51" t="inlineStr">
        <is>
          <t>Circular</t>
        </is>
      </c>
      <c r="D24" s="51" t="inlineStr">
        <is>
          <t>Circular</t>
        </is>
      </c>
      <c r="E24" s="53" t="inlineStr">
        <is>
          <t>Banking &amp; LCs</t>
        </is>
      </c>
      <c r="F24" s="53" t="inlineStr">
        <is>
          <t>Change of authorised bank signatories</t>
        </is>
      </c>
      <c r="G24" s="51" t="n">
        <v>6</v>
      </c>
      <c r="H24" s="51" t="n">
        <v>6</v>
      </c>
      <c r="I24" s="54">
        <f>IFERROR(H24/G24,0)</f>
        <v/>
      </c>
      <c r="J24" s="51" t="inlineStr">
        <is>
          <t>DS-630719</t>
        </is>
      </c>
      <c r="K24" s="51" t="inlineStr">
        <is>
          <t>Completed</t>
        </is>
      </c>
      <c r="L24" s="56" t="n">
        <v>46194</v>
      </c>
      <c r="M24" s="58">
        <f>IF(K24="Awaiting Signatures",COUNTIF($K$5:K24,"Awaiting Signatures"),"")</f>
        <v/>
      </c>
    </row>
    <row r="25">
      <c r="A25" s="47" t="inlineStr">
        <is>
          <t>BR-2026-021</t>
        </is>
      </c>
      <c r="B25" s="55" t="n">
        <v>46226</v>
      </c>
      <c r="C25" s="47" t="inlineStr">
        <is>
          <t>BOD-2026-05</t>
        </is>
      </c>
      <c r="D25" s="47" t="inlineStr">
        <is>
          <t>Meeting</t>
        </is>
      </c>
      <c r="E25" s="49" t="inlineStr">
        <is>
          <t>Governance</t>
        </is>
      </c>
      <c r="F25" s="49" t="inlineStr">
        <is>
          <t>Approval of previous minutes</t>
        </is>
      </c>
      <c r="G25" s="47" t="n">
        <v>6</v>
      </c>
      <c r="H25" s="47" t="n">
        <v>6</v>
      </c>
      <c r="I25" s="50">
        <f>IFERROR(H25/G25,0)</f>
        <v/>
      </c>
      <c r="J25" s="47" t="inlineStr">
        <is>
          <t>DS-683518</t>
        </is>
      </c>
      <c r="K25" s="47" t="inlineStr">
        <is>
          <t>Completed</t>
        </is>
      </c>
      <c r="L25" s="55" t="n">
        <v>46236</v>
      </c>
      <c r="M25" s="57">
        <f>IF(K25="Awaiting Signatures",COUNTIF($K$5:K25,"Awaiting Signatures"),"")</f>
        <v/>
      </c>
    </row>
    <row r="26">
      <c r="A26" s="51" t="inlineStr">
        <is>
          <t>BR-2026-022</t>
        </is>
      </c>
      <c r="B26" s="56" t="n">
        <v>46226</v>
      </c>
      <c r="C26" s="51" t="inlineStr">
        <is>
          <t>BOD-2026-05</t>
        </is>
      </c>
      <c r="D26" s="51" t="inlineStr">
        <is>
          <t>Meeting</t>
        </is>
      </c>
      <c r="E26" s="53" t="inlineStr">
        <is>
          <t>Governance</t>
        </is>
      </c>
      <c r="F26" s="53" t="inlineStr">
        <is>
          <t>Approval of delegation of authority matrix</t>
        </is>
      </c>
      <c r="G26" s="51" t="n">
        <v>6</v>
      </c>
      <c r="H26" s="51" t="n">
        <v>6</v>
      </c>
      <c r="I26" s="54">
        <f>IFERROR(H26/G26,0)</f>
        <v/>
      </c>
      <c r="J26" s="51" t="inlineStr">
        <is>
          <t>DS-289453</t>
        </is>
      </c>
      <c r="K26" s="51" t="inlineStr">
        <is>
          <t>Completed</t>
        </is>
      </c>
      <c r="L26" s="56" t="n">
        <v>46236</v>
      </c>
      <c r="M26" s="58">
        <f>IF(K26="Awaiting Signatures",COUNTIF($K$5:K26,"Awaiting Signatures"),"")</f>
        <v/>
      </c>
    </row>
    <row r="27">
      <c r="A27" s="47" t="inlineStr">
        <is>
          <t>BR-2026-023</t>
        </is>
      </c>
      <c r="B27" s="55" t="n">
        <v>46226</v>
      </c>
      <c r="C27" s="47" t="inlineStr">
        <is>
          <t>BOD-2026-05</t>
        </is>
      </c>
      <c r="D27" s="47" t="inlineStr">
        <is>
          <t>Meeting</t>
        </is>
      </c>
      <c r="E27" s="49" t="inlineStr">
        <is>
          <t>HSE &amp; Quality</t>
        </is>
      </c>
      <c r="F27" s="49" t="inlineStr">
        <is>
          <t>Approval of HSE annual plan</t>
        </is>
      </c>
      <c r="G27" s="47" t="n">
        <v>6</v>
      </c>
      <c r="H27" s="47" t="n">
        <v>6</v>
      </c>
      <c r="I27" s="50">
        <f>IFERROR(H27/G27,0)</f>
        <v/>
      </c>
      <c r="J27" s="47" t="inlineStr">
        <is>
          <t>DS-756929</t>
        </is>
      </c>
      <c r="K27" s="47" t="inlineStr">
        <is>
          <t>Completed</t>
        </is>
      </c>
      <c r="L27" s="55" t="n">
        <v>46236</v>
      </c>
      <c r="M27" s="57">
        <f>IF(K27="Awaiting Signatures",COUNTIF($K$5:K27,"Awaiting Signatures"),"")</f>
        <v/>
      </c>
    </row>
    <row r="28">
      <c r="A28" s="51" t="inlineStr">
        <is>
          <t>BR-2026-024</t>
        </is>
      </c>
      <c r="B28" s="56" t="n">
        <v>46226</v>
      </c>
      <c r="C28" s="51" t="inlineStr">
        <is>
          <t>BOD-2026-05</t>
        </is>
      </c>
      <c r="D28" s="51" t="inlineStr">
        <is>
          <t>Meeting</t>
        </is>
      </c>
      <c r="E28" s="53" t="inlineStr">
        <is>
          <t>Banking &amp; LCs</t>
        </is>
      </c>
      <c r="F28" s="53" t="inlineStr">
        <is>
          <t>Change of authorised bank signatories</t>
        </is>
      </c>
      <c r="G28" s="51" t="n">
        <v>6</v>
      </c>
      <c r="H28" s="51" t="n">
        <v>6</v>
      </c>
      <c r="I28" s="54">
        <f>IFERROR(H28/G28,0)</f>
        <v/>
      </c>
      <c r="J28" s="51" t="inlineStr">
        <is>
          <t>DS-463450</t>
        </is>
      </c>
      <c r="K28" s="51" t="inlineStr">
        <is>
          <t>Completed</t>
        </is>
      </c>
      <c r="L28" s="56" t="n">
        <v>46236</v>
      </c>
      <c r="M28" s="58">
        <f>IF(K28="Awaiting Signatures",COUNTIF($K$5:K28,"Awaiting Signatures"),"")</f>
        <v/>
      </c>
    </row>
    <row r="29">
      <c r="A29" s="47" t="inlineStr">
        <is>
          <t>BR-2026-025</t>
        </is>
      </c>
      <c r="B29" s="55" t="n">
        <v>46246</v>
      </c>
      <c r="C29" s="47" t="inlineStr">
        <is>
          <t>Circular</t>
        </is>
      </c>
      <c r="D29" s="47" t="inlineStr">
        <is>
          <t>Circular</t>
        </is>
      </c>
      <c r="E29" s="49" t="inlineStr">
        <is>
          <t>Contracts &amp; Subcontracts</t>
        </is>
      </c>
      <c r="F29" s="49" t="inlineStr">
        <is>
          <t>Extension of equipment rental agreement</t>
        </is>
      </c>
      <c r="G29" s="47" t="n">
        <v>6</v>
      </c>
      <c r="H29" s="47" t="n">
        <v>6</v>
      </c>
      <c r="I29" s="50">
        <f>IFERROR(H29/G29,0)</f>
        <v/>
      </c>
      <c r="J29" s="47" t="inlineStr">
        <is>
          <t>DS-799333</t>
        </is>
      </c>
      <c r="K29" s="47" t="inlineStr">
        <is>
          <t>Completed</t>
        </is>
      </c>
      <c r="L29" s="55" t="n">
        <v>46250</v>
      </c>
      <c r="M29" s="57">
        <f>IF(K29="Awaiting Signatures",COUNTIF($K$5:K29,"Awaiting Signatures"),"")</f>
        <v/>
      </c>
    </row>
    <row r="30">
      <c r="A30" s="51" t="inlineStr">
        <is>
          <t>BR-2026-026</t>
        </is>
      </c>
      <c r="B30" s="56" t="n">
        <v>46264</v>
      </c>
      <c r="C30" s="51" t="inlineStr">
        <is>
          <t>Circular</t>
        </is>
      </c>
      <c r="D30" s="51" t="inlineStr">
        <is>
          <t>Circular</t>
        </is>
      </c>
      <c r="E30" s="53" t="inlineStr">
        <is>
          <t>HR &amp; Appointments</t>
        </is>
      </c>
      <c r="F30" s="53" t="inlineStr">
        <is>
          <t>Appointment of Deputy Project Director</t>
        </is>
      </c>
      <c r="G30" s="51" t="n">
        <v>6</v>
      </c>
      <c r="H30" s="51" t="n">
        <v>6</v>
      </c>
      <c r="I30" s="54">
        <f>IFERROR(H30/G30,0)</f>
        <v/>
      </c>
      <c r="J30" s="51" t="inlineStr">
        <is>
          <t>DS-357815</t>
        </is>
      </c>
      <c r="K30" s="51" t="inlineStr">
        <is>
          <t>Completed</t>
        </is>
      </c>
      <c r="L30" s="56" t="n">
        <v>46268</v>
      </c>
      <c r="M30" s="58">
        <f>IF(K30="Awaiting Signatures",COUNTIF($K$5:K30,"Awaiting Signatures"),"")</f>
        <v/>
      </c>
    </row>
    <row r="31">
      <c r="A31" s="47" t="inlineStr">
        <is>
          <t>BR-2026-027</t>
        </is>
      </c>
      <c r="B31" s="55" t="n">
        <v>46275</v>
      </c>
      <c r="C31" s="47" t="inlineStr">
        <is>
          <t>Circular</t>
        </is>
      </c>
      <c r="D31" s="47" t="inlineStr">
        <is>
          <t>Circular</t>
        </is>
      </c>
      <c r="E31" s="49" t="inlineStr">
        <is>
          <t>Contracts &amp; Subcontracts</t>
        </is>
      </c>
      <c r="F31" s="49" t="inlineStr">
        <is>
          <t>Award of segment supply contract</t>
        </is>
      </c>
      <c r="G31" s="47" t="n">
        <v>6</v>
      </c>
      <c r="H31" s="47" t="n">
        <v>6</v>
      </c>
      <c r="I31" s="50">
        <f>IFERROR(H31/G31,0)</f>
        <v/>
      </c>
      <c r="J31" s="47" t="inlineStr">
        <is>
          <t>DS-689107</t>
        </is>
      </c>
      <c r="K31" s="47" t="inlineStr">
        <is>
          <t>Completed</t>
        </is>
      </c>
      <c r="L31" s="55" t="n">
        <v>46278</v>
      </c>
      <c r="M31" s="57">
        <f>IF(K31="Awaiting Signatures",COUNTIF($K$5:K31,"Awaiting Signatures"),"")</f>
        <v/>
      </c>
    </row>
    <row r="32">
      <c r="A32" s="51" t="inlineStr">
        <is>
          <t>BR-2026-028</t>
        </is>
      </c>
      <c r="B32" s="56" t="n">
        <v>46289</v>
      </c>
      <c r="C32" s="51" t="inlineStr">
        <is>
          <t>BOD-2026-06</t>
        </is>
      </c>
      <c r="D32" s="51" t="inlineStr">
        <is>
          <t>Meeting</t>
        </is>
      </c>
      <c r="E32" s="53" t="inlineStr">
        <is>
          <t>Finance &amp; Budget</t>
        </is>
      </c>
      <c r="F32" s="53" t="inlineStr">
        <is>
          <t>Approval of revised project budget</t>
        </is>
      </c>
      <c r="G32" s="51" t="n">
        <v>6</v>
      </c>
      <c r="H32" s="51" t="n">
        <v>6</v>
      </c>
      <c r="I32" s="54">
        <f>IFERROR(H32/G32,0)</f>
        <v/>
      </c>
      <c r="J32" s="51" t="inlineStr">
        <is>
          <t>DS-276886</t>
        </is>
      </c>
      <c r="K32" s="51" t="inlineStr">
        <is>
          <t>Completed</t>
        </is>
      </c>
      <c r="L32" s="56" t="n">
        <v>46299</v>
      </c>
      <c r="M32" s="58">
        <f>IF(K32="Awaiting Signatures",COUNTIF($K$5:K32,"Awaiting Signatures"),"")</f>
        <v/>
      </c>
    </row>
    <row r="33">
      <c r="A33" s="47" t="inlineStr">
        <is>
          <t>BR-2026-029</t>
        </is>
      </c>
      <c r="B33" s="55" t="n">
        <v>46289</v>
      </c>
      <c r="C33" s="47" t="inlineStr">
        <is>
          <t>BOD-2026-06</t>
        </is>
      </c>
      <c r="D33" s="47" t="inlineStr">
        <is>
          <t>Meeting</t>
        </is>
      </c>
      <c r="E33" s="49" t="inlineStr">
        <is>
          <t>Contracts &amp; Subcontracts</t>
        </is>
      </c>
      <c r="F33" s="49" t="inlineStr">
        <is>
          <t>Approval of design consultant amendment</t>
        </is>
      </c>
      <c r="G33" s="47" t="n">
        <v>6</v>
      </c>
      <c r="H33" s="47" t="n">
        <v>6</v>
      </c>
      <c r="I33" s="50">
        <f>IFERROR(H33/G33,0)</f>
        <v/>
      </c>
      <c r="J33" s="47" t="inlineStr">
        <is>
          <t>DS-914763</t>
        </is>
      </c>
      <c r="K33" s="47" t="inlineStr">
        <is>
          <t>Completed</t>
        </is>
      </c>
      <c r="L33" s="55" t="n">
        <v>46299</v>
      </c>
      <c r="M33" s="57">
        <f>IF(K33="Awaiting Signatures",COUNTIF($K$5:K33,"Awaiting Signatures"),"")</f>
        <v/>
      </c>
    </row>
    <row r="34">
      <c r="A34" s="51" t="inlineStr">
        <is>
          <t>BR-2026-030</t>
        </is>
      </c>
      <c r="B34" s="56" t="n">
        <v>46289</v>
      </c>
      <c r="C34" s="51" t="inlineStr">
        <is>
          <t>BOD-2026-06</t>
        </is>
      </c>
      <c r="D34" s="51" t="inlineStr">
        <is>
          <t>Meeting</t>
        </is>
      </c>
      <c r="E34" s="53" t="inlineStr">
        <is>
          <t>HR &amp; Appointments</t>
        </is>
      </c>
      <c r="F34" s="53" t="inlineStr">
        <is>
          <t>Appointment of HSE Director</t>
        </is>
      </c>
      <c r="G34" s="51" t="n">
        <v>6</v>
      </c>
      <c r="H34" s="51" t="n">
        <v>6</v>
      </c>
      <c r="I34" s="54">
        <f>IFERROR(H34/G34,0)</f>
        <v/>
      </c>
      <c r="J34" s="51" t="inlineStr">
        <is>
          <t>DS-267651</t>
        </is>
      </c>
      <c r="K34" s="51" t="inlineStr">
        <is>
          <t>Completed</t>
        </is>
      </c>
      <c r="L34" s="56" t="n">
        <v>46299</v>
      </c>
      <c r="M34" s="58">
        <f>IF(K34="Awaiting Signatures",COUNTIF($K$5:K34,"Awaiting Signatures"),"")</f>
        <v/>
      </c>
    </row>
    <row r="35">
      <c r="A35" s="47" t="inlineStr">
        <is>
          <t>BR-2026-031</t>
        </is>
      </c>
      <c r="B35" s="55" t="n">
        <v>46289</v>
      </c>
      <c r="C35" s="47" t="inlineStr">
        <is>
          <t>BOD-2026-06</t>
        </is>
      </c>
      <c r="D35" s="47" t="inlineStr">
        <is>
          <t>Meeting</t>
        </is>
      </c>
      <c r="E35" s="49" t="inlineStr">
        <is>
          <t>HSE &amp; Quality</t>
        </is>
      </c>
      <c r="F35" s="49" t="inlineStr">
        <is>
          <t>Approval of HSE annual plan</t>
        </is>
      </c>
      <c r="G35" s="47" t="n">
        <v>6</v>
      </c>
      <c r="H35" s="47" t="n">
        <v>6</v>
      </c>
      <c r="I35" s="50">
        <f>IFERROR(H35/G35,0)</f>
        <v/>
      </c>
      <c r="J35" s="47" t="inlineStr">
        <is>
          <t>DS-808734</t>
        </is>
      </c>
      <c r="K35" s="47" t="inlineStr">
        <is>
          <t>Completed</t>
        </is>
      </c>
      <c r="L35" s="55" t="n">
        <v>46299</v>
      </c>
      <c r="M35" s="57">
        <f>IF(K35="Awaiting Signatures",COUNTIF($K$5:K35,"Awaiting Signatures"),"")</f>
        <v/>
      </c>
    </row>
    <row r="36">
      <c r="A36" s="51" t="inlineStr">
        <is>
          <t>BR-2026-032</t>
        </is>
      </c>
      <c r="B36" s="56" t="n">
        <v>46289</v>
      </c>
      <c r="C36" s="51" t="inlineStr">
        <is>
          <t>BOD-2026-06</t>
        </is>
      </c>
      <c r="D36" s="51" t="inlineStr">
        <is>
          <t>Meeting</t>
        </is>
      </c>
      <c r="E36" s="53" t="inlineStr">
        <is>
          <t>Governance</t>
        </is>
      </c>
      <c r="F36" s="53" t="inlineStr">
        <is>
          <t>Adoption of board calendar</t>
        </is>
      </c>
      <c r="G36" s="51" t="n">
        <v>6</v>
      </c>
      <c r="H36" s="51" t="n">
        <v>6</v>
      </c>
      <c r="I36" s="54">
        <f>IFERROR(H36/G36,0)</f>
        <v/>
      </c>
      <c r="J36" s="51" t="inlineStr">
        <is>
          <t>DS-526785</t>
        </is>
      </c>
      <c r="K36" s="51" t="inlineStr">
        <is>
          <t>Completed</t>
        </is>
      </c>
      <c r="L36" s="56" t="n">
        <v>46299</v>
      </c>
      <c r="M36" s="58">
        <f>IF(K36="Awaiting Signatures",COUNTIF($K$5:K36,"Awaiting Signatures"),"")</f>
        <v/>
      </c>
    </row>
    <row r="37">
      <c r="A37" s="47" t="inlineStr">
        <is>
          <t>BR-2026-033</t>
        </is>
      </c>
      <c r="B37" s="55" t="n">
        <v>46296</v>
      </c>
      <c r="C37" s="47" t="inlineStr">
        <is>
          <t>Circular</t>
        </is>
      </c>
      <c r="D37" s="47" t="inlineStr">
        <is>
          <t>Circular</t>
        </is>
      </c>
      <c r="E37" s="49" t="inlineStr">
        <is>
          <t>Banking &amp; LCs</t>
        </is>
      </c>
      <c r="F37" s="49" t="inlineStr">
        <is>
          <t>Renewal of performance bond</t>
        </is>
      </c>
      <c r="G37" s="47" t="n">
        <v>6</v>
      </c>
      <c r="H37" s="47" t="n">
        <v>4</v>
      </c>
      <c r="I37" s="50">
        <f>IFERROR(H37/G37,0)</f>
        <v/>
      </c>
      <c r="J37" s="47" t="inlineStr">
        <is>
          <t>DS-944399</t>
        </is>
      </c>
      <c r="K37" s="47" t="inlineStr">
        <is>
          <t>Awaiting Signatures</t>
        </is>
      </c>
      <c r="L37" s="55" t="n"/>
      <c r="M37" s="57">
        <f>IF(K37="Awaiting Signatures",COUNTIF($K$5:K37,"Awaiting Signatures"),"")</f>
        <v/>
      </c>
    </row>
    <row r="38">
      <c r="A38" s="51" t="inlineStr">
        <is>
          <t>BR-2026-034</t>
        </is>
      </c>
      <c r="B38" s="56" t="n">
        <v>46301</v>
      </c>
      <c r="C38" s="51" t="inlineStr">
        <is>
          <t>Circular</t>
        </is>
      </c>
      <c r="D38" s="51" t="inlineStr">
        <is>
          <t>Circular</t>
        </is>
      </c>
      <c r="E38" s="53" t="inlineStr">
        <is>
          <t>Finance &amp; Budget</t>
        </is>
      </c>
      <c r="F38" s="53" t="inlineStr">
        <is>
          <t>Approval of Q3 cash-flow forecast</t>
        </is>
      </c>
      <c r="G38" s="51" t="n">
        <v>6</v>
      </c>
      <c r="H38" s="51" t="n">
        <v>4</v>
      </c>
      <c r="I38" s="54">
        <f>IFERROR(H38/G38,0)</f>
        <v/>
      </c>
      <c r="J38" s="51" t="inlineStr">
        <is>
          <t>DS-911510</t>
        </is>
      </c>
      <c r="K38" s="51" t="inlineStr">
        <is>
          <t>Awaiting Signatures</t>
        </is>
      </c>
      <c r="L38" s="56" t="n"/>
      <c r="M38" s="58">
        <f>IF(K38="Awaiting Signatures",COUNTIF($K$5:K38,"Awaiting Signatures"),"")</f>
        <v/>
      </c>
    </row>
    <row r="39">
      <c r="A39" s="47" t="inlineStr">
        <is>
          <t>BR-2026-035</t>
        </is>
      </c>
      <c r="B39" s="55" t="n">
        <v>46306</v>
      </c>
      <c r="C39" s="47" t="inlineStr">
        <is>
          <t>Circular</t>
        </is>
      </c>
      <c r="D39" s="47" t="inlineStr">
        <is>
          <t>Circular</t>
        </is>
      </c>
      <c r="E39" s="49" t="inlineStr">
        <is>
          <t>Contracts &amp; Subcontracts</t>
        </is>
      </c>
      <c r="F39" s="49" t="inlineStr">
        <is>
          <t>Award of tunnel ventilation subcontract</t>
        </is>
      </c>
      <c r="G39" s="47" t="n">
        <v>6</v>
      </c>
      <c r="H39" s="47" t="n">
        <v>5</v>
      </c>
      <c r="I39" s="50">
        <f>IFERROR(H39/G39,0)</f>
        <v/>
      </c>
      <c r="J39" s="47" t="inlineStr">
        <is>
          <t>DS-606643</t>
        </is>
      </c>
      <c r="K39" s="47" t="inlineStr">
        <is>
          <t>Awaiting Signatures</t>
        </is>
      </c>
      <c r="L39" s="55" t="n"/>
      <c r="M39" s="57">
        <f>IF(K39="Awaiting Signatures",COUNTIF($K$5:K39,"Awaiting Signatures"),"")</f>
        <v/>
      </c>
    </row>
  </sheetData>
  <autoFilter ref="A4:M39"/>
  <mergeCells count="2">
    <mergeCell ref="A2:M2"/>
    <mergeCell ref="A1:M1"/>
  </mergeCells>
  <conditionalFormatting sqref="K5:K500">
    <cfRule type="cellIs" priority="1" operator="equal" dxfId="0">
      <formula>"Completed"</formula>
    </cfRule>
    <cfRule type="cellIs" priority="2" operator="equal" dxfId="1">
      <formula>"Awaiting Signatures"</formula>
    </cfRule>
    <cfRule type="cellIs" priority="3" operator="equal" dxfId="3">
      <formula>"Withdrawn"</formula>
    </cfRule>
  </conditionalFormatting>
  <dataValidations count="3">
    <dataValidation sqref="D5:D500" showDropDown="0" showInputMessage="0" showErrorMessage="0" allowBlank="1" type="list">
      <formula1>"Meeting,Circular"</formula1>
    </dataValidation>
    <dataValidation sqref="K5:K500" showDropDown="0" showInputMessage="0" showErrorMessage="0" allowBlank="1" type="list">
      <formula1>"Completed,Awaiting Signatures,Withdrawn"</formula1>
    </dataValidation>
    <dataValidation sqref="E5:E500" showDropDown="0" showInputMessage="0" showErrorMessage="0" allowBlank="1" type="list">
      <formula1>"Contracts &amp; Subcontracts,Finance &amp; Budget,Banking &amp; LCs,HR &amp; Appointments,Governance,HSE &amp; Quality"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4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4" customWidth="1" min="2" max="2"/>
    <col width="44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6" customHeight="1">
      <c r="A1" s="42" t="inlineStr">
        <is>
          <t>Board Action Log</t>
        </is>
      </c>
      <c r="B1" s="43" t="n"/>
      <c r="C1" s="43" t="n"/>
      <c r="D1" s="43" t="n"/>
      <c r="E1" s="43" t="n"/>
      <c r="F1" s="43" t="n"/>
      <c r="G1" s="43" t="n"/>
      <c r="H1" s="43" t="n"/>
    </row>
    <row r="2">
      <c r="A2" s="44" t="inlineStr">
        <is>
          <t>Desert Horizon JV  •  JV of Rimal Contracting Co. (KSA) &amp; Anatolia Yapı A.Ş. (Türkiye)  •  Demo data  •  Days overdue calculated against today</t>
        </is>
      </c>
    </row>
    <row r="3" ht="4" customHeight="1">
      <c r="A3" s="45" t="n"/>
      <c r="B3" s="45" t="n"/>
      <c r="C3" s="45" t="n"/>
      <c r="D3" s="45" t="n"/>
      <c r="E3" s="45" t="n"/>
      <c r="F3" s="45" t="n"/>
      <c r="G3" s="45" t="n"/>
      <c r="H3" s="45" t="n"/>
    </row>
    <row r="4">
      <c r="A4" s="46" t="inlineStr">
        <is>
          <t>Action ID</t>
        </is>
      </c>
      <c r="B4" s="46" t="inlineStr">
        <is>
          <t>Meeting Ref</t>
        </is>
      </c>
      <c r="C4" s="46" t="inlineStr">
        <is>
          <t>Action</t>
        </is>
      </c>
      <c r="D4" s="46" t="inlineStr">
        <is>
          <t>Owner</t>
        </is>
      </c>
      <c r="E4" s="46" t="inlineStr">
        <is>
          <t>Due Date</t>
        </is>
      </c>
      <c r="F4" s="46" t="inlineStr">
        <is>
          <t>Status</t>
        </is>
      </c>
      <c r="G4" s="46" t="inlineStr">
        <is>
          <t>Closed Date</t>
        </is>
      </c>
      <c r="H4" s="46" t="inlineStr">
        <is>
          <t>Days Overdue</t>
        </is>
      </c>
    </row>
    <row r="5">
      <c r="A5" s="47" t="inlineStr">
        <is>
          <t>ACT-001</t>
        </is>
      </c>
      <c r="B5" s="47" t="inlineStr">
        <is>
          <t>BOD-2026-01</t>
        </is>
      </c>
      <c r="C5" s="49" t="inlineStr">
        <is>
          <t>Submit claim status report to the client</t>
        </is>
      </c>
      <c r="D5" s="49" t="inlineStr">
        <is>
          <t>Finance Manager</t>
        </is>
      </c>
      <c r="E5" s="55" t="n">
        <v>46074</v>
      </c>
      <c r="F5" s="47" t="inlineStr">
        <is>
          <t>Closed</t>
        </is>
      </c>
      <c r="G5" s="55" t="n">
        <v>46072</v>
      </c>
      <c r="H5" s="59">
        <f>IF(AND(F5&lt;&gt;"Closed",E5&lt;TODAY()),TODAY()-E5,"")</f>
        <v/>
      </c>
    </row>
    <row r="6">
      <c r="A6" s="51" t="inlineStr">
        <is>
          <t>ACT-002</t>
        </is>
      </c>
      <c r="B6" s="51" t="inlineStr">
        <is>
          <t>BOD-2026-01</t>
        </is>
      </c>
      <c r="C6" s="53" t="inlineStr">
        <is>
          <t>Present insurance renewal options</t>
        </is>
      </c>
      <c r="D6" s="53" t="inlineStr">
        <is>
          <t>Project Director</t>
        </is>
      </c>
      <c r="E6" s="56" t="n">
        <v>46058</v>
      </c>
      <c r="F6" s="51" t="inlineStr">
        <is>
          <t>Closed</t>
        </is>
      </c>
      <c r="G6" s="56" t="n">
        <v>46054</v>
      </c>
      <c r="H6" s="60">
        <f>IF(AND(F6&lt;&gt;"Closed",E6&lt;TODAY()),TODAY()-E6,"")</f>
        <v/>
      </c>
    </row>
    <row r="7">
      <c r="A7" s="47" t="inlineStr">
        <is>
          <t>ACT-003</t>
        </is>
      </c>
      <c r="B7" s="47" t="inlineStr">
        <is>
          <t>BOD-2026-01</t>
        </is>
      </c>
      <c r="C7" s="49" t="inlineStr">
        <is>
          <t>Present TBM progress recovery plan</t>
        </is>
      </c>
      <c r="D7" s="49" t="inlineStr">
        <is>
          <t>Board Secretary</t>
        </is>
      </c>
      <c r="E7" s="55" t="n">
        <v>46074</v>
      </c>
      <c r="F7" s="47" t="inlineStr">
        <is>
          <t>Closed</t>
        </is>
      </c>
      <c r="G7" s="55" t="n">
        <v>46070</v>
      </c>
      <c r="H7" s="59">
        <f>IF(AND(F7&lt;&gt;"Closed",E7&lt;TODAY()),TODAY()-E7,"")</f>
        <v/>
      </c>
    </row>
    <row r="8">
      <c r="A8" s="51" t="inlineStr">
        <is>
          <t>ACT-004</t>
        </is>
      </c>
      <c r="B8" s="51" t="inlineStr">
        <is>
          <t>BOD-2026-01</t>
        </is>
      </c>
      <c r="C8" s="53" t="inlineStr">
        <is>
          <t>Submit claim status report to the client</t>
        </is>
      </c>
      <c r="D8" s="53" t="inlineStr">
        <is>
          <t>HSE Director</t>
        </is>
      </c>
      <c r="E8" s="56" t="n">
        <v>46089</v>
      </c>
      <c r="F8" s="51" t="inlineStr">
        <is>
          <t>Closed</t>
        </is>
      </c>
      <c r="G8" s="56" t="n">
        <v>46085</v>
      </c>
      <c r="H8" s="60">
        <f>IF(AND(F8&lt;&gt;"Closed",E8&lt;TODAY()),TODAY()-E8,"")</f>
        <v/>
      </c>
    </row>
    <row r="9">
      <c r="A9" s="47" t="inlineStr">
        <is>
          <t>ACT-005</t>
        </is>
      </c>
      <c r="B9" s="47" t="inlineStr">
        <is>
          <t>BOD-2026-01</t>
        </is>
      </c>
      <c r="C9" s="49" t="inlineStr">
        <is>
          <t>Report on manpower localisation</t>
        </is>
      </c>
      <c r="D9" s="49" t="inlineStr">
        <is>
          <t>Commercial Manager</t>
        </is>
      </c>
      <c r="E9" s="55" t="n">
        <v>46089</v>
      </c>
      <c r="F9" s="47" t="inlineStr">
        <is>
          <t>Closed</t>
        </is>
      </c>
      <c r="G9" s="55" t="n">
        <v>46086</v>
      </c>
      <c r="H9" s="59">
        <f>IF(AND(F9&lt;&gt;"Closed",E9&lt;TODAY()),TODAY()-E9,"")</f>
        <v/>
      </c>
    </row>
    <row r="10">
      <c r="A10" s="51" t="inlineStr">
        <is>
          <t>ACT-006</t>
        </is>
      </c>
      <c r="B10" s="51" t="inlineStr">
        <is>
          <t>BOD-2026-02</t>
        </is>
      </c>
      <c r="C10" s="53" t="inlineStr">
        <is>
          <t>Share bank signatory forms with both partners</t>
        </is>
      </c>
      <c r="D10" s="53" t="inlineStr">
        <is>
          <t>Commercial Manager</t>
        </is>
      </c>
      <c r="E10" s="56" t="n">
        <v>46145</v>
      </c>
      <c r="F10" s="51" t="inlineStr">
        <is>
          <t>Closed</t>
        </is>
      </c>
      <c r="G10" s="56" t="n">
        <v>46146</v>
      </c>
      <c r="H10" s="60">
        <f>IF(AND(F10&lt;&gt;"Closed",E10&lt;TODAY()),TODAY()-E10,"")</f>
        <v/>
      </c>
    </row>
    <row r="11">
      <c r="A11" s="47" t="inlineStr">
        <is>
          <t>ACT-007</t>
        </is>
      </c>
      <c r="B11" s="47" t="inlineStr">
        <is>
          <t>BOD-2026-02</t>
        </is>
      </c>
      <c r="C11" s="49" t="inlineStr">
        <is>
          <t>Submit revised cash-flow to the board</t>
        </is>
      </c>
      <c r="D11" s="49" t="inlineStr">
        <is>
          <t>HR Manager</t>
        </is>
      </c>
      <c r="E11" s="55" t="n">
        <v>46130</v>
      </c>
      <c r="F11" s="47" t="inlineStr">
        <is>
          <t>Closed</t>
        </is>
      </c>
      <c r="G11" s="55" t="n">
        <v>46135</v>
      </c>
      <c r="H11" s="59">
        <f>IF(AND(F11&lt;&gt;"Closed",E11&lt;TODAY()),TODAY()-E11,"")</f>
        <v/>
      </c>
    </row>
    <row r="12">
      <c r="A12" s="51" t="inlineStr">
        <is>
          <t>ACT-008</t>
        </is>
      </c>
      <c r="B12" s="51" t="inlineStr">
        <is>
          <t>BOD-2026-02</t>
        </is>
      </c>
      <c r="C12" s="53" t="inlineStr">
        <is>
          <t>Submit revised cash-flow to the board</t>
        </is>
      </c>
      <c r="D12" s="53" t="inlineStr">
        <is>
          <t>Finance Manager</t>
        </is>
      </c>
      <c r="E12" s="56" t="n">
        <v>46121</v>
      </c>
      <c r="F12" s="51" t="inlineStr">
        <is>
          <t>In Progress</t>
        </is>
      </c>
      <c r="G12" s="56" t="n"/>
      <c r="H12" s="60">
        <f>IF(AND(F12&lt;&gt;"Closed",E12&lt;TODAY()),TODAY()-E12,"")</f>
        <v/>
      </c>
    </row>
    <row r="13">
      <c r="A13" s="47" t="inlineStr">
        <is>
          <t>ACT-009</t>
        </is>
      </c>
      <c r="B13" s="47" t="inlineStr">
        <is>
          <t>BOD-2026-02</t>
        </is>
      </c>
      <c r="C13" s="49" t="inlineStr">
        <is>
          <t>Present insurance renewal options</t>
        </is>
      </c>
      <c r="D13" s="49" t="inlineStr">
        <is>
          <t>Finance Manager</t>
        </is>
      </c>
      <c r="E13" s="55" t="n">
        <v>46130</v>
      </c>
      <c r="F13" s="47" t="inlineStr">
        <is>
          <t>Closed</t>
        </is>
      </c>
      <c r="G13" s="55" t="n">
        <v>46133</v>
      </c>
      <c r="H13" s="59">
        <f>IF(AND(F13&lt;&gt;"Closed",E13&lt;TODAY()),TODAY()-E13,"")</f>
        <v/>
      </c>
    </row>
    <row r="14">
      <c r="A14" s="51" t="inlineStr">
        <is>
          <t>ACT-010</t>
        </is>
      </c>
      <c r="B14" s="51" t="inlineStr">
        <is>
          <t>BOD-2026-02</t>
        </is>
      </c>
      <c r="C14" s="53" t="inlineStr">
        <is>
          <t>Present TBM progress recovery plan</t>
        </is>
      </c>
      <c r="D14" s="53" t="inlineStr">
        <is>
          <t>Commercial Manager</t>
        </is>
      </c>
      <c r="E14" s="56" t="n">
        <v>46145</v>
      </c>
      <c r="F14" s="51" t="inlineStr">
        <is>
          <t>Closed</t>
        </is>
      </c>
      <c r="G14" s="56" t="n">
        <v>46141</v>
      </c>
      <c r="H14" s="60">
        <f>IF(AND(F14&lt;&gt;"Closed",E14&lt;TODAY()),TODAY()-E14,"")</f>
        <v/>
      </c>
    </row>
    <row r="15">
      <c r="A15" s="47" t="inlineStr">
        <is>
          <t>ACT-011</t>
        </is>
      </c>
      <c r="B15" s="47" t="inlineStr">
        <is>
          <t>BOD-2026-02</t>
        </is>
      </c>
      <c r="C15" s="49" t="inlineStr">
        <is>
          <t>Submit revised cash-flow to the board</t>
        </is>
      </c>
      <c r="D15" s="49" t="inlineStr">
        <is>
          <t>Board Secretary</t>
        </is>
      </c>
      <c r="E15" s="55" t="n">
        <v>46114</v>
      </c>
      <c r="F15" s="47" t="inlineStr">
        <is>
          <t>Closed</t>
        </is>
      </c>
      <c r="G15" s="55" t="n">
        <v>46110</v>
      </c>
      <c r="H15" s="59">
        <f>IF(AND(F15&lt;&gt;"Closed",E15&lt;TODAY()),TODAY()-E15,"")</f>
        <v/>
      </c>
    </row>
    <row r="16">
      <c r="A16" s="51" t="inlineStr">
        <is>
          <t>ACT-012</t>
        </is>
      </c>
      <c r="B16" s="51" t="inlineStr">
        <is>
          <t>BOD-2026-02</t>
        </is>
      </c>
      <c r="C16" s="53" t="inlineStr">
        <is>
          <t>Circulate signed subcontract to partners</t>
        </is>
      </c>
      <c r="D16" s="53" t="inlineStr">
        <is>
          <t>Board Secretary</t>
        </is>
      </c>
      <c r="E16" s="56" t="n">
        <v>46145</v>
      </c>
      <c r="F16" s="51" t="inlineStr">
        <is>
          <t>Closed</t>
        </is>
      </c>
      <c r="G16" s="56" t="n">
        <v>46140</v>
      </c>
      <c r="H16" s="60">
        <f>IF(AND(F16&lt;&gt;"Closed",E16&lt;TODAY()),TODAY()-E16,"")</f>
        <v/>
      </c>
    </row>
    <row r="17">
      <c r="A17" s="47" t="inlineStr">
        <is>
          <t>ACT-013</t>
        </is>
      </c>
      <c r="B17" s="47" t="inlineStr">
        <is>
          <t>BOD-2026-03</t>
        </is>
      </c>
      <c r="C17" s="49" t="inlineStr">
        <is>
          <t>Present insurance renewal options</t>
        </is>
      </c>
      <c r="D17" s="49" t="inlineStr">
        <is>
          <t>HR Manager</t>
        </is>
      </c>
      <c r="E17" s="55" t="n">
        <v>46141</v>
      </c>
      <c r="F17" s="47" t="inlineStr">
        <is>
          <t>Closed</t>
        </is>
      </c>
      <c r="G17" s="55" t="n">
        <v>46140</v>
      </c>
      <c r="H17" s="59">
        <f>IF(AND(F17&lt;&gt;"Closed",E17&lt;TODAY()),TODAY()-E17,"")</f>
        <v/>
      </c>
    </row>
    <row r="18">
      <c r="A18" s="51" t="inlineStr">
        <is>
          <t>ACT-014</t>
        </is>
      </c>
      <c r="B18" s="51" t="inlineStr">
        <is>
          <t>BOD-2026-03</t>
        </is>
      </c>
      <c r="C18" s="53" t="inlineStr">
        <is>
          <t>Present TBM progress recovery plan</t>
        </is>
      </c>
      <c r="D18" s="53" t="inlineStr">
        <is>
          <t>HR Manager</t>
        </is>
      </c>
      <c r="E18" s="56" t="n">
        <v>46141</v>
      </c>
      <c r="F18" s="51" t="inlineStr">
        <is>
          <t>Closed</t>
        </is>
      </c>
      <c r="G18" s="56" t="n">
        <v>46137</v>
      </c>
      <c r="H18" s="60">
        <f>IF(AND(F18&lt;&gt;"Closed",E18&lt;TODAY()),TODAY()-E18,"")</f>
        <v/>
      </c>
    </row>
    <row r="19">
      <c r="A19" s="47" t="inlineStr">
        <is>
          <t>ACT-015</t>
        </is>
      </c>
      <c r="B19" s="47" t="inlineStr">
        <is>
          <t>BOD-2026-03</t>
        </is>
      </c>
      <c r="C19" s="49" t="inlineStr">
        <is>
          <t>Submit revised cash-flow to the board</t>
        </is>
      </c>
      <c r="D19" s="49" t="inlineStr">
        <is>
          <t>HSE Director</t>
        </is>
      </c>
      <c r="E19" s="55" t="n">
        <v>46141</v>
      </c>
      <c r="F19" s="47" t="inlineStr">
        <is>
          <t>Closed</t>
        </is>
      </c>
      <c r="G19" s="55" t="n">
        <v>46143</v>
      </c>
      <c r="H19" s="59">
        <f>IF(AND(F19&lt;&gt;"Closed",E19&lt;TODAY()),TODAY()-E19,"")</f>
        <v/>
      </c>
    </row>
    <row r="20">
      <c r="A20" s="51" t="inlineStr">
        <is>
          <t>ACT-016</t>
        </is>
      </c>
      <c r="B20" s="51" t="inlineStr">
        <is>
          <t>BOD-2026-03</t>
        </is>
      </c>
      <c r="C20" s="53" t="inlineStr">
        <is>
          <t>Present insurance renewal options</t>
        </is>
      </c>
      <c r="D20" s="53" t="inlineStr">
        <is>
          <t>HR Manager</t>
        </is>
      </c>
      <c r="E20" s="56" t="n">
        <v>46134</v>
      </c>
      <c r="F20" s="51" t="inlineStr">
        <is>
          <t>Closed</t>
        </is>
      </c>
      <c r="G20" s="56" t="n">
        <v>46128</v>
      </c>
      <c r="H20" s="60">
        <f>IF(AND(F20&lt;&gt;"Closed",E20&lt;TODAY()),TODAY()-E20,"")</f>
        <v/>
      </c>
    </row>
    <row r="21">
      <c r="A21" s="47" t="inlineStr">
        <is>
          <t>ACT-017</t>
        </is>
      </c>
      <c r="B21" s="47" t="inlineStr">
        <is>
          <t>BOD-2026-03</t>
        </is>
      </c>
      <c r="C21" s="49" t="inlineStr">
        <is>
          <t>Present TBM progress recovery plan</t>
        </is>
      </c>
      <c r="D21" s="49" t="inlineStr">
        <is>
          <t>Board Secretary</t>
        </is>
      </c>
      <c r="E21" s="55" t="n">
        <v>46134</v>
      </c>
      <c r="F21" s="47" t="inlineStr">
        <is>
          <t>Closed</t>
        </is>
      </c>
      <c r="G21" s="55" t="n">
        <v>46137</v>
      </c>
      <c r="H21" s="59">
        <f>IF(AND(F21&lt;&gt;"Closed",E21&lt;TODAY()),TODAY()-E21,"")</f>
        <v/>
      </c>
    </row>
    <row r="22">
      <c r="A22" s="51" t="inlineStr">
        <is>
          <t>ACT-018</t>
        </is>
      </c>
      <c r="B22" s="51" t="inlineStr">
        <is>
          <t>BOD-2026-03</t>
        </is>
      </c>
      <c r="C22" s="53" t="inlineStr">
        <is>
          <t>Prepare board calendar for next year</t>
        </is>
      </c>
      <c r="D22" s="53" t="inlineStr">
        <is>
          <t>Finance Manager</t>
        </is>
      </c>
      <c r="E22" s="56" t="n">
        <v>46141</v>
      </c>
      <c r="F22" s="51" t="inlineStr">
        <is>
          <t>Closed</t>
        </is>
      </c>
      <c r="G22" s="56" t="n">
        <v>46146</v>
      </c>
      <c r="H22" s="60">
        <f>IF(AND(F22&lt;&gt;"Closed",E22&lt;TODAY()),TODAY()-E22,"")</f>
        <v/>
      </c>
    </row>
    <row r="23">
      <c r="A23" s="47" t="inlineStr">
        <is>
          <t>ACT-019</t>
        </is>
      </c>
      <c r="B23" s="47" t="inlineStr">
        <is>
          <t>BOD-2026-03</t>
        </is>
      </c>
      <c r="C23" s="49" t="inlineStr">
        <is>
          <t>Share bank signatory forms with both partners</t>
        </is>
      </c>
      <c r="D23" s="49" t="inlineStr">
        <is>
          <t>Board Secretary</t>
        </is>
      </c>
      <c r="E23" s="55" t="n">
        <v>46134</v>
      </c>
      <c r="F23" s="47" t="inlineStr">
        <is>
          <t>Closed</t>
        </is>
      </c>
      <c r="G23" s="55" t="n">
        <v>46130</v>
      </c>
      <c r="H23" s="59">
        <f>IF(AND(F23&lt;&gt;"Closed",E23&lt;TODAY()),TODAY()-E23,"")</f>
        <v/>
      </c>
    </row>
    <row r="24">
      <c r="A24" s="51" t="inlineStr">
        <is>
          <t>ACT-020</t>
        </is>
      </c>
      <c r="B24" s="51" t="inlineStr">
        <is>
          <t>BOD-2026-04</t>
        </is>
      </c>
      <c r="C24" s="53" t="inlineStr">
        <is>
          <t>Circulate signed subcontract to partners</t>
        </is>
      </c>
      <c r="D24" s="53" t="inlineStr">
        <is>
          <t>HSE Director</t>
        </is>
      </c>
      <c r="E24" s="56" t="n">
        <v>46208</v>
      </c>
      <c r="F24" s="51" t="inlineStr">
        <is>
          <t>In Progress</t>
        </is>
      </c>
      <c r="G24" s="56" t="n"/>
      <c r="H24" s="60">
        <f>IF(AND(F24&lt;&gt;"Closed",E24&lt;TODAY()),TODAY()-E24,"")</f>
        <v/>
      </c>
    </row>
    <row r="25">
      <c r="A25" s="47" t="inlineStr">
        <is>
          <t>ACT-021</t>
        </is>
      </c>
      <c r="B25" s="47" t="inlineStr">
        <is>
          <t>BOD-2026-04</t>
        </is>
      </c>
      <c r="C25" s="49" t="inlineStr">
        <is>
          <t>Report on manpower localisation</t>
        </is>
      </c>
      <c r="D25" s="49" t="inlineStr">
        <is>
          <t>HSE Director</t>
        </is>
      </c>
      <c r="E25" s="55" t="n">
        <v>46177</v>
      </c>
      <c r="F25" s="47" t="inlineStr">
        <is>
          <t>Closed</t>
        </is>
      </c>
      <c r="G25" s="55" t="n">
        <v>46182</v>
      </c>
      <c r="H25" s="59">
        <f>IF(AND(F25&lt;&gt;"Closed",E25&lt;TODAY()),TODAY()-E25,"")</f>
        <v/>
      </c>
    </row>
    <row r="26">
      <c r="A26" s="51" t="inlineStr">
        <is>
          <t>ACT-022</t>
        </is>
      </c>
      <c r="B26" s="51" t="inlineStr">
        <is>
          <t>BOD-2026-04</t>
        </is>
      </c>
      <c r="C26" s="53" t="inlineStr">
        <is>
          <t>Share HSE statistics with lessons learned</t>
        </is>
      </c>
      <c r="D26" s="53" t="inlineStr">
        <is>
          <t>HSE Director</t>
        </is>
      </c>
      <c r="E26" s="56" t="n">
        <v>46193</v>
      </c>
      <c r="F26" s="51" t="inlineStr">
        <is>
          <t>Closed</t>
        </is>
      </c>
      <c r="G26" s="56" t="n">
        <v>46196</v>
      </c>
      <c r="H26" s="60">
        <f>IF(AND(F26&lt;&gt;"Closed",E26&lt;TODAY()),TODAY()-E26,"")</f>
        <v/>
      </c>
    </row>
    <row r="27">
      <c r="A27" s="47" t="inlineStr">
        <is>
          <t>ACT-023</t>
        </is>
      </c>
      <c r="B27" s="47" t="inlineStr">
        <is>
          <t>BOD-2026-04</t>
        </is>
      </c>
      <c r="C27" s="49" t="inlineStr">
        <is>
          <t>Update delegation of authority in Oracle</t>
        </is>
      </c>
      <c r="D27" s="49" t="inlineStr">
        <is>
          <t>Finance Manager</t>
        </is>
      </c>
      <c r="E27" s="55" t="n">
        <v>46184</v>
      </c>
      <c r="F27" s="47" t="inlineStr">
        <is>
          <t>Closed</t>
        </is>
      </c>
      <c r="G27" s="55" t="n">
        <v>46183</v>
      </c>
      <c r="H27" s="59">
        <f>IF(AND(F27&lt;&gt;"Closed",E27&lt;TODAY()),TODAY()-E27,"")</f>
        <v/>
      </c>
    </row>
    <row r="28">
      <c r="A28" s="51" t="inlineStr">
        <is>
          <t>ACT-024</t>
        </is>
      </c>
      <c r="B28" s="51" t="inlineStr">
        <is>
          <t>BOD-2026-04</t>
        </is>
      </c>
      <c r="C28" s="53" t="inlineStr">
        <is>
          <t>Circulate signed subcontract to partners</t>
        </is>
      </c>
      <c r="D28" s="53" t="inlineStr">
        <is>
          <t>Project Director</t>
        </is>
      </c>
      <c r="E28" s="56" t="n">
        <v>46177</v>
      </c>
      <c r="F28" s="51" t="inlineStr">
        <is>
          <t>Closed</t>
        </is>
      </c>
      <c r="G28" s="56" t="n">
        <v>46177</v>
      </c>
      <c r="H28" s="60">
        <f>IF(AND(F28&lt;&gt;"Closed",E28&lt;TODAY()),TODAY()-E28,"")</f>
        <v/>
      </c>
    </row>
    <row r="29">
      <c r="A29" s="47" t="inlineStr">
        <is>
          <t>ACT-025</t>
        </is>
      </c>
      <c r="B29" s="47" t="inlineStr">
        <is>
          <t>BOD-2026-04</t>
        </is>
      </c>
      <c r="C29" s="49" t="inlineStr">
        <is>
          <t>Share HSE statistics with lessons learned</t>
        </is>
      </c>
      <c r="D29" s="49" t="inlineStr">
        <is>
          <t>HSE Director</t>
        </is>
      </c>
      <c r="E29" s="55" t="n">
        <v>46177</v>
      </c>
      <c r="F29" s="47" t="inlineStr">
        <is>
          <t>Closed</t>
        </is>
      </c>
      <c r="G29" s="55" t="n">
        <v>46178</v>
      </c>
      <c r="H29" s="59">
        <f>IF(AND(F29&lt;&gt;"Closed",E29&lt;TODAY()),TODAY()-E29,"")</f>
        <v/>
      </c>
    </row>
    <row r="30">
      <c r="A30" s="51" t="inlineStr">
        <is>
          <t>ACT-026</t>
        </is>
      </c>
      <c r="B30" s="51" t="inlineStr">
        <is>
          <t>BOD-2026-04</t>
        </is>
      </c>
      <c r="C30" s="53" t="inlineStr">
        <is>
          <t>Close internal audit observations</t>
        </is>
      </c>
      <c r="D30" s="53" t="inlineStr">
        <is>
          <t>HR Manager</t>
        </is>
      </c>
      <c r="E30" s="56" t="n">
        <v>46177</v>
      </c>
      <c r="F30" s="51" t="inlineStr">
        <is>
          <t>Closed</t>
        </is>
      </c>
      <c r="G30" s="56" t="n">
        <v>46182</v>
      </c>
      <c r="H30" s="60">
        <f>IF(AND(F30&lt;&gt;"Closed",E30&lt;TODAY()),TODAY()-E30,"")</f>
        <v/>
      </c>
    </row>
    <row r="31">
      <c r="A31" s="47" t="inlineStr">
        <is>
          <t>ACT-027</t>
        </is>
      </c>
      <c r="B31" s="47" t="inlineStr">
        <is>
          <t>BOD-2026-05</t>
        </is>
      </c>
      <c r="C31" s="49" t="inlineStr">
        <is>
          <t>Submit revised cash-flow to the board</t>
        </is>
      </c>
      <c r="D31" s="49" t="inlineStr">
        <is>
          <t>Project Director</t>
        </is>
      </c>
      <c r="E31" s="55" t="n">
        <v>46271</v>
      </c>
      <c r="F31" s="47" t="inlineStr">
        <is>
          <t>Closed</t>
        </is>
      </c>
      <c r="G31" s="55" t="n">
        <v>46268</v>
      </c>
      <c r="H31" s="59">
        <f>IF(AND(F31&lt;&gt;"Closed",E31&lt;TODAY()),TODAY()-E31,"")</f>
        <v/>
      </c>
    </row>
    <row r="32">
      <c r="A32" s="51" t="inlineStr">
        <is>
          <t>ACT-028</t>
        </is>
      </c>
      <c r="B32" s="51" t="inlineStr">
        <is>
          <t>BOD-2026-05</t>
        </is>
      </c>
      <c r="C32" s="53" t="inlineStr">
        <is>
          <t>Share bank signatory forms with both partners</t>
        </is>
      </c>
      <c r="D32" s="53" t="inlineStr">
        <is>
          <t>Board Secretary</t>
        </is>
      </c>
      <c r="E32" s="56" t="n">
        <v>46271</v>
      </c>
      <c r="F32" s="51" t="inlineStr">
        <is>
          <t>Closed</t>
        </is>
      </c>
      <c r="G32" s="56" t="n">
        <v>46268</v>
      </c>
      <c r="H32" s="60">
        <f>IF(AND(F32&lt;&gt;"Closed",E32&lt;TODAY()),TODAY()-E32,"")</f>
        <v/>
      </c>
    </row>
    <row r="33">
      <c r="A33" s="47" t="inlineStr">
        <is>
          <t>ACT-029</t>
        </is>
      </c>
      <c r="B33" s="47" t="inlineStr">
        <is>
          <t>BOD-2026-05</t>
        </is>
      </c>
      <c r="C33" s="49" t="inlineStr">
        <is>
          <t>Close internal audit observations</t>
        </is>
      </c>
      <c r="D33" s="49" t="inlineStr">
        <is>
          <t>Commercial Manager</t>
        </is>
      </c>
      <c r="E33" s="55" t="n">
        <v>46271</v>
      </c>
      <c r="F33" s="47" t="inlineStr">
        <is>
          <t>In Progress</t>
        </is>
      </c>
      <c r="G33" s="55" t="n"/>
      <c r="H33" s="59">
        <f>IF(AND(F33&lt;&gt;"Closed",E33&lt;TODAY()),TODAY()-E33,"")</f>
        <v/>
      </c>
    </row>
    <row r="34">
      <c r="A34" s="51" t="inlineStr">
        <is>
          <t>ACT-030</t>
        </is>
      </c>
      <c r="B34" s="51" t="inlineStr">
        <is>
          <t>BOD-2026-05</t>
        </is>
      </c>
      <c r="C34" s="53" t="inlineStr">
        <is>
          <t>Report on manpower localisation</t>
        </is>
      </c>
      <c r="D34" s="53" t="inlineStr">
        <is>
          <t>HR Manager</t>
        </is>
      </c>
      <c r="E34" s="56" t="n">
        <v>46271</v>
      </c>
      <c r="F34" s="51" t="inlineStr">
        <is>
          <t>In Progress</t>
        </is>
      </c>
      <c r="G34" s="56" t="n"/>
      <c r="H34" s="60">
        <f>IF(AND(F34&lt;&gt;"Closed",E34&lt;TODAY()),TODAY()-E34,"")</f>
        <v/>
      </c>
    </row>
    <row r="35">
      <c r="A35" s="47" t="inlineStr">
        <is>
          <t>ACT-031</t>
        </is>
      </c>
      <c r="B35" s="47" t="inlineStr">
        <is>
          <t>BOD-2026-05</t>
        </is>
      </c>
      <c r="C35" s="49" t="inlineStr">
        <is>
          <t>Circulate signed subcontract to partners</t>
        </is>
      </c>
      <c r="D35" s="49" t="inlineStr">
        <is>
          <t>Project Director</t>
        </is>
      </c>
      <c r="E35" s="55" t="n">
        <v>46247</v>
      </c>
      <c r="F35" s="47" t="inlineStr">
        <is>
          <t>Closed</t>
        </is>
      </c>
      <c r="G35" s="55" t="n">
        <v>46251</v>
      </c>
      <c r="H35" s="59">
        <f>IF(AND(F35&lt;&gt;"Closed",E35&lt;TODAY()),TODAY()-E35,"")</f>
        <v/>
      </c>
    </row>
    <row r="36">
      <c r="A36" s="51" t="inlineStr">
        <is>
          <t>ACT-032</t>
        </is>
      </c>
      <c r="B36" s="51" t="inlineStr">
        <is>
          <t>BOD-2026-05</t>
        </is>
      </c>
      <c r="C36" s="53" t="inlineStr">
        <is>
          <t>Close internal audit observations</t>
        </is>
      </c>
      <c r="D36" s="53" t="inlineStr">
        <is>
          <t>Finance Manager</t>
        </is>
      </c>
      <c r="E36" s="56" t="n">
        <v>46271</v>
      </c>
      <c r="F36" s="51" t="inlineStr">
        <is>
          <t>In Progress</t>
        </is>
      </c>
      <c r="G36" s="56" t="n"/>
      <c r="H36" s="60">
        <f>IF(AND(F36&lt;&gt;"Closed",E36&lt;TODAY()),TODAY()-E36,"")</f>
        <v/>
      </c>
    </row>
    <row r="37">
      <c r="A37" s="47" t="inlineStr">
        <is>
          <t>ACT-033</t>
        </is>
      </c>
      <c r="B37" s="47" t="inlineStr">
        <is>
          <t>BOD-2026-05</t>
        </is>
      </c>
      <c r="C37" s="49" t="inlineStr">
        <is>
          <t>Submit claim status report to the client</t>
        </is>
      </c>
      <c r="D37" s="49" t="inlineStr">
        <is>
          <t>HSE Director</t>
        </is>
      </c>
      <c r="E37" s="55" t="n">
        <v>46247</v>
      </c>
      <c r="F37" s="47" t="inlineStr">
        <is>
          <t>Closed</t>
        </is>
      </c>
      <c r="G37" s="55" t="n">
        <v>46251</v>
      </c>
      <c r="H37" s="59">
        <f>IF(AND(F37&lt;&gt;"Closed",E37&lt;TODAY()),TODAY()-E37,"")</f>
        <v/>
      </c>
    </row>
    <row r="38">
      <c r="A38" s="51" t="inlineStr">
        <is>
          <t>ACT-034</t>
        </is>
      </c>
      <c r="B38" s="51" t="inlineStr">
        <is>
          <t>BOD-2026-05</t>
        </is>
      </c>
      <c r="C38" s="53" t="inlineStr">
        <is>
          <t>Present insurance renewal options</t>
        </is>
      </c>
      <c r="D38" s="53" t="inlineStr">
        <is>
          <t>Finance Manager</t>
        </is>
      </c>
      <c r="E38" s="56" t="n">
        <v>46256</v>
      </c>
      <c r="F38" s="51" t="inlineStr">
        <is>
          <t>Closed</t>
        </is>
      </c>
      <c r="G38" s="56" t="n">
        <v>46257</v>
      </c>
      <c r="H38" s="60">
        <f>IF(AND(F38&lt;&gt;"Closed",E38&lt;TODAY()),TODAY()-E38,"")</f>
        <v/>
      </c>
    </row>
    <row r="39">
      <c r="A39" s="47" t="inlineStr">
        <is>
          <t>ACT-035</t>
        </is>
      </c>
      <c r="B39" s="47" t="inlineStr">
        <is>
          <t>BOD-2026-06</t>
        </is>
      </c>
      <c r="C39" s="49" t="inlineStr">
        <is>
          <t>Report on manpower localisation</t>
        </is>
      </c>
      <c r="D39" s="49" t="inlineStr">
        <is>
          <t>Commercial Manager</t>
        </is>
      </c>
      <c r="E39" s="55" t="n">
        <v>46303</v>
      </c>
      <c r="F39" s="47" t="inlineStr">
        <is>
          <t>In Progress</t>
        </is>
      </c>
      <c r="G39" s="55" t="n"/>
      <c r="H39" s="59">
        <f>IF(AND(F39&lt;&gt;"Closed",E39&lt;TODAY()),TODAY()-E39,"")</f>
        <v/>
      </c>
    </row>
    <row r="40">
      <c r="A40" s="51" t="inlineStr">
        <is>
          <t>ACT-036</t>
        </is>
      </c>
      <c r="B40" s="51" t="inlineStr">
        <is>
          <t>BOD-2026-06</t>
        </is>
      </c>
      <c r="C40" s="53" t="inlineStr">
        <is>
          <t>Update risk register and top-10 risks</t>
        </is>
      </c>
      <c r="D40" s="53" t="inlineStr">
        <is>
          <t>Commercial Manager</t>
        </is>
      </c>
      <c r="E40" s="56" t="n">
        <v>46319</v>
      </c>
      <c r="F40" s="51" t="inlineStr">
        <is>
          <t>In Progress</t>
        </is>
      </c>
      <c r="G40" s="56" t="n"/>
      <c r="H40" s="60">
        <f>IF(AND(F40&lt;&gt;"Closed",E40&lt;TODAY()),TODAY()-E40,"")</f>
        <v/>
      </c>
    </row>
    <row r="41">
      <c r="A41" s="47" t="inlineStr">
        <is>
          <t>ACT-037</t>
        </is>
      </c>
      <c r="B41" s="47" t="inlineStr">
        <is>
          <t>BOD-2026-06</t>
        </is>
      </c>
      <c r="C41" s="49" t="inlineStr">
        <is>
          <t>Circulate signed subcontract to partners</t>
        </is>
      </c>
      <c r="D41" s="49" t="inlineStr">
        <is>
          <t>HSE Director</t>
        </is>
      </c>
      <c r="E41" s="55" t="n">
        <v>46303</v>
      </c>
      <c r="F41" s="47" t="inlineStr">
        <is>
          <t>In Progress</t>
        </is>
      </c>
      <c r="G41" s="55" t="n"/>
      <c r="H41" s="59">
        <f>IF(AND(F41&lt;&gt;"Closed",E41&lt;TODAY()),TODAY()-E41,"")</f>
        <v/>
      </c>
    </row>
    <row r="42">
      <c r="A42" s="51" t="inlineStr">
        <is>
          <t>ACT-038</t>
        </is>
      </c>
      <c r="B42" s="51" t="inlineStr">
        <is>
          <t>BOD-2026-06</t>
        </is>
      </c>
      <c r="C42" s="53" t="inlineStr">
        <is>
          <t>Update risk register and top-10 risks</t>
        </is>
      </c>
      <c r="D42" s="53" t="inlineStr">
        <is>
          <t>Board Secretary</t>
        </is>
      </c>
      <c r="E42" s="56" t="n">
        <v>46319</v>
      </c>
      <c r="F42" s="51" t="inlineStr">
        <is>
          <t>Closed</t>
        </is>
      </c>
      <c r="G42" s="56" t="n">
        <v>46309</v>
      </c>
      <c r="H42" s="60">
        <f>IF(AND(F42&lt;&gt;"Closed",E42&lt;TODAY()),TODAY()-E42,"")</f>
        <v/>
      </c>
    </row>
    <row r="43">
      <c r="A43" s="47" t="inlineStr">
        <is>
          <t>ACT-039</t>
        </is>
      </c>
      <c r="B43" s="47" t="inlineStr">
        <is>
          <t>BOD-2026-06</t>
        </is>
      </c>
      <c r="C43" s="49" t="inlineStr">
        <is>
          <t>Present TBM progress recovery plan</t>
        </is>
      </c>
      <c r="D43" s="49" t="inlineStr">
        <is>
          <t>Board Secretary</t>
        </is>
      </c>
      <c r="E43" s="55" t="n">
        <v>46334</v>
      </c>
      <c r="F43" s="47" t="inlineStr">
        <is>
          <t>Open</t>
        </is>
      </c>
      <c r="G43" s="55" t="n"/>
      <c r="H43" s="59">
        <f>IF(AND(F43&lt;&gt;"Closed",E43&lt;TODAY()),TODAY()-E43,"")</f>
        <v/>
      </c>
    </row>
    <row r="44">
      <c r="A44" s="51" t="inlineStr">
        <is>
          <t>ACT-040</t>
        </is>
      </c>
      <c r="B44" s="51" t="inlineStr">
        <is>
          <t>BOD-2026-06</t>
        </is>
      </c>
      <c r="C44" s="53" t="inlineStr">
        <is>
          <t>Submit claim status report to the client</t>
        </is>
      </c>
      <c r="D44" s="53" t="inlineStr">
        <is>
          <t>Finance Manager</t>
        </is>
      </c>
      <c r="E44" s="56" t="n">
        <v>46334</v>
      </c>
      <c r="F44" s="51" t="inlineStr">
        <is>
          <t>Open</t>
        </is>
      </c>
      <c r="G44" s="56" t="n"/>
      <c r="H44" s="60">
        <f>IF(AND(F44&lt;&gt;"Closed",E44&lt;TODAY()),TODAY()-E44,"")</f>
        <v/>
      </c>
    </row>
    <row r="45">
      <c r="A45" s="47" t="inlineStr">
        <is>
          <t>ACT-041</t>
        </is>
      </c>
      <c r="B45" s="47" t="inlineStr">
        <is>
          <t>BOD-2026-06</t>
        </is>
      </c>
      <c r="C45" s="49" t="inlineStr">
        <is>
          <t>Submit claim status report to the client</t>
        </is>
      </c>
      <c r="D45" s="49" t="inlineStr">
        <is>
          <t>Commercial Manager</t>
        </is>
      </c>
      <c r="E45" s="55" t="n">
        <v>46319</v>
      </c>
      <c r="F45" s="47" t="inlineStr">
        <is>
          <t>Closed</t>
        </is>
      </c>
      <c r="G45" s="55" t="n">
        <v>46309</v>
      </c>
      <c r="H45" s="59">
        <f>IF(AND(F45&lt;&gt;"Closed",E45&lt;TODAY()),TODAY()-E45,"")</f>
        <v/>
      </c>
    </row>
    <row r="46">
      <c r="A46" s="51" t="inlineStr">
        <is>
          <t>ACT-042</t>
        </is>
      </c>
      <c r="B46" s="51" t="inlineStr">
        <is>
          <t>BOD-2026-06</t>
        </is>
      </c>
      <c r="C46" s="53" t="inlineStr">
        <is>
          <t>Submit revised cash-flow to the board</t>
        </is>
      </c>
      <c r="D46" s="53" t="inlineStr">
        <is>
          <t>Finance Manager</t>
        </is>
      </c>
      <c r="E46" s="56" t="n">
        <v>46319</v>
      </c>
      <c r="F46" s="51" t="inlineStr">
        <is>
          <t>Open</t>
        </is>
      </c>
      <c r="G46" s="56" t="n"/>
      <c r="H46" s="60">
        <f>IF(AND(F46&lt;&gt;"Closed",E46&lt;TODAY()),TODAY()-E46,"")</f>
        <v/>
      </c>
    </row>
  </sheetData>
  <autoFilter ref="A4:H46"/>
  <mergeCells count="2">
    <mergeCell ref="A2:H2"/>
    <mergeCell ref="A1:H1"/>
  </mergeCells>
  <conditionalFormatting sqref="F5:F500">
    <cfRule type="cellIs" priority="1" operator="equal" dxfId="0">
      <formula>"Closed"</formula>
    </cfRule>
    <cfRule type="cellIs" priority="2" operator="equal" dxfId="4">
      <formula>"In Progress"</formula>
    </cfRule>
    <cfRule type="cellIs" priority="3" operator="equal" dxfId="3">
      <formula>"Open"</formula>
    </cfRule>
  </conditionalFormatting>
  <conditionalFormatting sqref="H5:H500">
    <cfRule type="cellIs" priority="4" operator="greaterThan" dxfId="5">
      <formula>0</formula>
    </cfRule>
  </conditionalFormatting>
  <dataValidations count="1">
    <dataValidation sqref="F5:F500" showDropDown="0" showInputMessage="0" showErrorMessage="0" allowBlank="1" type="list">
      <formula1>"Open,In Progress,Closed"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36" customHeight="1">
      <c r="A1" s="42" t="inlineStr">
        <is>
          <t>Board Attendance Matrix 2026</t>
        </is>
      </c>
      <c r="B1" s="43" t="n"/>
      <c r="C1" s="43" t="n"/>
      <c r="D1" s="43" t="n"/>
      <c r="E1" s="43" t="n"/>
      <c r="F1" s="43" t="n"/>
      <c r="G1" s="43" t="n"/>
      <c r="H1" s="43" t="n"/>
      <c r="I1" s="43" t="n"/>
    </row>
    <row r="2">
      <c r="A2" s="44" t="inlineStr">
        <is>
          <t>Desert Horizon JV  •  JV of Rimal Contracting Co. (KSA) &amp; Anatolia Yapı A.Ş. (Türkiye)  •  Demo data  •  P = Present, A = Apology</t>
        </is>
      </c>
    </row>
    <row r="3" ht="4" customHeight="1">
      <c r="A3" s="45" t="n"/>
      <c r="B3" s="45" t="n"/>
      <c r="C3" s="45" t="n"/>
      <c r="D3" s="45" t="n"/>
      <c r="E3" s="45" t="n"/>
      <c r="F3" s="45" t="n"/>
      <c r="G3" s="45" t="n"/>
      <c r="H3" s="45" t="n"/>
      <c r="I3" s="45" t="n"/>
    </row>
    <row r="4">
      <c r="A4" s="46" t="inlineStr">
        <is>
          <t>Member</t>
        </is>
      </c>
      <c r="B4" s="46" t="inlineStr">
        <is>
          <t>Role</t>
        </is>
      </c>
      <c r="C4" s="46" t="inlineStr">
        <is>
          <t>BOD-01</t>
        </is>
      </c>
      <c r="D4" s="46" t="inlineStr">
        <is>
          <t>BOD-02</t>
        </is>
      </c>
      <c r="E4" s="46" t="inlineStr">
        <is>
          <t>BOD-03</t>
        </is>
      </c>
      <c r="F4" s="46" t="inlineStr">
        <is>
          <t>BOD-04</t>
        </is>
      </c>
      <c r="G4" s="46" t="inlineStr">
        <is>
          <t>BOD-05</t>
        </is>
      </c>
      <c r="H4" s="46" t="inlineStr">
        <is>
          <t>BOD-06</t>
        </is>
      </c>
      <c r="I4" s="46" t="inlineStr">
        <is>
          <t>Attendance %</t>
        </is>
      </c>
    </row>
    <row r="5">
      <c r="A5" s="48" t="inlineStr">
        <is>
          <t>Eng. Khalid Al-Mansour</t>
        </is>
      </c>
      <c r="B5" s="49" t="inlineStr">
        <is>
          <t>Chairman</t>
        </is>
      </c>
      <c r="C5" s="59" t="inlineStr">
        <is>
          <t>P</t>
        </is>
      </c>
      <c r="D5" s="59" t="inlineStr">
        <is>
          <t>P</t>
        </is>
      </c>
      <c r="E5" s="59" t="inlineStr">
        <is>
          <t>P</t>
        </is>
      </c>
      <c r="F5" s="59" t="inlineStr">
        <is>
          <t>P</t>
        </is>
      </c>
      <c r="G5" s="59" t="inlineStr">
        <is>
          <t>P</t>
        </is>
      </c>
      <c r="H5" s="59" t="inlineStr">
        <is>
          <t>P</t>
        </is>
      </c>
      <c r="I5" s="61">
        <f>COUNTIF(C5:H5,"P")/COUNTA(C5:H5)</f>
        <v/>
      </c>
    </row>
    <row r="6">
      <c r="A6" s="52" t="inlineStr">
        <is>
          <t>Mr. Emre Kaya</t>
        </is>
      </c>
      <c r="B6" s="53" t="inlineStr">
        <is>
          <t>Vice Chairman</t>
        </is>
      </c>
      <c r="C6" s="60" t="inlineStr">
        <is>
          <t>P</t>
        </is>
      </c>
      <c r="D6" s="60" t="inlineStr">
        <is>
          <t>P</t>
        </is>
      </c>
      <c r="E6" s="60" t="inlineStr">
        <is>
          <t>P</t>
        </is>
      </c>
      <c r="F6" s="60" t="inlineStr">
        <is>
          <t>P</t>
        </is>
      </c>
      <c r="G6" s="60" t="inlineStr">
        <is>
          <t>P</t>
        </is>
      </c>
      <c r="H6" s="60" t="inlineStr">
        <is>
          <t>P</t>
        </is>
      </c>
      <c r="I6" s="61">
        <f>COUNTIF(C6:H6,"P")/COUNTA(C6:H6)</f>
        <v/>
      </c>
    </row>
    <row r="7">
      <c r="A7" s="48" t="inlineStr">
        <is>
          <t>Mr. Saud Al-Harbi</t>
        </is>
      </c>
      <c r="B7" s="49" t="inlineStr">
        <is>
          <t>Board Member</t>
        </is>
      </c>
      <c r="C7" s="59" t="inlineStr">
        <is>
          <t>P</t>
        </is>
      </c>
      <c r="D7" s="59" t="inlineStr">
        <is>
          <t>P</t>
        </is>
      </c>
      <c r="E7" s="59" t="inlineStr">
        <is>
          <t>P</t>
        </is>
      </c>
      <c r="F7" s="59" t="inlineStr">
        <is>
          <t>P</t>
        </is>
      </c>
      <c r="G7" s="59" t="inlineStr">
        <is>
          <t>P</t>
        </is>
      </c>
      <c r="H7" s="59" t="inlineStr">
        <is>
          <t>P</t>
        </is>
      </c>
      <c r="I7" s="61">
        <f>COUNTIF(C7:H7,"P")/COUNTA(C7:H7)</f>
        <v/>
      </c>
    </row>
    <row r="8">
      <c r="A8" s="52" t="inlineStr">
        <is>
          <t>Mr. Burak Demir</t>
        </is>
      </c>
      <c r="B8" s="53" t="inlineStr">
        <is>
          <t>Board Member</t>
        </is>
      </c>
      <c r="C8" s="60" t="inlineStr">
        <is>
          <t>P</t>
        </is>
      </c>
      <c r="D8" s="60" t="inlineStr">
        <is>
          <t>P</t>
        </is>
      </c>
      <c r="E8" s="60" t="inlineStr">
        <is>
          <t>P</t>
        </is>
      </c>
      <c r="F8" s="60" t="inlineStr">
        <is>
          <t>P</t>
        </is>
      </c>
      <c r="G8" s="60" t="inlineStr">
        <is>
          <t>P</t>
        </is>
      </c>
      <c r="H8" s="60" t="inlineStr">
        <is>
          <t>P</t>
        </is>
      </c>
      <c r="I8" s="61">
        <f>COUNTIF(C8:H8,"P")/COUNTA(C8:H8)</f>
        <v/>
      </c>
    </row>
    <row r="9">
      <c r="A9" s="48" t="inlineStr">
        <is>
          <t>Ms. Layla Al-Zahrani</t>
        </is>
      </c>
      <c r="B9" s="49" t="inlineStr">
        <is>
          <t>Board Member</t>
        </is>
      </c>
      <c r="C9" s="59" t="inlineStr">
        <is>
          <t>P</t>
        </is>
      </c>
      <c r="D9" s="59" t="inlineStr">
        <is>
          <t>P</t>
        </is>
      </c>
      <c r="E9" s="59" t="inlineStr">
        <is>
          <t>P</t>
        </is>
      </c>
      <c r="F9" s="59" t="inlineStr">
        <is>
          <t>A</t>
        </is>
      </c>
      <c r="G9" s="59" t="inlineStr">
        <is>
          <t>P</t>
        </is>
      </c>
      <c r="H9" s="59" t="inlineStr">
        <is>
          <t>P</t>
        </is>
      </c>
      <c r="I9" s="61">
        <f>COUNTIF(C9:H9,"P")/COUNTA(C9:H9)</f>
        <v/>
      </c>
    </row>
    <row r="10">
      <c r="A10" s="52" t="inlineStr">
        <is>
          <t>Mr. Selim Aydın</t>
        </is>
      </c>
      <c r="B10" s="53" t="inlineStr">
        <is>
          <t>Board Member</t>
        </is>
      </c>
      <c r="C10" s="60" t="inlineStr">
        <is>
          <t>P</t>
        </is>
      </c>
      <c r="D10" s="60" t="inlineStr">
        <is>
          <t>P</t>
        </is>
      </c>
      <c r="E10" s="60" t="inlineStr">
        <is>
          <t>P</t>
        </is>
      </c>
      <c r="F10" s="60" t="inlineStr">
        <is>
          <t>P</t>
        </is>
      </c>
      <c r="G10" s="60" t="inlineStr">
        <is>
          <t>P</t>
        </is>
      </c>
      <c r="H10" s="60" t="inlineStr">
        <is>
          <t>P</t>
        </is>
      </c>
      <c r="I10" s="61">
        <f>COUNTIF(C10:H10,"P")/COUNTA(C10:H10)</f>
        <v/>
      </c>
    </row>
  </sheetData>
  <mergeCells count="2">
    <mergeCell ref="A1:I1"/>
    <mergeCell ref="A2:I2"/>
  </mergeCells>
  <conditionalFormatting sqref="C5:H10">
    <cfRule type="cellIs" priority="1" operator="equal" dxfId="3">
      <formula>"A"</formula>
    </cfRule>
    <cfRule type="cellIs" priority="2" operator="equal" dxfId="6">
      <formula>"P"</formula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2026-10-14T08:04:43Z</dcterms:created>
  <dcterms:modified xmlns:dcterms="http://purl.org/dc/terms/" xmlns:xsi="http://www.w3.org/2001/XMLSchema-instance" xsi:type="dcterms:W3CDTF">2026-10-14T08:04:43Z</dcterms:modified>
</cp:coreProperties>
</file>